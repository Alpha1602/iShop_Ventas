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d.docs.live.net/beee06df8e8283f3/ALPHA COMM/Reportes OC/Retail/iShop/"/>
    </mc:Choice>
  </mc:AlternateContent>
  <xr:revisionPtr revIDLastSave="0" documentId="8_{8ED0E786-1FF2-3540-A40B-2ABBD00E70DF}" xr6:coauthVersionLast="47" xr6:coauthVersionMax="47" xr10:uidLastSave="{00000000-0000-0000-0000-000000000000}"/>
  <bookViews>
    <workbookView xWindow="0" yWindow="660" windowWidth="28800" windowHeight="12500" xr2:uid="{00000000-000D-0000-FFFF-FFFF00000000}"/>
  </bookViews>
  <sheets>
    <sheet name="AlphaComm" sheetId="2" r:id="rId1"/>
  </sheets>
  <externalReferences>
    <externalReference r:id="rId2"/>
  </externalReferences>
  <definedNames>
    <definedName name="_xlnm._FilterDatabase" localSheetId="0" hidden="1">AlphaComm!$A$3:$FD$255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D2" i="2" l="1"/>
  <c r="EY2" i="2" a="1"/>
  <c r="EY2" i="2" s="1"/>
  <c r="FD253" i="2"/>
  <c r="FD252" i="2"/>
  <c r="FD251" i="2"/>
  <c r="FD250" i="2"/>
  <c r="FD249" i="2"/>
  <c r="FD248" i="2"/>
  <c r="FD247" i="2"/>
  <c r="FD246" i="2"/>
  <c r="FD245" i="2"/>
  <c r="FD244" i="2"/>
  <c r="FD243" i="2"/>
  <c r="FD242" i="2"/>
  <c r="FD241" i="2"/>
  <c r="FD240" i="2"/>
  <c r="FD239" i="2"/>
  <c r="FD238" i="2"/>
  <c r="FD237" i="2"/>
  <c r="FD236" i="2"/>
  <c r="FD235" i="2"/>
  <c r="FD234" i="2"/>
  <c r="FD233" i="2"/>
  <c r="FD232" i="2"/>
  <c r="FD231" i="2"/>
  <c r="FD230" i="2"/>
  <c r="FD229" i="2"/>
  <c r="FD228" i="2"/>
  <c r="FD227" i="2"/>
  <c r="FD226" i="2"/>
  <c r="FD225" i="2"/>
  <c r="FD224" i="2"/>
  <c r="FD223" i="2"/>
  <c r="FD222" i="2"/>
  <c r="FD221" i="2"/>
  <c r="FD220" i="2"/>
  <c r="FD219" i="2"/>
  <c r="FD218" i="2"/>
  <c r="FD217" i="2"/>
  <c r="FD216" i="2"/>
  <c r="FD215" i="2"/>
  <c r="FD214" i="2"/>
  <c r="FD213" i="2"/>
  <c r="FD212" i="2"/>
  <c r="FD211" i="2"/>
  <c r="FD210" i="2"/>
  <c r="FD209" i="2"/>
  <c r="FD208" i="2"/>
  <c r="FD207" i="2"/>
  <c r="FD206" i="2"/>
  <c r="FD205" i="2"/>
  <c r="FD204" i="2"/>
  <c r="FD203" i="2"/>
  <c r="FD202" i="2"/>
  <c r="FD201" i="2"/>
  <c r="FD200" i="2"/>
  <c r="FD199" i="2"/>
  <c r="FD198" i="2"/>
  <c r="FD197" i="2"/>
  <c r="FD196" i="2"/>
  <c r="FD195" i="2"/>
  <c r="FD194" i="2"/>
  <c r="FD193" i="2"/>
  <c r="FD192" i="2"/>
  <c r="FD191" i="2"/>
  <c r="FD190" i="2"/>
  <c r="FD189" i="2"/>
  <c r="FD188" i="2"/>
  <c r="FD187" i="2"/>
  <c r="FD186" i="2"/>
  <c r="FD185" i="2"/>
  <c r="FD184" i="2"/>
  <c r="FD183" i="2"/>
  <c r="FD182" i="2"/>
  <c r="FD181" i="2"/>
  <c r="FD180" i="2"/>
  <c r="FD179" i="2"/>
  <c r="FD178" i="2"/>
  <c r="FD177" i="2"/>
  <c r="FD176" i="2"/>
  <c r="FD175" i="2"/>
  <c r="FD174" i="2"/>
  <c r="FD173" i="2"/>
  <c r="FD172" i="2"/>
  <c r="FD171" i="2"/>
  <c r="FD170" i="2"/>
  <c r="FD169" i="2"/>
  <c r="FD168" i="2"/>
  <c r="FD167" i="2"/>
  <c r="FD166" i="2"/>
  <c r="FD165" i="2"/>
  <c r="FD164" i="2"/>
  <c r="FD163" i="2"/>
  <c r="FD162" i="2"/>
  <c r="FD161" i="2"/>
  <c r="FD160" i="2"/>
  <c r="FD159" i="2"/>
  <c r="FD158" i="2"/>
  <c r="FD157" i="2"/>
  <c r="FD156" i="2"/>
  <c r="FD155" i="2"/>
  <c r="FD154" i="2"/>
  <c r="FD153" i="2"/>
  <c r="FD152" i="2"/>
  <c r="FD151" i="2"/>
  <c r="FD150" i="2"/>
  <c r="FD149" i="2"/>
  <c r="FD148" i="2"/>
  <c r="FD147" i="2"/>
  <c r="FD146" i="2"/>
  <c r="FD145" i="2"/>
  <c r="FD144" i="2"/>
  <c r="FD143" i="2"/>
  <c r="FD142" i="2"/>
  <c r="FD141" i="2"/>
  <c r="FD140" i="2"/>
  <c r="FD139" i="2"/>
  <c r="FD138" i="2"/>
  <c r="FD137" i="2"/>
  <c r="FD136" i="2"/>
  <c r="FD135" i="2"/>
  <c r="FD134" i="2"/>
  <c r="FD133" i="2"/>
  <c r="FD132" i="2"/>
  <c r="FD131" i="2"/>
  <c r="FD130" i="2"/>
  <c r="FD129" i="2"/>
  <c r="FD128" i="2"/>
  <c r="FD127" i="2"/>
  <c r="FD126" i="2"/>
  <c r="FD125" i="2"/>
  <c r="FD124" i="2"/>
  <c r="FD123" i="2"/>
  <c r="FD122" i="2"/>
  <c r="FD121" i="2"/>
  <c r="FD120" i="2"/>
  <c r="FD119" i="2"/>
  <c r="FD118" i="2"/>
  <c r="FD117" i="2"/>
  <c r="FD116" i="2"/>
  <c r="FD115" i="2"/>
  <c r="FD114" i="2"/>
  <c r="FD113" i="2"/>
  <c r="FD112" i="2"/>
  <c r="FD111" i="2"/>
  <c r="FD110" i="2"/>
  <c r="FD109" i="2"/>
  <c r="FD108" i="2"/>
  <c r="FD107" i="2"/>
  <c r="FD106" i="2"/>
  <c r="FD105" i="2"/>
  <c r="FD104" i="2"/>
  <c r="FD103" i="2"/>
  <c r="FD102" i="2"/>
  <c r="FD101" i="2"/>
  <c r="FD100" i="2"/>
  <c r="FD99" i="2"/>
  <c r="FD98" i="2"/>
  <c r="FD97" i="2"/>
  <c r="FD96" i="2"/>
  <c r="FD95" i="2"/>
  <c r="FD94" i="2"/>
  <c r="FD93" i="2"/>
  <c r="FD92" i="2"/>
  <c r="FD91" i="2"/>
  <c r="FD90" i="2"/>
  <c r="FD89" i="2"/>
  <c r="FD88" i="2"/>
  <c r="FD87" i="2"/>
  <c r="FD86" i="2"/>
  <c r="FD85" i="2"/>
  <c r="FD84" i="2"/>
  <c r="FD83" i="2"/>
  <c r="FD82" i="2"/>
  <c r="FD81" i="2"/>
  <c r="FD80" i="2"/>
  <c r="FD79" i="2"/>
  <c r="FD78" i="2"/>
  <c r="FD77" i="2"/>
  <c r="FD76" i="2"/>
  <c r="FD75" i="2"/>
  <c r="FD74" i="2"/>
  <c r="FD73" i="2"/>
  <c r="FD72" i="2"/>
  <c r="FD71" i="2"/>
  <c r="FD70" i="2"/>
  <c r="FD69" i="2"/>
  <c r="FD68" i="2"/>
  <c r="FD67" i="2"/>
  <c r="FD66" i="2"/>
  <c r="FD65" i="2"/>
  <c r="FD64" i="2"/>
  <c r="FD63" i="2"/>
  <c r="FD62" i="2"/>
  <c r="FD61" i="2"/>
  <c r="FD60" i="2"/>
  <c r="FD59" i="2"/>
  <c r="FD58" i="2"/>
  <c r="FD57" i="2"/>
  <c r="FD56" i="2"/>
  <c r="FD55" i="2"/>
  <c r="FD54" i="2"/>
  <c r="FD53" i="2"/>
  <c r="FD52" i="2"/>
  <c r="FD51" i="2"/>
  <c r="FD50" i="2"/>
  <c r="FD49" i="2"/>
  <c r="FD48" i="2"/>
  <c r="FD47" i="2"/>
  <c r="FD46" i="2"/>
  <c r="FD45" i="2"/>
  <c r="FD44" i="2"/>
  <c r="FD43" i="2"/>
  <c r="FD42" i="2"/>
  <c r="FD41" i="2"/>
  <c r="FD40" i="2"/>
  <c r="FD39" i="2"/>
  <c r="FD38" i="2"/>
  <c r="FD37" i="2"/>
  <c r="FD36" i="2"/>
  <c r="FD35" i="2"/>
  <c r="FD34" i="2"/>
  <c r="FD33" i="2"/>
  <c r="FD32" i="2"/>
  <c r="FD31" i="2"/>
  <c r="FD30" i="2"/>
  <c r="FD29" i="2"/>
  <c r="FD28" i="2"/>
  <c r="FD27" i="2"/>
  <c r="FD26" i="2"/>
  <c r="FD25" i="2"/>
  <c r="FD24" i="2"/>
  <c r="FD23" i="2"/>
  <c r="FD22" i="2"/>
  <c r="FD21" i="2"/>
  <c r="FD20" i="2"/>
  <c r="FD19" i="2"/>
  <c r="FD18" i="2"/>
  <c r="FD17" i="2"/>
  <c r="FD16" i="2"/>
  <c r="FD15" i="2"/>
  <c r="FD14" i="2"/>
  <c r="FD13" i="2"/>
  <c r="FD12" i="2"/>
  <c r="FD11" i="2"/>
  <c r="FD10" i="2"/>
  <c r="FD9" i="2"/>
  <c r="FD8" i="2"/>
  <c r="FD7" i="2"/>
  <c r="FD6" i="2"/>
  <c r="FD5" i="2"/>
  <c r="FD4" i="2"/>
  <c r="EY253" i="2" a="1"/>
  <c r="EY253" i="2" s="1"/>
  <c r="EY252" i="2" a="1"/>
  <c r="EY252" i="2" s="1"/>
  <c r="EY251" i="2" a="1"/>
  <c r="EY251" i="2" s="1"/>
  <c r="EY250" i="2" a="1"/>
  <c r="EY250" i="2" s="1"/>
  <c r="EY249" i="2" a="1"/>
  <c r="EY249" i="2" s="1"/>
  <c r="EY248" i="2" a="1"/>
  <c r="EY248" i="2" s="1"/>
  <c r="EY247" i="2" a="1"/>
  <c r="EY247" i="2" s="1"/>
  <c r="EY246" i="2" a="1"/>
  <c r="EY246" i="2" s="1"/>
  <c r="EY245" i="2" a="1"/>
  <c r="EY245" i="2" s="1"/>
  <c r="EY244" i="2" a="1"/>
  <c r="EY244" i="2" s="1"/>
  <c r="EY243" i="2" a="1"/>
  <c r="EY243" i="2" s="1"/>
  <c r="EY242" i="2" a="1"/>
  <c r="EY242" i="2" s="1"/>
  <c r="EY241" i="2" a="1"/>
  <c r="EY241" i="2" s="1"/>
  <c r="EY240" i="2" a="1"/>
  <c r="EY240" i="2" s="1"/>
  <c r="EY239" i="2" a="1"/>
  <c r="EY239" i="2" s="1"/>
  <c r="EY238" i="2" a="1"/>
  <c r="EY238" i="2" s="1"/>
  <c r="EY237" i="2" a="1"/>
  <c r="EY237" i="2" s="1"/>
  <c r="EY236" i="2" a="1"/>
  <c r="EY236" i="2" s="1"/>
  <c r="EY235" i="2" a="1"/>
  <c r="EY235" i="2" s="1"/>
  <c r="EY234" i="2" a="1"/>
  <c r="EY234" i="2" s="1"/>
  <c r="EY233" i="2" a="1"/>
  <c r="EY233" i="2" s="1"/>
  <c r="EY232" i="2" a="1"/>
  <c r="EY232" i="2" s="1"/>
  <c r="EY231" i="2" a="1"/>
  <c r="EY231" i="2" s="1"/>
  <c r="EY230" i="2" a="1"/>
  <c r="EY230" i="2" s="1"/>
  <c r="EY229" i="2" a="1"/>
  <c r="EY229" i="2" s="1"/>
  <c r="EY228" i="2" a="1"/>
  <c r="EY228" i="2" s="1"/>
  <c r="EY227" i="2" a="1"/>
  <c r="EY227" i="2" s="1"/>
  <c r="EY226" i="2" a="1"/>
  <c r="EY226" i="2" s="1"/>
  <c r="EY225" i="2" a="1"/>
  <c r="EY225" i="2" s="1"/>
  <c r="EY224" i="2" a="1"/>
  <c r="EY224" i="2" s="1"/>
  <c r="EY223" i="2" a="1"/>
  <c r="EY223" i="2" s="1"/>
  <c r="EY222" i="2" a="1"/>
  <c r="EY222" i="2" s="1"/>
  <c r="EY221" i="2" a="1"/>
  <c r="EY221" i="2" s="1"/>
  <c r="EY220" i="2" a="1"/>
  <c r="EY220" i="2" s="1"/>
  <c r="EY219" i="2" a="1"/>
  <c r="EY219" i="2" s="1"/>
  <c r="EY218" i="2" a="1"/>
  <c r="EY218" i="2" s="1"/>
  <c r="EY217" i="2" a="1"/>
  <c r="EY217" i="2" s="1"/>
  <c r="EY216" i="2" a="1"/>
  <c r="EY216" i="2" s="1"/>
  <c r="EY215" i="2" a="1"/>
  <c r="EY215" i="2" s="1"/>
  <c r="EY214" i="2" a="1"/>
  <c r="EY214" i="2" s="1"/>
  <c r="EY213" i="2" a="1"/>
  <c r="EY213" i="2" s="1"/>
  <c r="EY212" i="2" a="1"/>
  <c r="EY212" i="2" s="1"/>
  <c r="EY211" i="2" a="1"/>
  <c r="EY211" i="2" s="1"/>
  <c r="EY210" i="2" a="1"/>
  <c r="EY210" i="2" s="1"/>
  <c r="EY209" i="2" a="1"/>
  <c r="EY209" i="2" s="1"/>
  <c r="EY208" i="2" a="1"/>
  <c r="EY208" i="2" s="1"/>
  <c r="EY207" i="2" a="1"/>
  <c r="EY207" i="2" s="1"/>
  <c r="EY206" i="2" a="1"/>
  <c r="EY206" i="2" s="1"/>
  <c r="EY205" i="2" a="1"/>
  <c r="EY205" i="2" s="1"/>
  <c r="EY204" i="2" a="1"/>
  <c r="EY204" i="2" s="1"/>
  <c r="EY203" i="2" a="1"/>
  <c r="EY203" i="2" s="1"/>
  <c r="EY202" i="2" a="1"/>
  <c r="EY202" i="2" s="1"/>
  <c r="EY201" i="2" a="1"/>
  <c r="EY201" i="2" s="1"/>
  <c r="EY200" i="2" a="1"/>
  <c r="EY200" i="2" s="1"/>
  <c r="EY199" i="2" a="1"/>
  <c r="EY199" i="2" s="1"/>
  <c r="EY198" i="2" a="1"/>
  <c r="EY198" i="2" s="1"/>
  <c r="EY197" i="2" a="1"/>
  <c r="EY197" i="2" s="1"/>
  <c r="EY196" i="2" a="1"/>
  <c r="EY196" i="2" s="1"/>
  <c r="EY195" i="2" a="1"/>
  <c r="EY195" i="2" s="1"/>
  <c r="EY194" i="2" a="1"/>
  <c r="EY194" i="2" s="1"/>
  <c r="EY193" i="2" a="1"/>
  <c r="EY193" i="2" s="1"/>
  <c r="EY192" i="2" a="1"/>
  <c r="EY192" i="2" s="1"/>
  <c r="EY191" i="2" a="1"/>
  <c r="EY191" i="2" s="1"/>
  <c r="EY190" i="2" a="1"/>
  <c r="EY190" i="2" s="1"/>
  <c r="EY189" i="2" a="1"/>
  <c r="EY189" i="2" s="1"/>
  <c r="EY188" i="2" a="1"/>
  <c r="EY188" i="2" s="1"/>
  <c r="EY187" i="2" a="1"/>
  <c r="EY187" i="2" s="1"/>
  <c r="EY186" i="2" a="1"/>
  <c r="EY186" i="2" s="1"/>
  <c r="EY185" i="2" a="1"/>
  <c r="EY185" i="2" s="1"/>
  <c r="EY184" i="2" a="1"/>
  <c r="EY184" i="2" s="1"/>
  <c r="EY183" i="2" a="1"/>
  <c r="EY183" i="2" s="1"/>
  <c r="EY182" i="2" a="1"/>
  <c r="EY182" i="2" s="1"/>
  <c r="EY181" i="2" a="1"/>
  <c r="EY181" i="2" s="1"/>
  <c r="EY180" i="2" a="1"/>
  <c r="EY180" i="2" s="1"/>
  <c r="EY179" i="2" a="1"/>
  <c r="EY179" i="2" s="1"/>
  <c r="EY178" i="2" a="1"/>
  <c r="EY178" i="2" s="1"/>
  <c r="EY177" i="2" a="1"/>
  <c r="EY177" i="2" s="1"/>
  <c r="EY176" i="2" a="1"/>
  <c r="EY176" i="2" s="1"/>
  <c r="EY175" i="2" a="1"/>
  <c r="EY175" i="2" s="1"/>
  <c r="EY174" i="2" a="1"/>
  <c r="EY174" i="2" s="1"/>
  <c r="EY173" i="2" a="1"/>
  <c r="EY173" i="2" s="1"/>
  <c r="EY172" i="2" a="1"/>
  <c r="EY172" i="2" s="1"/>
  <c r="EY171" i="2" a="1"/>
  <c r="EY171" i="2" s="1"/>
  <c r="EY170" i="2" a="1"/>
  <c r="EY170" i="2" s="1"/>
  <c r="EY169" i="2" a="1"/>
  <c r="EY169" i="2" s="1"/>
  <c r="EY168" i="2" a="1"/>
  <c r="EY168" i="2" s="1"/>
  <c r="EY167" i="2" a="1"/>
  <c r="EY167" i="2" s="1"/>
  <c r="EY166" i="2" a="1"/>
  <c r="EY166" i="2" s="1"/>
  <c r="EY165" i="2" a="1"/>
  <c r="EY165" i="2" s="1"/>
  <c r="EY164" i="2" a="1"/>
  <c r="EY164" i="2" s="1"/>
  <c r="EY163" i="2" a="1"/>
  <c r="EY163" i="2" s="1"/>
  <c r="EY162" i="2" a="1"/>
  <c r="EY162" i="2" s="1"/>
  <c r="EY161" i="2" a="1"/>
  <c r="EY161" i="2" s="1"/>
  <c r="EY160" i="2" a="1"/>
  <c r="EY160" i="2" s="1"/>
  <c r="EY159" i="2" a="1"/>
  <c r="EY159" i="2" s="1"/>
  <c r="EY158" i="2" a="1"/>
  <c r="EY158" i="2" s="1"/>
  <c r="EY157" i="2" a="1"/>
  <c r="EY157" i="2" s="1"/>
  <c r="EY156" i="2" a="1"/>
  <c r="EY156" i="2" s="1"/>
  <c r="EY155" i="2" a="1"/>
  <c r="EY155" i="2" s="1"/>
  <c r="EY154" i="2" a="1"/>
  <c r="EY154" i="2" s="1"/>
  <c r="EY153" i="2" a="1"/>
  <c r="EY153" i="2" s="1"/>
  <c r="EY152" i="2" a="1"/>
  <c r="EY152" i="2" s="1"/>
  <c r="EY151" i="2" a="1"/>
  <c r="EY151" i="2" s="1"/>
  <c r="EY150" i="2" a="1"/>
  <c r="EY150" i="2" s="1"/>
  <c r="EY149" i="2" a="1"/>
  <c r="EY149" i="2" s="1"/>
  <c r="EY148" i="2" a="1"/>
  <c r="EY148" i="2" s="1"/>
  <c r="EY147" i="2" a="1"/>
  <c r="EY147" i="2" s="1"/>
  <c r="EY146" i="2" a="1"/>
  <c r="EY146" i="2" s="1"/>
  <c r="EY145" i="2" a="1"/>
  <c r="EY145" i="2" s="1"/>
  <c r="EY144" i="2" a="1"/>
  <c r="EY144" i="2" s="1"/>
  <c r="EY143" i="2" a="1"/>
  <c r="EY143" i="2" s="1"/>
  <c r="EY142" i="2" a="1"/>
  <c r="EY142" i="2" s="1"/>
  <c r="EY141" i="2" a="1"/>
  <c r="EY141" i="2" s="1"/>
  <c r="EY140" i="2" a="1"/>
  <c r="EY140" i="2" s="1"/>
  <c r="EY139" i="2" a="1"/>
  <c r="EY139" i="2" s="1"/>
  <c r="EY138" i="2" a="1"/>
  <c r="EY138" i="2" s="1"/>
  <c r="EY137" i="2" a="1"/>
  <c r="EY137" i="2" s="1"/>
  <c r="EY136" i="2" a="1"/>
  <c r="EY136" i="2" s="1"/>
  <c r="EY135" i="2" a="1"/>
  <c r="EY135" i="2" s="1"/>
  <c r="EY134" i="2" a="1"/>
  <c r="EY134" i="2" s="1"/>
  <c r="EY133" i="2" a="1"/>
  <c r="EY133" i="2" s="1"/>
  <c r="EY132" i="2" a="1"/>
  <c r="EY132" i="2" s="1"/>
  <c r="EY131" i="2" a="1"/>
  <c r="EY131" i="2" s="1"/>
  <c r="EY130" i="2" a="1"/>
  <c r="EY130" i="2" s="1"/>
  <c r="EY129" i="2" a="1"/>
  <c r="EY129" i="2" s="1"/>
  <c r="EY128" i="2" a="1"/>
  <c r="EY128" i="2" s="1"/>
  <c r="EY127" i="2" a="1"/>
  <c r="EY127" i="2" s="1"/>
  <c r="EY126" i="2" a="1"/>
  <c r="EY126" i="2" s="1"/>
  <c r="EY125" i="2" a="1"/>
  <c r="EY125" i="2" s="1"/>
  <c r="EY124" i="2" a="1"/>
  <c r="EY124" i="2" s="1"/>
  <c r="EY123" i="2" a="1"/>
  <c r="EY123" i="2" s="1"/>
  <c r="EY122" i="2" a="1"/>
  <c r="EY122" i="2" s="1"/>
  <c r="EY121" i="2" a="1"/>
  <c r="EY121" i="2" s="1"/>
  <c r="EY120" i="2" a="1"/>
  <c r="EY120" i="2" s="1"/>
  <c r="EY119" i="2" a="1"/>
  <c r="EY119" i="2" s="1"/>
  <c r="EY118" i="2" a="1"/>
  <c r="EY118" i="2" s="1"/>
  <c r="EY117" i="2" a="1"/>
  <c r="EY117" i="2" s="1"/>
  <c r="EY116" i="2" a="1"/>
  <c r="EY116" i="2" s="1"/>
  <c r="EY115" i="2" a="1"/>
  <c r="EY115" i="2" s="1"/>
  <c r="EY114" i="2" a="1"/>
  <c r="EY114" i="2" s="1"/>
  <c r="EY113" i="2" a="1"/>
  <c r="EY113" i="2" s="1"/>
  <c r="EY112" i="2" a="1"/>
  <c r="EY112" i="2" s="1"/>
  <c r="EY111" i="2" a="1"/>
  <c r="EY111" i="2" s="1"/>
  <c r="EY110" i="2" a="1"/>
  <c r="EY110" i="2" s="1"/>
  <c r="EY109" i="2" a="1"/>
  <c r="EY109" i="2" s="1"/>
  <c r="EY108" i="2" a="1"/>
  <c r="EY108" i="2" s="1"/>
  <c r="EY107" i="2" a="1"/>
  <c r="EY107" i="2" s="1"/>
  <c r="EY106" i="2" a="1"/>
  <c r="EY106" i="2" s="1"/>
  <c r="EY105" i="2" a="1"/>
  <c r="EY105" i="2" s="1"/>
  <c r="EY104" i="2" a="1"/>
  <c r="EY104" i="2" s="1"/>
  <c r="EY103" i="2" a="1"/>
  <c r="EY103" i="2" s="1"/>
  <c r="EY102" i="2" a="1"/>
  <c r="EY102" i="2" s="1"/>
  <c r="EY101" i="2" a="1"/>
  <c r="EY101" i="2" s="1"/>
  <c r="EY100" i="2" a="1"/>
  <c r="EY100" i="2" s="1"/>
  <c r="EY99" i="2" a="1"/>
  <c r="EY99" i="2" s="1"/>
  <c r="EY98" i="2" a="1"/>
  <c r="EY98" i="2" s="1"/>
  <c r="EY97" i="2" a="1"/>
  <c r="EY97" i="2" s="1"/>
  <c r="EY96" i="2" a="1"/>
  <c r="EY96" i="2" s="1"/>
  <c r="EY95" i="2" a="1"/>
  <c r="EY95" i="2" s="1"/>
  <c r="EY94" i="2" a="1"/>
  <c r="EY94" i="2" s="1"/>
  <c r="EY93" i="2" a="1"/>
  <c r="EY93" i="2" s="1"/>
  <c r="EY92" i="2" a="1"/>
  <c r="EY92" i="2" s="1"/>
  <c r="EY91" i="2" a="1"/>
  <c r="EY91" i="2" s="1"/>
  <c r="EY90" i="2" a="1"/>
  <c r="EY90" i="2" s="1"/>
  <c r="EY89" i="2" a="1"/>
  <c r="EY89" i="2" s="1"/>
  <c r="EY88" i="2" a="1"/>
  <c r="EY88" i="2" s="1"/>
  <c r="EY87" i="2" a="1"/>
  <c r="EY87" i="2" s="1"/>
  <c r="EY86" i="2" a="1"/>
  <c r="EY86" i="2" s="1"/>
  <c r="EY85" i="2" a="1"/>
  <c r="EY85" i="2" s="1"/>
  <c r="EY84" i="2" a="1"/>
  <c r="EY84" i="2" s="1"/>
  <c r="EY83" i="2" a="1"/>
  <c r="EY83" i="2" s="1"/>
  <c r="EY82" i="2" a="1"/>
  <c r="EY82" i="2" s="1"/>
  <c r="EY81" i="2" a="1"/>
  <c r="EY81" i="2" s="1"/>
  <c r="EY80" i="2" a="1"/>
  <c r="EY80" i="2" s="1"/>
  <c r="EY79" i="2" a="1"/>
  <c r="EY79" i="2" s="1"/>
  <c r="EY78" i="2" a="1"/>
  <c r="EY78" i="2" s="1"/>
  <c r="EY77" i="2" a="1"/>
  <c r="EY77" i="2" s="1"/>
  <c r="EY76" i="2" a="1"/>
  <c r="EY76" i="2" s="1"/>
  <c r="EY75" i="2" a="1"/>
  <c r="EY75" i="2" s="1"/>
  <c r="EY74" i="2" a="1"/>
  <c r="EY74" i="2" s="1"/>
  <c r="EY73" i="2" a="1"/>
  <c r="EY73" i="2" s="1"/>
  <c r="EY72" i="2" a="1"/>
  <c r="EY72" i="2" s="1"/>
  <c r="EY71" i="2" a="1"/>
  <c r="EY71" i="2" s="1"/>
  <c r="EY70" i="2" a="1"/>
  <c r="EY70" i="2" s="1"/>
  <c r="EY69" i="2" a="1"/>
  <c r="EY69" i="2" s="1"/>
  <c r="EY68" i="2" a="1"/>
  <c r="EY68" i="2" s="1"/>
  <c r="EY67" i="2" a="1"/>
  <c r="EY67" i="2" s="1"/>
  <c r="EY66" i="2" a="1"/>
  <c r="EY66" i="2" s="1"/>
  <c r="EY65" i="2" a="1"/>
  <c r="EY65" i="2" s="1"/>
  <c r="EY64" i="2" a="1"/>
  <c r="EY64" i="2" s="1"/>
  <c r="EY63" i="2" a="1"/>
  <c r="EY63" i="2" s="1"/>
  <c r="EY62" i="2" a="1"/>
  <c r="EY62" i="2" s="1"/>
  <c r="EY61" i="2" a="1"/>
  <c r="EY61" i="2" s="1"/>
  <c r="EY60" i="2" a="1"/>
  <c r="EY60" i="2" s="1"/>
  <c r="EY59" i="2" a="1"/>
  <c r="EY59" i="2" s="1"/>
  <c r="EY58" i="2" a="1"/>
  <c r="EY58" i="2" s="1"/>
  <c r="EY57" i="2" a="1"/>
  <c r="EY57" i="2" s="1"/>
  <c r="EY56" i="2" a="1"/>
  <c r="EY56" i="2" s="1"/>
  <c r="EY55" i="2" a="1"/>
  <c r="EY55" i="2" s="1"/>
  <c r="EY54" i="2" a="1"/>
  <c r="EY54" i="2" s="1"/>
  <c r="EY53" i="2" a="1"/>
  <c r="EY53" i="2" s="1"/>
  <c r="EY52" i="2" a="1"/>
  <c r="EY52" i="2" s="1"/>
  <c r="EY51" i="2" a="1"/>
  <c r="EY51" i="2" s="1"/>
  <c r="EY50" i="2" a="1"/>
  <c r="EY50" i="2" s="1"/>
  <c r="EY49" i="2" a="1"/>
  <c r="EY49" i="2" s="1"/>
  <c r="EY48" i="2" a="1"/>
  <c r="EY48" i="2" s="1"/>
  <c r="EY47" i="2" a="1"/>
  <c r="EY47" i="2" s="1"/>
  <c r="EY46" i="2" a="1"/>
  <c r="EY46" i="2" s="1"/>
  <c r="EY45" i="2" a="1"/>
  <c r="EY45" i="2" s="1"/>
  <c r="EY44" i="2" a="1"/>
  <c r="EY44" i="2" s="1"/>
  <c r="EY43" i="2" a="1"/>
  <c r="EY43" i="2" s="1"/>
  <c r="EY42" i="2" a="1"/>
  <c r="EY42" i="2" s="1"/>
  <c r="EY41" i="2" a="1"/>
  <c r="EY41" i="2" s="1"/>
  <c r="EY40" i="2" a="1"/>
  <c r="EY40" i="2" s="1"/>
  <c r="EY39" i="2" a="1"/>
  <c r="EY39" i="2" s="1"/>
  <c r="EY38" i="2" a="1"/>
  <c r="EY38" i="2" s="1"/>
  <c r="EY37" i="2" a="1"/>
  <c r="EY37" i="2" s="1"/>
  <c r="EY36" i="2" a="1"/>
  <c r="EY36" i="2" s="1"/>
  <c r="EY35" i="2" a="1"/>
  <c r="EY35" i="2" s="1"/>
  <c r="EY34" i="2" a="1"/>
  <c r="EY34" i="2" s="1"/>
  <c r="EY33" i="2" a="1"/>
  <c r="EY33" i="2" s="1"/>
  <c r="EY32" i="2" a="1"/>
  <c r="EY32" i="2" s="1"/>
  <c r="EY31" i="2" a="1"/>
  <c r="EY31" i="2" s="1"/>
  <c r="EY30" i="2" a="1"/>
  <c r="EY30" i="2" s="1"/>
  <c r="EY29" i="2" a="1"/>
  <c r="EY29" i="2" s="1"/>
  <c r="EY28" i="2" a="1"/>
  <c r="EY28" i="2" s="1"/>
  <c r="EY27" i="2" a="1"/>
  <c r="EY27" i="2" s="1"/>
  <c r="EY26" i="2" a="1"/>
  <c r="EY26" i="2" s="1"/>
  <c r="EY25" i="2" a="1"/>
  <c r="EY25" i="2" s="1"/>
  <c r="EY24" i="2" a="1"/>
  <c r="EY24" i="2" s="1"/>
  <c r="EY23" i="2" a="1"/>
  <c r="EY23" i="2" s="1"/>
  <c r="EY22" i="2" a="1"/>
  <c r="EY22" i="2" s="1"/>
  <c r="EY21" i="2" a="1"/>
  <c r="EY21" i="2" s="1"/>
  <c r="EY20" i="2" a="1"/>
  <c r="EY20" i="2" s="1"/>
  <c r="EY19" i="2" a="1"/>
  <c r="EY19" i="2" s="1"/>
  <c r="EY18" i="2" a="1"/>
  <c r="EY18" i="2" s="1"/>
  <c r="EY17" i="2" a="1"/>
  <c r="EY17" i="2" s="1"/>
  <c r="EY16" i="2" a="1"/>
  <c r="EY16" i="2" s="1"/>
  <c r="EY15" i="2" a="1"/>
  <c r="EY15" i="2" s="1"/>
  <c r="EY14" i="2" a="1"/>
  <c r="EY14" i="2" s="1"/>
  <c r="EY13" i="2" a="1"/>
  <c r="EY13" i="2" s="1"/>
  <c r="EY12" i="2" a="1"/>
  <c r="EY12" i="2" s="1"/>
  <c r="EY11" i="2" a="1"/>
  <c r="EY11" i="2" s="1"/>
  <c r="EY10" i="2" a="1"/>
  <c r="EY10" i="2" s="1"/>
  <c r="EY9" i="2" a="1"/>
  <c r="EY9" i="2" s="1"/>
  <c r="EY8" i="2" a="1"/>
  <c r="EY8" i="2" s="1"/>
  <c r="EY7" i="2" a="1"/>
  <c r="EY7" i="2" s="1"/>
  <c r="EY6" i="2" a="1"/>
  <c r="EY6" i="2" s="1"/>
  <c r="EY5" i="2" a="1"/>
  <c r="EY5" i="2" s="1"/>
  <c r="EY4" i="2" a="1"/>
  <c r="EY4" i="2" s="1"/>
  <c r="DP1" i="2" l="1"/>
  <c r="ES5" i="2"/>
  <c r="ES6" i="2"/>
  <c r="ES7" i="2"/>
  <c r="ES8" i="2"/>
  <c r="ES9" i="2"/>
  <c r="ES10" i="2"/>
  <c r="ES11" i="2"/>
  <c r="ES12" i="2"/>
  <c r="ES13" i="2"/>
  <c r="ES14" i="2"/>
  <c r="ES15" i="2"/>
  <c r="ES16" i="2"/>
  <c r="ES17" i="2"/>
  <c r="ES18" i="2"/>
  <c r="ES19" i="2"/>
  <c r="ES20" i="2"/>
  <c r="ES21" i="2"/>
  <c r="ES22" i="2"/>
  <c r="ES23" i="2"/>
  <c r="ES24" i="2"/>
  <c r="ES25" i="2"/>
  <c r="ER25" i="2" s="1"/>
  <c r="ES26" i="2"/>
  <c r="ES27" i="2"/>
  <c r="ER27" i="2" s="1"/>
  <c r="ES28" i="2"/>
  <c r="ER28" i="2" s="1"/>
  <c r="ES29" i="2"/>
  <c r="ES30" i="2"/>
  <c r="ES31" i="2"/>
  <c r="ES32" i="2"/>
  <c r="ES33" i="2"/>
  <c r="ES34" i="2"/>
  <c r="ES35" i="2"/>
  <c r="ES36" i="2"/>
  <c r="ES37" i="2"/>
  <c r="ES38" i="2"/>
  <c r="ES39" i="2"/>
  <c r="ES40" i="2"/>
  <c r="ES41" i="2"/>
  <c r="ES42" i="2"/>
  <c r="ES43" i="2"/>
  <c r="ES44" i="2"/>
  <c r="ES45" i="2"/>
  <c r="ES46" i="2"/>
  <c r="ES47" i="2"/>
  <c r="ES48" i="2"/>
  <c r="ES49" i="2"/>
  <c r="ES50" i="2"/>
  <c r="ES51" i="2"/>
  <c r="ES52" i="2"/>
  <c r="ES53" i="2"/>
  <c r="ES54" i="2"/>
  <c r="ES55" i="2"/>
  <c r="ES56" i="2"/>
  <c r="ES57" i="2"/>
  <c r="ES58" i="2"/>
  <c r="ES59" i="2"/>
  <c r="ES60" i="2"/>
  <c r="ES61" i="2"/>
  <c r="ES62" i="2"/>
  <c r="ES63" i="2"/>
  <c r="ES64" i="2"/>
  <c r="ES65" i="2"/>
  <c r="ES66" i="2"/>
  <c r="ES67" i="2"/>
  <c r="ES68" i="2"/>
  <c r="ES69" i="2"/>
  <c r="ES70" i="2"/>
  <c r="ES71" i="2"/>
  <c r="ES72" i="2"/>
  <c r="ES73" i="2"/>
  <c r="ES74" i="2"/>
  <c r="ES75" i="2"/>
  <c r="ES76" i="2"/>
  <c r="ES77" i="2"/>
  <c r="ES78" i="2"/>
  <c r="ES79" i="2"/>
  <c r="ES80" i="2"/>
  <c r="ES81" i="2"/>
  <c r="ES82" i="2"/>
  <c r="ES83" i="2"/>
  <c r="ES84" i="2"/>
  <c r="ES85" i="2"/>
  <c r="ES86" i="2"/>
  <c r="ES87" i="2"/>
  <c r="ES88" i="2"/>
  <c r="ES89" i="2"/>
  <c r="ES90" i="2"/>
  <c r="ES91" i="2"/>
  <c r="ES92" i="2"/>
  <c r="ES93" i="2"/>
  <c r="ES94" i="2"/>
  <c r="ES95" i="2"/>
  <c r="ES96" i="2"/>
  <c r="ES97" i="2"/>
  <c r="ES98" i="2"/>
  <c r="ES99" i="2"/>
  <c r="ES100" i="2"/>
  <c r="ES101" i="2"/>
  <c r="ES102" i="2"/>
  <c r="ES103" i="2"/>
  <c r="ES104" i="2"/>
  <c r="ES105" i="2"/>
  <c r="ES106" i="2"/>
  <c r="ES107" i="2"/>
  <c r="ES108" i="2"/>
  <c r="ES109" i="2"/>
  <c r="ES110" i="2"/>
  <c r="ES111" i="2"/>
  <c r="ES112" i="2"/>
  <c r="ES113" i="2"/>
  <c r="ES114" i="2"/>
  <c r="ES115" i="2"/>
  <c r="ES116" i="2"/>
  <c r="ES117" i="2"/>
  <c r="ES118" i="2"/>
  <c r="ES119" i="2"/>
  <c r="ES120" i="2"/>
  <c r="ES121" i="2"/>
  <c r="ES122" i="2"/>
  <c r="ES123" i="2"/>
  <c r="ES124" i="2"/>
  <c r="ES125" i="2"/>
  <c r="ES126" i="2"/>
  <c r="ES127" i="2"/>
  <c r="ES128" i="2"/>
  <c r="ES129" i="2"/>
  <c r="ES130" i="2"/>
  <c r="ES131" i="2"/>
  <c r="ES132" i="2"/>
  <c r="ES133" i="2"/>
  <c r="ES134" i="2"/>
  <c r="ES135" i="2"/>
  <c r="ES136" i="2"/>
  <c r="ES137" i="2"/>
  <c r="ES138" i="2"/>
  <c r="ES139" i="2"/>
  <c r="ES140" i="2"/>
  <c r="ES141" i="2"/>
  <c r="ES142" i="2"/>
  <c r="ES143" i="2"/>
  <c r="ES144" i="2"/>
  <c r="ES145" i="2"/>
  <c r="ES146" i="2"/>
  <c r="ES147" i="2"/>
  <c r="ES148" i="2"/>
  <c r="ES149" i="2"/>
  <c r="ES150" i="2"/>
  <c r="ES151" i="2"/>
  <c r="ES152" i="2"/>
  <c r="ES153" i="2"/>
  <c r="ES154" i="2"/>
  <c r="ES155" i="2"/>
  <c r="ES156" i="2"/>
  <c r="ES157" i="2"/>
  <c r="ES158" i="2"/>
  <c r="ES159" i="2"/>
  <c r="ES160" i="2"/>
  <c r="ES161" i="2"/>
  <c r="ES162" i="2"/>
  <c r="ES163" i="2"/>
  <c r="ES164" i="2"/>
  <c r="ES165" i="2"/>
  <c r="ES166" i="2"/>
  <c r="ES167" i="2"/>
  <c r="ES168" i="2"/>
  <c r="ES169" i="2"/>
  <c r="ES170" i="2"/>
  <c r="ES171" i="2"/>
  <c r="ES172" i="2"/>
  <c r="ES173" i="2"/>
  <c r="ES174" i="2"/>
  <c r="ES175" i="2"/>
  <c r="ES176" i="2"/>
  <c r="ES177" i="2"/>
  <c r="ES178" i="2"/>
  <c r="ES179" i="2"/>
  <c r="ES180" i="2"/>
  <c r="ES181" i="2"/>
  <c r="ES182" i="2"/>
  <c r="ES183" i="2"/>
  <c r="ES184" i="2"/>
  <c r="ES185" i="2"/>
  <c r="ES186" i="2"/>
  <c r="ES187" i="2"/>
  <c r="ES188" i="2"/>
  <c r="ES189" i="2"/>
  <c r="ES190" i="2"/>
  <c r="ES191" i="2"/>
  <c r="ES192" i="2"/>
  <c r="ES193" i="2"/>
  <c r="ES194" i="2"/>
  <c r="ES195" i="2"/>
  <c r="ES196" i="2"/>
  <c r="ES197" i="2"/>
  <c r="ES198" i="2"/>
  <c r="ES199" i="2"/>
  <c r="ES200" i="2"/>
  <c r="ES201" i="2"/>
  <c r="ES202" i="2"/>
  <c r="ES203" i="2"/>
  <c r="ES204" i="2"/>
  <c r="ES205" i="2"/>
  <c r="ES206" i="2"/>
  <c r="ES207" i="2"/>
  <c r="ES208" i="2"/>
  <c r="ES209" i="2"/>
  <c r="ES210" i="2"/>
  <c r="ES211" i="2"/>
  <c r="ES212" i="2"/>
  <c r="ES213" i="2"/>
  <c r="ES214" i="2"/>
  <c r="ES215" i="2"/>
  <c r="ES216" i="2"/>
  <c r="ES217" i="2"/>
  <c r="ES218" i="2"/>
  <c r="ES219" i="2"/>
  <c r="ES220" i="2"/>
  <c r="ES221" i="2"/>
  <c r="ES222" i="2"/>
  <c r="ES223" i="2"/>
  <c r="ES224" i="2"/>
  <c r="ES225" i="2"/>
  <c r="ES226" i="2"/>
  <c r="ES227" i="2"/>
  <c r="ES228" i="2"/>
  <c r="ES229" i="2"/>
  <c r="ES230" i="2"/>
  <c r="ES231" i="2"/>
  <c r="ES232" i="2"/>
  <c r="ES233" i="2"/>
  <c r="ES234" i="2"/>
  <c r="ES235" i="2"/>
  <c r="ES236" i="2"/>
  <c r="ES237" i="2"/>
  <c r="ES238" i="2"/>
  <c r="ES239" i="2"/>
  <c r="ES240" i="2"/>
  <c r="ES241" i="2"/>
  <c r="ES242" i="2"/>
  <c r="ES243" i="2"/>
  <c r="ES244" i="2"/>
  <c r="ES245" i="2"/>
  <c r="ES246" i="2"/>
  <c r="ES247" i="2"/>
  <c r="ES248" i="2"/>
  <c r="ES249" i="2"/>
  <c r="ES250" i="2"/>
  <c r="ES251" i="2"/>
  <c r="ES252" i="2"/>
  <c r="ES253" i="2"/>
  <c r="ES4" i="2"/>
  <c r="ER4" i="2" s="1"/>
  <c r="ER24" i="2"/>
  <c r="ER26" i="2"/>
  <c r="ER29" i="2"/>
  <c r="EQ26" i="2"/>
  <c r="EQ27" i="2"/>
  <c r="EQ28" i="2"/>
  <c r="EV26" i="2"/>
  <c r="EU26" i="2"/>
  <c r="ET26" i="2"/>
  <c r="EP26" i="2"/>
  <c r="EV25" i="2"/>
  <c r="EU25" i="2"/>
  <c r="ET25" i="2"/>
  <c r="EQ25" i="2"/>
  <c r="EP25" i="2"/>
  <c r="EO1" i="2" l="1"/>
  <c r="ER5" i="2"/>
  <c r="ER6" i="2"/>
  <c r="ER7" i="2"/>
  <c r="ER8" i="2"/>
  <c r="ER9" i="2"/>
  <c r="ER10" i="2"/>
  <c r="ER11" i="2"/>
  <c r="ER12" i="2"/>
  <c r="ER13" i="2"/>
  <c r="ER14" i="2"/>
  <c r="ER15" i="2"/>
  <c r="ER16" i="2"/>
  <c r="ER17" i="2"/>
  <c r="ER18" i="2"/>
  <c r="ER19" i="2"/>
  <c r="ER20" i="2"/>
  <c r="ER21" i="2"/>
  <c r="ER22" i="2"/>
  <c r="ER23" i="2"/>
  <c r="ER30" i="2"/>
  <c r="ER31" i="2"/>
  <c r="ER32" i="2"/>
  <c r="ER33" i="2"/>
  <c r="ER34" i="2"/>
  <c r="ER35" i="2"/>
  <c r="ER36" i="2"/>
  <c r="ER37" i="2"/>
  <c r="ER38" i="2"/>
  <c r="ER39" i="2"/>
  <c r="ER40" i="2"/>
  <c r="ER41" i="2"/>
  <c r="ER42" i="2"/>
  <c r="ER43" i="2"/>
  <c r="ER44" i="2"/>
  <c r="ER45" i="2"/>
  <c r="ER46" i="2"/>
  <c r="ER47" i="2"/>
  <c r="ER48" i="2"/>
  <c r="ER49" i="2"/>
  <c r="ER50" i="2"/>
  <c r="ER51" i="2"/>
  <c r="ER52" i="2"/>
  <c r="ER53" i="2"/>
  <c r="ER54" i="2"/>
  <c r="ER55" i="2"/>
  <c r="ER56" i="2"/>
  <c r="ER57" i="2"/>
  <c r="ER58" i="2"/>
  <c r="ER59" i="2"/>
  <c r="ER60" i="2"/>
  <c r="ER61" i="2"/>
  <c r="ER62" i="2"/>
  <c r="ER63" i="2"/>
  <c r="ER64" i="2"/>
  <c r="ER65" i="2"/>
  <c r="ER66" i="2"/>
  <c r="ER67" i="2"/>
  <c r="ER68" i="2"/>
  <c r="ER69" i="2"/>
  <c r="ER70" i="2"/>
  <c r="ER71" i="2"/>
  <c r="ER72" i="2"/>
  <c r="ER73" i="2"/>
  <c r="ER74" i="2"/>
  <c r="ER75" i="2"/>
  <c r="ER76" i="2"/>
  <c r="ER77" i="2"/>
  <c r="ER78" i="2"/>
  <c r="ER79" i="2"/>
  <c r="ER80" i="2"/>
  <c r="ER81" i="2"/>
  <c r="ER82" i="2"/>
  <c r="ER83" i="2"/>
  <c r="ER84" i="2"/>
  <c r="ER85" i="2"/>
  <c r="ER86" i="2"/>
  <c r="ER87" i="2"/>
  <c r="ER88" i="2"/>
  <c r="ER89" i="2"/>
  <c r="ER90" i="2"/>
  <c r="ER91" i="2"/>
  <c r="ER92" i="2"/>
  <c r="ER93" i="2"/>
  <c r="ER94" i="2"/>
  <c r="ER95" i="2"/>
  <c r="ER96" i="2"/>
  <c r="ER97" i="2"/>
  <c r="ER98" i="2"/>
  <c r="ER99" i="2"/>
  <c r="ER100" i="2"/>
  <c r="ER101" i="2"/>
  <c r="ER102" i="2"/>
  <c r="ER103" i="2"/>
  <c r="ER104" i="2"/>
  <c r="ER105" i="2"/>
  <c r="ER106" i="2"/>
  <c r="ER107" i="2"/>
  <c r="ER108" i="2"/>
  <c r="ER109" i="2"/>
  <c r="ER110" i="2"/>
  <c r="ER111" i="2"/>
  <c r="ER112" i="2"/>
  <c r="ER113" i="2"/>
  <c r="ER114" i="2"/>
  <c r="ER115" i="2"/>
  <c r="ER116" i="2"/>
  <c r="ER117" i="2"/>
  <c r="ER118" i="2"/>
  <c r="ER119" i="2"/>
  <c r="ER120" i="2"/>
  <c r="ER121" i="2"/>
  <c r="ER122" i="2"/>
  <c r="ER123" i="2"/>
  <c r="ER124" i="2"/>
  <c r="ER125" i="2"/>
  <c r="ER126" i="2"/>
  <c r="ER127" i="2"/>
  <c r="ER128" i="2"/>
  <c r="ER129" i="2"/>
  <c r="ER130" i="2"/>
  <c r="ER131" i="2"/>
  <c r="ER132" i="2"/>
  <c r="ER133" i="2"/>
  <c r="ER134" i="2"/>
  <c r="ER135" i="2"/>
  <c r="ER136" i="2"/>
  <c r="ER137" i="2"/>
  <c r="ER138" i="2"/>
  <c r="ER139" i="2"/>
  <c r="ER140" i="2"/>
  <c r="ER141" i="2"/>
  <c r="ER142" i="2"/>
  <c r="ER143" i="2"/>
  <c r="ER144" i="2"/>
  <c r="ER145" i="2"/>
  <c r="ER146" i="2"/>
  <c r="ER147" i="2"/>
  <c r="ER148" i="2"/>
  <c r="ER149" i="2"/>
  <c r="ER150" i="2"/>
  <c r="ER151" i="2"/>
  <c r="ER152" i="2"/>
  <c r="ER153" i="2"/>
  <c r="ER154" i="2"/>
  <c r="ER155" i="2"/>
  <c r="ER156" i="2"/>
  <c r="ER157" i="2"/>
  <c r="ER158" i="2"/>
  <c r="ER159" i="2"/>
  <c r="ER160" i="2"/>
  <c r="ER161" i="2"/>
  <c r="ER162" i="2"/>
  <c r="ER163" i="2"/>
  <c r="ER164" i="2"/>
  <c r="ER165" i="2"/>
  <c r="ER166" i="2"/>
  <c r="ER167" i="2"/>
  <c r="ER168" i="2"/>
  <c r="ER169" i="2"/>
  <c r="ER170" i="2"/>
  <c r="ER171" i="2"/>
  <c r="ER172" i="2"/>
  <c r="ER173" i="2"/>
  <c r="ER174" i="2"/>
  <c r="ER175" i="2"/>
  <c r="ER176" i="2"/>
  <c r="ER177" i="2"/>
  <c r="ER178" i="2"/>
  <c r="ER179" i="2"/>
  <c r="ER180" i="2"/>
  <c r="ER181" i="2"/>
  <c r="ER182" i="2"/>
  <c r="ER183" i="2"/>
  <c r="ER184" i="2"/>
  <c r="ER185" i="2"/>
  <c r="ER186" i="2"/>
  <c r="ER187" i="2"/>
  <c r="ER188" i="2"/>
  <c r="ER189" i="2"/>
  <c r="ER190" i="2"/>
  <c r="ER191" i="2"/>
  <c r="ER192" i="2"/>
  <c r="ER193" i="2"/>
  <c r="ER194" i="2"/>
  <c r="ER195" i="2"/>
  <c r="ER196" i="2"/>
  <c r="ER197" i="2"/>
  <c r="ER198" i="2"/>
  <c r="ER199" i="2"/>
  <c r="ER200" i="2"/>
  <c r="ER201" i="2"/>
  <c r="ER202" i="2"/>
  <c r="ER203" i="2"/>
  <c r="ER204" i="2"/>
  <c r="ER205" i="2"/>
  <c r="ER206" i="2"/>
  <c r="ER207" i="2"/>
  <c r="ER208" i="2"/>
  <c r="ER209" i="2"/>
  <c r="ER210" i="2"/>
  <c r="ER211" i="2"/>
  <c r="ER212" i="2"/>
  <c r="ER213" i="2"/>
  <c r="ER214" i="2"/>
  <c r="ER215" i="2"/>
  <c r="ER216" i="2"/>
  <c r="ER217" i="2"/>
  <c r="ER218" i="2"/>
  <c r="ER219" i="2"/>
  <c r="ER220" i="2"/>
  <c r="ER221" i="2"/>
  <c r="ER222" i="2"/>
  <c r="ER223" i="2"/>
  <c r="ER224" i="2"/>
  <c r="ER225" i="2"/>
  <c r="ER226" i="2"/>
  <c r="ER227" i="2"/>
  <c r="ER228" i="2"/>
  <c r="ER229" i="2"/>
  <c r="ER230" i="2"/>
  <c r="ER231" i="2"/>
  <c r="ER232" i="2"/>
  <c r="ER233" i="2"/>
  <c r="ER234" i="2"/>
  <c r="ER235" i="2"/>
  <c r="ER236" i="2"/>
  <c r="ER237" i="2"/>
  <c r="ER238" i="2"/>
  <c r="ER239" i="2"/>
  <c r="ER240" i="2"/>
  <c r="ER241" i="2"/>
  <c r="ER242" i="2"/>
  <c r="ER243" i="2"/>
  <c r="ER244" i="2"/>
  <c r="ER245" i="2"/>
  <c r="ER246" i="2"/>
  <c r="ER247" i="2"/>
  <c r="ER248" i="2"/>
  <c r="ER249" i="2"/>
  <c r="ER250" i="2"/>
  <c r="ER251" i="2"/>
  <c r="ER252" i="2"/>
  <c r="ER253" i="2"/>
  <c r="EN1" i="2"/>
  <c r="EM1" i="2"/>
  <c r="EQ5" i="2"/>
  <c r="EQ6" i="2"/>
  <c r="EQ7" i="2"/>
  <c r="EQ8" i="2"/>
  <c r="EQ9" i="2"/>
  <c r="EQ10" i="2"/>
  <c r="EQ11" i="2"/>
  <c r="EQ12" i="2"/>
  <c r="EQ13" i="2"/>
  <c r="EQ14" i="2"/>
  <c r="EQ15" i="2"/>
  <c r="EQ16" i="2"/>
  <c r="EQ17" i="2"/>
  <c r="EQ18" i="2"/>
  <c r="EQ19" i="2"/>
  <c r="EQ20" i="2"/>
  <c r="EQ21" i="2"/>
  <c r="EQ22" i="2"/>
  <c r="EQ23" i="2"/>
  <c r="EQ24" i="2"/>
  <c r="EQ29" i="2"/>
  <c r="EQ30" i="2"/>
  <c r="EQ31" i="2"/>
  <c r="EQ32" i="2"/>
  <c r="EQ33" i="2"/>
  <c r="EQ34" i="2"/>
  <c r="EQ35" i="2"/>
  <c r="EQ36" i="2"/>
  <c r="EQ37" i="2"/>
  <c r="EQ38" i="2"/>
  <c r="EQ39" i="2"/>
  <c r="EQ40" i="2"/>
  <c r="EQ41" i="2"/>
  <c r="EQ42" i="2"/>
  <c r="EQ43" i="2"/>
  <c r="EQ44" i="2"/>
  <c r="EQ45" i="2"/>
  <c r="EQ46" i="2"/>
  <c r="EQ47" i="2"/>
  <c r="EQ48" i="2"/>
  <c r="EQ49" i="2"/>
  <c r="EQ50" i="2"/>
  <c r="EQ51" i="2"/>
  <c r="EQ52" i="2"/>
  <c r="EQ53" i="2"/>
  <c r="EQ54" i="2"/>
  <c r="EQ55" i="2"/>
  <c r="EQ56" i="2"/>
  <c r="EQ57" i="2"/>
  <c r="EQ58" i="2"/>
  <c r="EQ59" i="2"/>
  <c r="EQ60" i="2"/>
  <c r="EQ61" i="2"/>
  <c r="EQ62" i="2"/>
  <c r="EQ63" i="2"/>
  <c r="EQ64" i="2"/>
  <c r="EQ65" i="2"/>
  <c r="EQ66" i="2"/>
  <c r="EQ67" i="2"/>
  <c r="EQ68" i="2"/>
  <c r="EQ69" i="2"/>
  <c r="EQ70" i="2"/>
  <c r="EQ71" i="2"/>
  <c r="EQ72" i="2"/>
  <c r="EQ73" i="2"/>
  <c r="EQ74" i="2"/>
  <c r="EQ75" i="2"/>
  <c r="EQ76" i="2"/>
  <c r="EQ77" i="2"/>
  <c r="EQ78" i="2"/>
  <c r="EQ79" i="2"/>
  <c r="EQ80" i="2"/>
  <c r="EQ81" i="2"/>
  <c r="EQ82" i="2"/>
  <c r="EQ83" i="2"/>
  <c r="EQ84" i="2"/>
  <c r="EQ85" i="2"/>
  <c r="EQ86" i="2"/>
  <c r="EQ87" i="2"/>
  <c r="EQ88" i="2"/>
  <c r="EQ89" i="2"/>
  <c r="EQ90" i="2"/>
  <c r="EQ91" i="2"/>
  <c r="EQ92" i="2"/>
  <c r="EQ93" i="2"/>
  <c r="EQ94" i="2"/>
  <c r="EQ95" i="2"/>
  <c r="EQ96" i="2"/>
  <c r="EQ97" i="2"/>
  <c r="EQ98" i="2"/>
  <c r="EQ99" i="2"/>
  <c r="EQ100" i="2"/>
  <c r="EQ101" i="2"/>
  <c r="EQ102" i="2"/>
  <c r="EQ103" i="2"/>
  <c r="EQ104" i="2"/>
  <c r="EQ105" i="2"/>
  <c r="EQ106" i="2"/>
  <c r="EQ107" i="2"/>
  <c r="EQ108" i="2"/>
  <c r="EQ109" i="2"/>
  <c r="EQ110" i="2"/>
  <c r="EQ111" i="2"/>
  <c r="EQ112" i="2"/>
  <c r="EQ113" i="2"/>
  <c r="EQ114" i="2"/>
  <c r="EQ115" i="2"/>
  <c r="EQ116" i="2"/>
  <c r="EQ117" i="2"/>
  <c r="EQ118" i="2"/>
  <c r="EQ119" i="2"/>
  <c r="EQ120" i="2"/>
  <c r="EQ121" i="2"/>
  <c r="EQ122" i="2"/>
  <c r="EQ123" i="2"/>
  <c r="EQ124" i="2"/>
  <c r="EQ125" i="2"/>
  <c r="EQ126" i="2"/>
  <c r="EQ127" i="2"/>
  <c r="EQ128" i="2"/>
  <c r="EQ129" i="2"/>
  <c r="EQ130" i="2"/>
  <c r="EQ131" i="2"/>
  <c r="EQ132" i="2"/>
  <c r="EQ133" i="2"/>
  <c r="EQ134" i="2"/>
  <c r="EQ135" i="2"/>
  <c r="EQ136" i="2"/>
  <c r="EQ137" i="2"/>
  <c r="EQ138" i="2"/>
  <c r="EQ139" i="2"/>
  <c r="EQ140" i="2"/>
  <c r="EQ141" i="2"/>
  <c r="EQ142" i="2"/>
  <c r="EQ143" i="2"/>
  <c r="EQ144" i="2"/>
  <c r="EQ145" i="2"/>
  <c r="EQ146" i="2"/>
  <c r="EQ147" i="2"/>
  <c r="EQ148" i="2"/>
  <c r="EQ149" i="2"/>
  <c r="EQ150" i="2"/>
  <c r="EQ151" i="2"/>
  <c r="EQ152" i="2"/>
  <c r="EQ153" i="2"/>
  <c r="EQ154" i="2"/>
  <c r="EQ155" i="2"/>
  <c r="EQ156" i="2"/>
  <c r="EQ157" i="2"/>
  <c r="EQ158" i="2"/>
  <c r="EQ159" i="2"/>
  <c r="EQ160" i="2"/>
  <c r="EQ161" i="2"/>
  <c r="EQ162" i="2"/>
  <c r="EQ163" i="2"/>
  <c r="EQ164" i="2"/>
  <c r="EQ165" i="2"/>
  <c r="EQ166" i="2"/>
  <c r="EQ167" i="2"/>
  <c r="EQ168" i="2"/>
  <c r="EQ169" i="2"/>
  <c r="EQ170" i="2"/>
  <c r="EQ171" i="2"/>
  <c r="EQ172" i="2"/>
  <c r="EQ173" i="2"/>
  <c r="EQ174" i="2"/>
  <c r="EQ175" i="2"/>
  <c r="EQ176" i="2"/>
  <c r="EQ177" i="2"/>
  <c r="EQ178" i="2"/>
  <c r="EQ179" i="2"/>
  <c r="EQ180" i="2"/>
  <c r="EQ181" i="2"/>
  <c r="EQ182" i="2"/>
  <c r="EQ183" i="2"/>
  <c r="EQ184" i="2"/>
  <c r="EQ185" i="2"/>
  <c r="EQ186" i="2"/>
  <c r="EQ187" i="2"/>
  <c r="EQ188" i="2"/>
  <c r="EQ189" i="2"/>
  <c r="EQ190" i="2"/>
  <c r="EQ191" i="2"/>
  <c r="EQ192" i="2"/>
  <c r="EQ193" i="2"/>
  <c r="EQ194" i="2"/>
  <c r="EQ195" i="2"/>
  <c r="EQ196" i="2"/>
  <c r="EQ197" i="2"/>
  <c r="EQ198" i="2"/>
  <c r="EQ199" i="2"/>
  <c r="EQ200" i="2"/>
  <c r="EQ201" i="2"/>
  <c r="EQ202" i="2"/>
  <c r="EQ203" i="2"/>
  <c r="EQ204" i="2"/>
  <c r="EQ205" i="2"/>
  <c r="EQ206" i="2"/>
  <c r="EQ207" i="2"/>
  <c r="EQ208" i="2"/>
  <c r="EQ209" i="2"/>
  <c r="EQ210" i="2"/>
  <c r="EQ211" i="2"/>
  <c r="EQ212" i="2"/>
  <c r="EQ213" i="2"/>
  <c r="EQ214" i="2"/>
  <c r="EQ215" i="2"/>
  <c r="EQ216" i="2"/>
  <c r="EQ217" i="2"/>
  <c r="EQ218" i="2"/>
  <c r="EQ219" i="2"/>
  <c r="EQ220" i="2"/>
  <c r="EQ221" i="2"/>
  <c r="EQ222" i="2"/>
  <c r="EQ223" i="2"/>
  <c r="EQ224" i="2"/>
  <c r="EQ225" i="2"/>
  <c r="EQ226" i="2"/>
  <c r="EQ227" i="2"/>
  <c r="EQ228" i="2"/>
  <c r="EQ229" i="2"/>
  <c r="EQ230" i="2"/>
  <c r="EQ231" i="2"/>
  <c r="EQ232" i="2"/>
  <c r="EQ233" i="2"/>
  <c r="EQ234" i="2"/>
  <c r="EQ235" i="2"/>
  <c r="EQ236" i="2"/>
  <c r="EQ237" i="2"/>
  <c r="EQ238" i="2"/>
  <c r="EQ239" i="2"/>
  <c r="EQ240" i="2"/>
  <c r="EQ241" i="2"/>
  <c r="EQ242" i="2"/>
  <c r="EQ243" i="2"/>
  <c r="EQ244" i="2"/>
  <c r="EQ245" i="2"/>
  <c r="EQ246" i="2"/>
  <c r="EQ247" i="2"/>
  <c r="EQ248" i="2"/>
  <c r="EQ249" i="2"/>
  <c r="EQ250" i="2"/>
  <c r="EQ251" i="2"/>
  <c r="EQ252" i="2"/>
  <c r="EQ253" i="2"/>
  <c r="EQ4" i="2"/>
  <c r="EP78" i="2" l="1"/>
  <c r="EP5" i="2" l="1"/>
  <c r="EP6" i="2"/>
  <c r="EP7" i="2"/>
  <c r="EP8" i="2"/>
  <c r="EP9" i="2"/>
  <c r="EP10" i="2"/>
  <c r="EP11" i="2"/>
  <c r="EP17" i="2"/>
  <c r="EP18" i="2"/>
  <c r="EP19" i="2"/>
  <c r="EP20" i="2"/>
  <c r="EP21" i="2"/>
  <c r="EP22" i="2"/>
  <c r="EP23" i="2"/>
  <c r="EP24" i="2"/>
  <c r="EP27" i="2"/>
  <c r="EP28" i="2"/>
  <c r="EP29" i="2"/>
  <c r="EP30" i="2"/>
  <c r="EP31" i="2"/>
  <c r="EP32" i="2"/>
  <c r="EP33" i="2"/>
  <c r="EP34" i="2"/>
  <c r="EP35" i="2"/>
  <c r="EP36" i="2"/>
  <c r="EP37" i="2"/>
  <c r="EP38" i="2"/>
  <c r="EP39" i="2"/>
  <c r="EP40" i="2"/>
  <c r="EP41" i="2"/>
  <c r="EP42" i="2"/>
  <c r="EP43" i="2"/>
  <c r="EP44" i="2"/>
  <c r="EP45" i="2"/>
  <c r="EP46" i="2"/>
  <c r="EP47" i="2"/>
  <c r="EP48" i="2"/>
  <c r="EP49" i="2"/>
  <c r="EP50" i="2"/>
  <c r="EP51" i="2"/>
  <c r="EP52" i="2"/>
  <c r="EP53" i="2"/>
  <c r="EP54" i="2"/>
  <c r="EP55" i="2"/>
  <c r="EP56" i="2"/>
  <c r="EP57" i="2"/>
  <c r="EP58" i="2"/>
  <c r="EP59" i="2"/>
  <c r="EP60" i="2"/>
  <c r="EP61" i="2"/>
  <c r="EP62" i="2"/>
  <c r="EP63" i="2"/>
  <c r="EP64" i="2"/>
  <c r="EP65" i="2"/>
  <c r="EP66" i="2"/>
  <c r="EP67" i="2"/>
  <c r="EP68" i="2"/>
  <c r="EP69" i="2"/>
  <c r="EP70" i="2"/>
  <c r="EP71" i="2"/>
  <c r="EP72" i="2"/>
  <c r="EP73" i="2"/>
  <c r="EP74" i="2"/>
  <c r="EP75" i="2"/>
  <c r="EP76" i="2"/>
  <c r="EP77" i="2"/>
  <c r="EP79" i="2"/>
  <c r="EP80" i="2"/>
  <c r="EP81" i="2"/>
  <c r="EP82" i="2"/>
  <c r="EP83" i="2"/>
  <c r="EP84" i="2"/>
  <c r="EP85" i="2"/>
  <c r="EP86" i="2"/>
  <c r="EP87" i="2"/>
  <c r="EP88" i="2"/>
  <c r="EP89" i="2"/>
  <c r="EP90" i="2"/>
  <c r="EP91" i="2"/>
  <c r="EP14" i="2"/>
  <c r="EP92" i="2"/>
  <c r="EP93" i="2"/>
  <c r="EP13" i="2"/>
  <c r="EP94" i="2"/>
  <c r="EP95" i="2"/>
  <c r="EP96" i="2"/>
  <c r="EP97" i="2"/>
  <c r="EP98" i="2"/>
  <c r="EP99" i="2"/>
  <c r="EP100" i="2"/>
  <c r="EP101" i="2"/>
  <c r="EP102" i="2"/>
  <c r="EP103" i="2"/>
  <c r="EP104" i="2"/>
  <c r="EP105" i="2"/>
  <c r="EP106" i="2"/>
  <c r="EP107" i="2"/>
  <c r="EP108" i="2"/>
  <c r="EP109" i="2"/>
  <c r="EP110" i="2"/>
  <c r="EP111" i="2"/>
  <c r="EP112" i="2"/>
  <c r="EP113" i="2"/>
  <c r="EP114" i="2"/>
  <c r="EP115" i="2"/>
  <c r="EP116" i="2"/>
  <c r="EP117" i="2"/>
  <c r="EP118" i="2"/>
  <c r="EP119" i="2"/>
  <c r="EP120" i="2"/>
  <c r="EP121" i="2"/>
  <c r="EP122" i="2"/>
  <c r="EP123" i="2"/>
  <c r="EP124" i="2"/>
  <c r="EP125" i="2"/>
  <c r="EP126" i="2"/>
  <c r="EP127" i="2"/>
  <c r="EP128" i="2"/>
  <c r="EP129" i="2"/>
  <c r="EP130" i="2"/>
  <c r="EP131" i="2"/>
  <c r="EP132" i="2"/>
  <c r="EP133" i="2"/>
  <c r="EP134" i="2"/>
  <c r="EP135" i="2"/>
  <c r="EP136" i="2"/>
  <c r="EP137" i="2"/>
  <c r="EP138" i="2"/>
  <c r="EP139" i="2"/>
  <c r="EP140" i="2"/>
  <c r="EP141" i="2"/>
  <c r="EP142" i="2"/>
  <c r="EP143" i="2"/>
  <c r="EP144" i="2"/>
  <c r="EP145" i="2"/>
  <c r="EP146" i="2"/>
  <c r="EP15" i="2"/>
  <c r="EP16" i="2"/>
  <c r="EP147" i="2"/>
  <c r="EP12" i="2"/>
  <c r="EP148" i="2"/>
  <c r="EP149" i="2"/>
  <c r="EP150" i="2"/>
  <c r="EP151" i="2"/>
  <c r="EP152" i="2"/>
  <c r="EP153" i="2"/>
  <c r="EP154" i="2"/>
  <c r="EP155" i="2"/>
  <c r="EP156" i="2"/>
  <c r="EP157" i="2"/>
  <c r="EP158" i="2"/>
  <c r="EP159" i="2"/>
  <c r="EP160" i="2"/>
  <c r="EP161" i="2"/>
  <c r="EP162" i="2"/>
  <c r="EP163" i="2"/>
  <c r="EP164" i="2"/>
  <c r="EP165" i="2"/>
  <c r="EP166" i="2"/>
  <c r="EP167" i="2"/>
  <c r="EP168" i="2"/>
  <c r="EP169" i="2"/>
  <c r="EP170" i="2"/>
  <c r="EP171" i="2"/>
  <c r="EP172" i="2"/>
  <c r="EP173" i="2"/>
  <c r="EP174" i="2"/>
  <c r="EP175" i="2"/>
  <c r="EP176" i="2"/>
  <c r="EP177" i="2"/>
  <c r="EP178" i="2"/>
  <c r="EP179" i="2"/>
  <c r="EP180" i="2"/>
  <c r="EP181" i="2"/>
  <c r="EP182" i="2"/>
  <c r="EP183" i="2"/>
  <c r="EP184" i="2"/>
  <c r="EP185" i="2"/>
  <c r="EP186" i="2"/>
  <c r="EP187" i="2"/>
  <c r="EP188" i="2"/>
  <c r="EP189" i="2"/>
  <c r="EP190" i="2"/>
  <c r="EP191" i="2"/>
  <c r="EP192" i="2"/>
  <c r="EP193" i="2"/>
  <c r="EP194" i="2"/>
  <c r="EP195" i="2"/>
  <c r="EP196" i="2"/>
  <c r="EP197" i="2"/>
  <c r="EP198" i="2"/>
  <c r="EP199" i="2"/>
  <c r="EP200" i="2"/>
  <c r="EP201" i="2"/>
  <c r="EP202" i="2"/>
  <c r="EP203" i="2"/>
  <c r="EP204" i="2"/>
  <c r="EP205" i="2"/>
  <c r="EP206" i="2"/>
  <c r="EP207" i="2"/>
  <c r="EP208" i="2"/>
  <c r="EP209" i="2"/>
  <c r="EP210" i="2"/>
  <c r="EP211" i="2"/>
  <c r="EP212" i="2"/>
  <c r="EP213" i="2"/>
  <c r="EP214" i="2"/>
  <c r="EP215" i="2"/>
  <c r="EP216" i="2"/>
  <c r="EP217" i="2"/>
  <c r="EP218" i="2"/>
  <c r="EP219" i="2"/>
  <c r="EP220" i="2"/>
  <c r="EP221" i="2"/>
  <c r="EP222" i="2"/>
  <c r="EP223" i="2"/>
  <c r="EP224" i="2"/>
  <c r="EP225" i="2"/>
  <c r="EP226" i="2"/>
  <c r="EP227" i="2"/>
  <c r="EP228" i="2"/>
  <c r="EP229" i="2"/>
  <c r="EP230" i="2"/>
  <c r="EP231" i="2"/>
  <c r="EP232" i="2"/>
  <c r="EP233" i="2"/>
  <c r="EP234" i="2"/>
  <c r="EP235" i="2"/>
  <c r="EP236" i="2"/>
  <c r="EP237" i="2"/>
  <c r="EP238" i="2"/>
  <c r="EP239" i="2"/>
  <c r="EP240" i="2"/>
  <c r="EP241" i="2"/>
  <c r="EP242" i="2"/>
  <c r="EP243" i="2"/>
  <c r="EP244" i="2"/>
  <c r="EP245" i="2"/>
  <c r="EP246" i="2"/>
  <c r="EP247" i="2"/>
  <c r="EP248" i="2"/>
  <c r="EP249" i="2"/>
  <c r="EP250" i="2"/>
  <c r="EP251" i="2"/>
  <c r="EP252" i="2"/>
  <c r="EP253" i="2"/>
  <c r="EP4" i="2"/>
  <c r="EL1" i="2"/>
  <c r="EK1" i="2"/>
  <c r="EX2" i="2"/>
  <c r="EJ1" i="2"/>
  <c r="EI1" i="2"/>
  <c r="EU4" i="2" l="1"/>
  <c r="ET4" i="2"/>
  <c r="EH1" i="2" l="1"/>
  <c r="EV5" i="2"/>
  <c r="EV6" i="2"/>
  <c r="EV7" i="2"/>
  <c r="EV8" i="2"/>
  <c r="EV9" i="2"/>
  <c r="EV10" i="2"/>
  <c r="EV11" i="2"/>
  <c r="EV17" i="2"/>
  <c r="EV18" i="2"/>
  <c r="EV19" i="2"/>
  <c r="EV20" i="2"/>
  <c r="EV21" i="2"/>
  <c r="EV22" i="2"/>
  <c r="EV23" i="2"/>
  <c r="EV24" i="2"/>
  <c r="EV27" i="2"/>
  <c r="EV28" i="2"/>
  <c r="EV29" i="2"/>
  <c r="EV30" i="2"/>
  <c r="EV31" i="2"/>
  <c r="EV32" i="2"/>
  <c r="EV33" i="2"/>
  <c r="EV34" i="2"/>
  <c r="EV35" i="2"/>
  <c r="EV36" i="2"/>
  <c r="EV37" i="2"/>
  <c r="EV38" i="2"/>
  <c r="EV39" i="2"/>
  <c r="EV40" i="2"/>
  <c r="EV41" i="2"/>
  <c r="EV42" i="2"/>
  <c r="EV43" i="2"/>
  <c r="EV44" i="2"/>
  <c r="EV45" i="2"/>
  <c r="EV46" i="2"/>
  <c r="EV47" i="2"/>
  <c r="EV48" i="2"/>
  <c r="EV49" i="2"/>
  <c r="EV50" i="2"/>
  <c r="EV51" i="2"/>
  <c r="EV52" i="2"/>
  <c r="EV53" i="2"/>
  <c r="EV54" i="2"/>
  <c r="EV55" i="2"/>
  <c r="EV56" i="2"/>
  <c r="EV57" i="2"/>
  <c r="EV58" i="2"/>
  <c r="EV59" i="2"/>
  <c r="EV60" i="2"/>
  <c r="EV61" i="2"/>
  <c r="EV62" i="2"/>
  <c r="EV63" i="2"/>
  <c r="EV64" i="2"/>
  <c r="EV65" i="2"/>
  <c r="EV66" i="2"/>
  <c r="EV67" i="2"/>
  <c r="EV68" i="2"/>
  <c r="EV69" i="2"/>
  <c r="EV70" i="2"/>
  <c r="EV71" i="2"/>
  <c r="EV72" i="2"/>
  <c r="EV73" i="2"/>
  <c r="EV74" i="2"/>
  <c r="EV75" i="2"/>
  <c r="EV76" i="2"/>
  <c r="EV77" i="2"/>
  <c r="EV78" i="2"/>
  <c r="EV79" i="2"/>
  <c r="EV80" i="2"/>
  <c r="EV81" i="2"/>
  <c r="EV82" i="2"/>
  <c r="EV83" i="2"/>
  <c r="EV84" i="2"/>
  <c r="EV85" i="2"/>
  <c r="EV86" i="2"/>
  <c r="EV87" i="2"/>
  <c r="EV88" i="2"/>
  <c r="EV89" i="2"/>
  <c r="EV90" i="2"/>
  <c r="EV91" i="2"/>
  <c r="EV14" i="2"/>
  <c r="EV92" i="2"/>
  <c r="EV93" i="2"/>
  <c r="EV13" i="2"/>
  <c r="EV94" i="2"/>
  <c r="EV95" i="2"/>
  <c r="EV96" i="2"/>
  <c r="EV97" i="2"/>
  <c r="EV98" i="2"/>
  <c r="EV99" i="2"/>
  <c r="EV100" i="2"/>
  <c r="EV101" i="2"/>
  <c r="EV102" i="2"/>
  <c r="EV103" i="2"/>
  <c r="EV104" i="2"/>
  <c r="EV105" i="2"/>
  <c r="EV106" i="2"/>
  <c r="EV107" i="2"/>
  <c r="EV108" i="2"/>
  <c r="EV109" i="2"/>
  <c r="EV110" i="2"/>
  <c r="EV111" i="2"/>
  <c r="EV112" i="2"/>
  <c r="EV113" i="2"/>
  <c r="EV114" i="2"/>
  <c r="EV115" i="2"/>
  <c r="EV116" i="2"/>
  <c r="EV117" i="2"/>
  <c r="EV118" i="2"/>
  <c r="EV119" i="2"/>
  <c r="EV120" i="2"/>
  <c r="EV121" i="2"/>
  <c r="EV122" i="2"/>
  <c r="EV123" i="2"/>
  <c r="EV124" i="2"/>
  <c r="EV125" i="2"/>
  <c r="EV126" i="2"/>
  <c r="EV127" i="2"/>
  <c r="EV128" i="2"/>
  <c r="EV129" i="2"/>
  <c r="EV130" i="2"/>
  <c r="EV131" i="2"/>
  <c r="EV132" i="2"/>
  <c r="EV133" i="2"/>
  <c r="EV134" i="2"/>
  <c r="EV135" i="2"/>
  <c r="EV136" i="2"/>
  <c r="EV137" i="2"/>
  <c r="EV139" i="2"/>
  <c r="EV140" i="2"/>
  <c r="EV141" i="2"/>
  <c r="EV142" i="2"/>
  <c r="EV143" i="2"/>
  <c r="EV144" i="2"/>
  <c r="EV145" i="2"/>
  <c r="EV146" i="2"/>
  <c r="ES2" i="2" l="1"/>
  <c r="L218" i="2"/>
  <c r="L203" i="2"/>
  <c r="L200" i="2"/>
  <c r="L197" i="2"/>
  <c r="L166" i="2"/>
  <c r="L165" i="2"/>
  <c r="L164" i="2"/>
  <c r="L163" i="2"/>
  <c r="L162" i="2"/>
  <c r="L161" i="2"/>
  <c r="L160" i="2"/>
  <c r="L152" i="2"/>
  <c r="L151" i="2"/>
  <c r="L150" i="2"/>
  <c r="L149" i="2"/>
  <c r="L146" i="2"/>
  <c r="L145" i="2"/>
  <c r="L144" i="2"/>
  <c r="L143" i="2"/>
  <c r="L117" i="2"/>
  <c r="L116" i="2"/>
  <c r="L114" i="2"/>
  <c r="L108" i="2"/>
  <c r="L107" i="2"/>
  <c r="L106" i="2"/>
  <c r="L105" i="2"/>
  <c r="L104" i="2"/>
  <c r="L103" i="2"/>
  <c r="L101" i="2"/>
  <c r="L86" i="2"/>
  <c r="L85" i="2"/>
  <c r="L84" i="2"/>
  <c r="L83" i="2"/>
  <c r="L82" i="2"/>
  <c r="EW34" i="2"/>
  <c r="EG1" i="2"/>
  <c r="EW91" i="2" l="1"/>
  <c r="EW90" i="2"/>
  <c r="EW89" i="2"/>
  <c r="EW88" i="2"/>
  <c r="EW35" i="2"/>
  <c r="EW36" i="2"/>
  <c r="EW37" i="2"/>
  <c r="EW38" i="2"/>
  <c r="EW39" i="2"/>
  <c r="EW40" i="2"/>
  <c r="EW41" i="2"/>
  <c r="EW42" i="2"/>
  <c r="EW43" i="2"/>
  <c r="EW44" i="2"/>
  <c r="EW45" i="2"/>
  <c r="EW46" i="2"/>
  <c r="EW47" i="2"/>
  <c r="EW48" i="2"/>
  <c r="EW49" i="2"/>
  <c r="EW50" i="2"/>
  <c r="EW51" i="2"/>
  <c r="EW52" i="2"/>
  <c r="EW53" i="2"/>
  <c r="EW54" i="2"/>
  <c r="EW55" i="2"/>
  <c r="EW56" i="2"/>
  <c r="EW57" i="2"/>
  <c r="EW58" i="2"/>
  <c r="EW59" i="2"/>
  <c r="EW60" i="2"/>
  <c r="EW61" i="2"/>
  <c r="EW62" i="2"/>
  <c r="EW63" i="2"/>
  <c r="ET138" i="2" l="1"/>
  <c r="EV138" i="2" s="1"/>
  <c r="EU138" i="2"/>
  <c r="EF1" i="2"/>
  <c r="EW138" i="2" l="1"/>
  <c r="DZ1" i="2"/>
  <c r="DY1" i="2"/>
  <c r="DX1" i="2"/>
  <c r="DW1" i="2"/>
  <c r="DV1" i="2"/>
  <c r="DU1" i="2"/>
  <c r="DT1" i="2"/>
  <c r="DS1" i="2"/>
  <c r="DR1" i="2"/>
  <c r="DQ1" i="2"/>
  <c r="EA1" i="2"/>
  <c r="EB1" i="2"/>
  <c r="EC1" i="2"/>
  <c r="ED1" i="2"/>
  <c r="EE1" i="2"/>
  <c r="EV16" i="2" l="1"/>
  <c r="EV147" i="2"/>
  <c r="EV12" i="2"/>
  <c r="EV148" i="2"/>
  <c r="EV149" i="2"/>
  <c r="EV150" i="2"/>
  <c r="EV151" i="2"/>
  <c r="EV152" i="2"/>
  <c r="EV153" i="2"/>
  <c r="EV154" i="2"/>
  <c r="EV155" i="2"/>
  <c r="EV156" i="2"/>
  <c r="EV157" i="2"/>
  <c r="EV158" i="2"/>
  <c r="EV159" i="2"/>
  <c r="EV160" i="2"/>
  <c r="EV161" i="2"/>
  <c r="EV162" i="2"/>
  <c r="EV163" i="2"/>
  <c r="EV164" i="2"/>
  <c r="EV165" i="2"/>
  <c r="EV166" i="2"/>
  <c r="EV167" i="2"/>
  <c r="EV168" i="2"/>
  <c r="EV169" i="2"/>
  <c r="EV170" i="2"/>
  <c r="EV171" i="2"/>
  <c r="EV172" i="2"/>
  <c r="EV173" i="2"/>
  <c r="EV174" i="2"/>
  <c r="EV175" i="2"/>
  <c r="EV176" i="2"/>
  <c r="EV177" i="2"/>
  <c r="EV178" i="2"/>
  <c r="EV179" i="2"/>
  <c r="EV180" i="2"/>
  <c r="EV181" i="2"/>
  <c r="EV182" i="2"/>
  <c r="EV183" i="2"/>
  <c r="EV184" i="2"/>
  <c r="EV185" i="2"/>
  <c r="EV186" i="2"/>
  <c r="EV187" i="2"/>
  <c r="EV188" i="2"/>
  <c r="EV189" i="2"/>
  <c r="EV190" i="2"/>
  <c r="EV191" i="2"/>
  <c r="EV192" i="2"/>
  <c r="EV193" i="2"/>
  <c r="EV194" i="2"/>
  <c r="EV195" i="2"/>
  <c r="EV196" i="2"/>
  <c r="EV197" i="2"/>
  <c r="EV198" i="2"/>
  <c r="EV199" i="2"/>
  <c r="EV200" i="2"/>
  <c r="EV201" i="2"/>
  <c r="EV202" i="2"/>
  <c r="EV203" i="2"/>
  <c r="EV204" i="2"/>
  <c r="EV205" i="2"/>
  <c r="EV206" i="2"/>
  <c r="EV207" i="2"/>
  <c r="EV208" i="2"/>
  <c r="EV209" i="2"/>
  <c r="EV210" i="2"/>
  <c r="EV211" i="2"/>
  <c r="EV212" i="2"/>
  <c r="EV213" i="2"/>
  <c r="EV214" i="2"/>
  <c r="EV215" i="2"/>
  <c r="EV216" i="2"/>
  <c r="EV217" i="2"/>
  <c r="EV218" i="2"/>
  <c r="EV219" i="2"/>
  <c r="EV220" i="2"/>
  <c r="EV221" i="2"/>
  <c r="EV222" i="2"/>
  <c r="EV223" i="2"/>
  <c r="EV224" i="2"/>
  <c r="EV225" i="2"/>
  <c r="EV226" i="2"/>
  <c r="EV227" i="2"/>
  <c r="EV228" i="2"/>
  <c r="EV229" i="2"/>
  <c r="EV230" i="2"/>
  <c r="EV231" i="2"/>
  <c r="EV232" i="2"/>
  <c r="EV233" i="2"/>
  <c r="EV234" i="2"/>
  <c r="EV235" i="2"/>
  <c r="EV236" i="2"/>
  <c r="EV237" i="2"/>
  <c r="EV238" i="2"/>
  <c r="EV239" i="2"/>
  <c r="EV240" i="2"/>
  <c r="EV241" i="2"/>
  <c r="EV242" i="2"/>
  <c r="EV243" i="2"/>
  <c r="EV244" i="2"/>
  <c r="EV245" i="2"/>
  <c r="EV246" i="2"/>
  <c r="EV247" i="2"/>
  <c r="EV248" i="2"/>
  <c r="EV249" i="2"/>
  <c r="EV250" i="2"/>
  <c r="EV251" i="2"/>
  <c r="EV252" i="2"/>
  <c r="EV253" i="2"/>
  <c r="EU66" i="2" l="1"/>
  <c r="EU29" i="2"/>
  <c r="EU30" i="2"/>
  <c r="EU31" i="2"/>
  <c r="EU32" i="2"/>
  <c r="EU33" i="2"/>
  <c r="ET29" i="2"/>
  <c r="ET30" i="2"/>
  <c r="ET31" i="2"/>
  <c r="ET32" i="2"/>
  <c r="ET33" i="2"/>
  <c r="ET54" i="2" l="1"/>
  <c r="EU54" i="2"/>
  <c r="ET5" i="2" l="1"/>
  <c r="ET6" i="2"/>
  <c r="ET7" i="2"/>
  <c r="ET8" i="2"/>
  <c r="ET9" i="2"/>
  <c r="ET17" i="2"/>
  <c r="ET18" i="2"/>
  <c r="ET19" i="2"/>
  <c r="ET20" i="2"/>
  <c r="ET21" i="2"/>
  <c r="ET22" i="2"/>
  <c r="ET23" i="2"/>
  <c r="ET24" i="2"/>
  <c r="ET27" i="2"/>
  <c r="ET28" i="2"/>
  <c r="ET34" i="2"/>
  <c r="ET35" i="2"/>
  <c r="ET36" i="2"/>
  <c r="ET37" i="2"/>
  <c r="ET38" i="2"/>
  <c r="ET39" i="2"/>
  <c r="ET40" i="2"/>
  <c r="ET41" i="2"/>
  <c r="ET42" i="2"/>
  <c r="ET43" i="2"/>
  <c r="ET44" i="2"/>
  <c r="ET45" i="2"/>
  <c r="ET46" i="2"/>
  <c r="ET47" i="2"/>
  <c r="ET48" i="2"/>
  <c r="ET49" i="2"/>
  <c r="ET50" i="2"/>
  <c r="ET51" i="2"/>
  <c r="ET52" i="2"/>
  <c r="ET55" i="2"/>
  <c r="ET56" i="2"/>
  <c r="ET57" i="2"/>
  <c r="ET58" i="2"/>
  <c r="ET59" i="2"/>
  <c r="ET60" i="2"/>
  <c r="ET61" i="2"/>
  <c r="ET62" i="2"/>
  <c r="ET63" i="2"/>
  <c r="ET64" i="2"/>
  <c r="ET65" i="2"/>
  <c r="ET67" i="2"/>
  <c r="ET68" i="2"/>
  <c r="ET69" i="2"/>
  <c r="ET70" i="2"/>
  <c r="ET71" i="2"/>
  <c r="ET72" i="2"/>
  <c r="ET73" i="2"/>
  <c r="ET74" i="2"/>
  <c r="ET75" i="2"/>
  <c r="ET76" i="2"/>
  <c r="ET77" i="2"/>
  <c r="ET78" i="2"/>
  <c r="ET79" i="2"/>
  <c r="ET80" i="2"/>
  <c r="ET81" i="2"/>
  <c r="ET82" i="2"/>
  <c r="ET83" i="2"/>
  <c r="ET84" i="2"/>
  <c r="ET85" i="2"/>
  <c r="ET86" i="2"/>
  <c r="ET87" i="2"/>
  <c r="ET88" i="2"/>
  <c r="ET89" i="2"/>
  <c r="ET90" i="2"/>
  <c r="ET91" i="2"/>
  <c r="ET14" i="2"/>
  <c r="ET92" i="2"/>
  <c r="ET93" i="2"/>
  <c r="ET13" i="2"/>
  <c r="ET94" i="2"/>
  <c r="ET95" i="2"/>
  <c r="ET96" i="2"/>
  <c r="ET97" i="2"/>
  <c r="ET98" i="2"/>
  <c r="ET99" i="2"/>
  <c r="ET100" i="2"/>
  <c r="ET101" i="2"/>
  <c r="ET102" i="2"/>
  <c r="ET103" i="2"/>
  <c r="ET104" i="2"/>
  <c r="ET105" i="2"/>
  <c r="ET106" i="2"/>
  <c r="ET107" i="2"/>
  <c r="ET108" i="2"/>
  <c r="ET109" i="2"/>
  <c r="ET110" i="2"/>
  <c r="ET111" i="2"/>
  <c r="ET112" i="2"/>
  <c r="ET113" i="2"/>
  <c r="ET114" i="2"/>
  <c r="ET115" i="2"/>
  <c r="ET116" i="2"/>
  <c r="ET117" i="2"/>
  <c r="ET118" i="2"/>
  <c r="ET119" i="2"/>
  <c r="ET120" i="2"/>
  <c r="ET121" i="2"/>
  <c r="ET122" i="2"/>
  <c r="ET123" i="2"/>
  <c r="ET124" i="2"/>
  <c r="ET125" i="2"/>
  <c r="ET126" i="2"/>
  <c r="ET127" i="2"/>
  <c r="ET128" i="2"/>
  <c r="ET129" i="2"/>
  <c r="ET130" i="2"/>
  <c r="ET131" i="2"/>
  <c r="ET132" i="2"/>
  <c r="ET133" i="2"/>
  <c r="ET134" i="2"/>
  <c r="ET135" i="2"/>
  <c r="ET136" i="2"/>
  <c r="ET137" i="2"/>
  <c r="ET139" i="2"/>
  <c r="ET140" i="2"/>
  <c r="ET141" i="2"/>
  <c r="ET142" i="2"/>
  <c r="ET143" i="2"/>
  <c r="ET144" i="2"/>
  <c r="ET145" i="2"/>
  <c r="ET146" i="2"/>
  <c r="ET16" i="2"/>
  <c r="ET147" i="2"/>
  <c r="ET12" i="2"/>
  <c r="ET148" i="2"/>
  <c r="ET149" i="2"/>
  <c r="ET150" i="2"/>
  <c r="ET151" i="2"/>
  <c r="ET152" i="2"/>
  <c r="ET153" i="2"/>
  <c r="ET154" i="2"/>
  <c r="ET155" i="2"/>
  <c r="ET156" i="2"/>
  <c r="ET157" i="2"/>
  <c r="ET158" i="2"/>
  <c r="ET159" i="2"/>
  <c r="ET160" i="2"/>
  <c r="ET161" i="2"/>
  <c r="ET162" i="2"/>
  <c r="ET163" i="2"/>
  <c r="ET164" i="2"/>
  <c r="ET165" i="2"/>
  <c r="ET166" i="2"/>
  <c r="ET167" i="2"/>
  <c r="ET168" i="2"/>
  <c r="ET169" i="2"/>
  <c r="ET170" i="2"/>
  <c r="ET171" i="2"/>
  <c r="ET172" i="2"/>
  <c r="ET173" i="2"/>
  <c r="ET174" i="2"/>
  <c r="ET175" i="2"/>
  <c r="ET176" i="2"/>
  <c r="ET177" i="2"/>
  <c r="ET178" i="2"/>
  <c r="ET179" i="2"/>
  <c r="ET180" i="2"/>
  <c r="ET181" i="2"/>
  <c r="ET182" i="2"/>
  <c r="ET183" i="2"/>
  <c r="ET184" i="2"/>
  <c r="ET185" i="2"/>
  <c r="ET186" i="2"/>
  <c r="ET187" i="2"/>
  <c r="ET188" i="2"/>
  <c r="ET189" i="2"/>
  <c r="ET190" i="2"/>
  <c r="ET191" i="2"/>
  <c r="ET192" i="2"/>
  <c r="ET193" i="2"/>
  <c r="ET194" i="2"/>
  <c r="ET195" i="2"/>
  <c r="ET196" i="2"/>
  <c r="ET197" i="2"/>
  <c r="ET198" i="2"/>
  <c r="ET199" i="2"/>
  <c r="ET200" i="2"/>
  <c r="ET201" i="2"/>
  <c r="ET202" i="2"/>
  <c r="ET203" i="2"/>
  <c r="ET204" i="2"/>
  <c r="ET205" i="2"/>
  <c r="ET206" i="2"/>
  <c r="ET207" i="2"/>
  <c r="ET208" i="2"/>
  <c r="ET209" i="2"/>
  <c r="ET210" i="2"/>
  <c r="ET211" i="2"/>
  <c r="ET212" i="2"/>
  <c r="ET213" i="2"/>
  <c r="ET214" i="2"/>
  <c r="ET215" i="2"/>
  <c r="ET216" i="2"/>
  <c r="ET217" i="2"/>
  <c r="ET218" i="2"/>
  <c r="ET219" i="2"/>
  <c r="ET220" i="2"/>
  <c r="ET221" i="2"/>
  <c r="ET222" i="2"/>
  <c r="ET223" i="2"/>
  <c r="ET224" i="2"/>
  <c r="ET225" i="2"/>
  <c r="ET226" i="2"/>
  <c r="ET227" i="2"/>
  <c r="ET228" i="2"/>
  <c r="ET229" i="2"/>
  <c r="ET230" i="2"/>
  <c r="ET231" i="2"/>
  <c r="ET232" i="2"/>
  <c r="ET233" i="2"/>
  <c r="ET234" i="2"/>
  <c r="ET235" i="2"/>
  <c r="ET236" i="2"/>
  <c r="ET237" i="2"/>
  <c r="ET238" i="2"/>
  <c r="ET239" i="2"/>
  <c r="ET240" i="2"/>
  <c r="ET241" i="2"/>
  <c r="ET242" i="2"/>
  <c r="ET243" i="2"/>
  <c r="ET244" i="2"/>
  <c r="ET245" i="2"/>
  <c r="ET246" i="2"/>
  <c r="ET247" i="2"/>
  <c r="ET248" i="2"/>
  <c r="ET249" i="2"/>
  <c r="ET250" i="2"/>
  <c r="ET251" i="2"/>
  <c r="ET252" i="2"/>
  <c r="ET253" i="2"/>
  <c r="EU5" i="2"/>
  <c r="EU6" i="2"/>
  <c r="EU7" i="2"/>
  <c r="EU8" i="2"/>
  <c r="EU9" i="2"/>
  <c r="EU17" i="2"/>
  <c r="EU18" i="2"/>
  <c r="EU19" i="2"/>
  <c r="EU20" i="2"/>
  <c r="EU21" i="2"/>
  <c r="EU22" i="2"/>
  <c r="EU23" i="2"/>
  <c r="EU24" i="2"/>
  <c r="EU27" i="2"/>
  <c r="EU28" i="2"/>
  <c r="EU34" i="2"/>
  <c r="EU35" i="2"/>
  <c r="EU36" i="2"/>
  <c r="EU37" i="2"/>
  <c r="EU38" i="2"/>
  <c r="EU39" i="2"/>
  <c r="EU40" i="2"/>
  <c r="EU41" i="2"/>
  <c r="EU42" i="2"/>
  <c r="EU43" i="2"/>
  <c r="EU44" i="2"/>
  <c r="EU45" i="2"/>
  <c r="EU46" i="2"/>
  <c r="EU47" i="2"/>
  <c r="EU48" i="2"/>
  <c r="EU49" i="2"/>
  <c r="EU50" i="2"/>
  <c r="EU51" i="2"/>
  <c r="EU52" i="2"/>
  <c r="EU55" i="2"/>
  <c r="EU56" i="2"/>
  <c r="EU57" i="2"/>
  <c r="EU58" i="2"/>
  <c r="EU59" i="2"/>
  <c r="EU60" i="2"/>
  <c r="EU61" i="2"/>
  <c r="EU62" i="2"/>
  <c r="EU63" i="2"/>
  <c r="EU64" i="2"/>
  <c r="EU65" i="2"/>
  <c r="EU67" i="2"/>
  <c r="EU68" i="2"/>
  <c r="EU69" i="2"/>
  <c r="EU70" i="2"/>
  <c r="EU71" i="2"/>
  <c r="EU72" i="2"/>
  <c r="EU73" i="2"/>
  <c r="EU74" i="2"/>
  <c r="EU75" i="2"/>
  <c r="EU76" i="2"/>
  <c r="EU77" i="2"/>
  <c r="EU78" i="2"/>
  <c r="EU79" i="2"/>
  <c r="EU80" i="2"/>
  <c r="EU81" i="2"/>
  <c r="EU82" i="2"/>
  <c r="EU83" i="2"/>
  <c r="EU84" i="2"/>
  <c r="EU85" i="2"/>
  <c r="EU86" i="2"/>
  <c r="EU87" i="2"/>
  <c r="EU88" i="2"/>
  <c r="EU89" i="2"/>
  <c r="EU90" i="2"/>
  <c r="EU91" i="2"/>
  <c r="EU14" i="2"/>
  <c r="EU92" i="2"/>
  <c r="EU93" i="2"/>
  <c r="EU13" i="2"/>
  <c r="EU94" i="2"/>
  <c r="EU95" i="2"/>
  <c r="EU96" i="2"/>
  <c r="EU97" i="2"/>
  <c r="EU98" i="2"/>
  <c r="EU99" i="2"/>
  <c r="EU100" i="2"/>
  <c r="EU101" i="2"/>
  <c r="EU102" i="2"/>
  <c r="EU103" i="2"/>
  <c r="EU104" i="2"/>
  <c r="EU105" i="2"/>
  <c r="EU106" i="2"/>
  <c r="EU107" i="2"/>
  <c r="EU108" i="2"/>
  <c r="EU109" i="2"/>
  <c r="EU110" i="2"/>
  <c r="EU111" i="2"/>
  <c r="EU112" i="2"/>
  <c r="EU113" i="2"/>
  <c r="EU114" i="2"/>
  <c r="EU115" i="2"/>
  <c r="EU116" i="2"/>
  <c r="EU117" i="2"/>
  <c r="EU118" i="2"/>
  <c r="EU119" i="2"/>
  <c r="EU120" i="2"/>
  <c r="EU121" i="2"/>
  <c r="EU122" i="2"/>
  <c r="EU123" i="2"/>
  <c r="EU124" i="2"/>
  <c r="EU125" i="2"/>
  <c r="EU126" i="2"/>
  <c r="EU127" i="2"/>
  <c r="EU128" i="2"/>
  <c r="EU129" i="2"/>
  <c r="EU130" i="2"/>
  <c r="EU131" i="2"/>
  <c r="EU132" i="2"/>
  <c r="EU133" i="2"/>
  <c r="EU134" i="2"/>
  <c r="EU135" i="2"/>
  <c r="EU136" i="2"/>
  <c r="EU137" i="2"/>
  <c r="EU139" i="2"/>
  <c r="EU140" i="2"/>
  <c r="EU141" i="2"/>
  <c r="EU142" i="2"/>
  <c r="EU143" i="2"/>
  <c r="EU144" i="2"/>
  <c r="EU145" i="2"/>
  <c r="EU146" i="2"/>
  <c r="EU16" i="2"/>
  <c r="EU147" i="2"/>
  <c r="EU12" i="2"/>
  <c r="EU148" i="2"/>
  <c r="EU149" i="2"/>
  <c r="EU150" i="2"/>
  <c r="EU151" i="2"/>
  <c r="EU152" i="2"/>
  <c r="EU153" i="2"/>
  <c r="EU154" i="2"/>
  <c r="EU155" i="2"/>
  <c r="EU156" i="2"/>
  <c r="EU157" i="2"/>
  <c r="EU158" i="2"/>
  <c r="EU159" i="2"/>
  <c r="EU160" i="2"/>
  <c r="EU161" i="2"/>
  <c r="EU162" i="2"/>
  <c r="EU163" i="2"/>
  <c r="EU164" i="2"/>
  <c r="EU165" i="2"/>
  <c r="EU166" i="2"/>
  <c r="EU167" i="2"/>
  <c r="EU168" i="2"/>
  <c r="EU169" i="2"/>
  <c r="EU170" i="2"/>
  <c r="EU171" i="2"/>
  <c r="EU172" i="2"/>
  <c r="EU173" i="2"/>
  <c r="EU174" i="2"/>
  <c r="EU175" i="2"/>
  <c r="EU176" i="2"/>
  <c r="EU177" i="2"/>
  <c r="EU178" i="2"/>
  <c r="EU179" i="2"/>
  <c r="EU180" i="2"/>
  <c r="EU181" i="2"/>
  <c r="EU182" i="2"/>
  <c r="EU183" i="2"/>
  <c r="EU184" i="2"/>
  <c r="EU185" i="2"/>
  <c r="EU186" i="2"/>
  <c r="EU187" i="2"/>
  <c r="EU188" i="2"/>
  <c r="EU189" i="2"/>
  <c r="EU190" i="2"/>
  <c r="EU191" i="2"/>
  <c r="EU192" i="2"/>
  <c r="EU193" i="2"/>
  <c r="EU194" i="2"/>
  <c r="EU195" i="2"/>
  <c r="EU196" i="2"/>
  <c r="EU197" i="2"/>
  <c r="EU198" i="2"/>
  <c r="EU199" i="2"/>
  <c r="EU200" i="2"/>
  <c r="EU201" i="2"/>
  <c r="EU202" i="2"/>
  <c r="EU203" i="2"/>
  <c r="EU204" i="2"/>
  <c r="EU205" i="2"/>
  <c r="EU206" i="2"/>
  <c r="EU207" i="2"/>
  <c r="EU208" i="2"/>
  <c r="EU209" i="2"/>
  <c r="EU210" i="2"/>
  <c r="EU211" i="2"/>
  <c r="EU212" i="2"/>
  <c r="EU213" i="2"/>
  <c r="EU214" i="2"/>
  <c r="EU215" i="2"/>
  <c r="EU216" i="2"/>
  <c r="EU217" i="2"/>
  <c r="EU218" i="2"/>
  <c r="EU219" i="2"/>
  <c r="EU220" i="2"/>
  <c r="EU221" i="2"/>
  <c r="EU222" i="2"/>
  <c r="EU223" i="2"/>
  <c r="EU224" i="2"/>
  <c r="EU225" i="2"/>
  <c r="EU226" i="2"/>
  <c r="EU227" i="2"/>
  <c r="EU228" i="2"/>
  <c r="EU229" i="2"/>
  <c r="EU230" i="2"/>
  <c r="EU231" i="2"/>
  <c r="EU232" i="2"/>
  <c r="EU233" i="2"/>
  <c r="EU234" i="2"/>
  <c r="EU235" i="2"/>
  <c r="EU236" i="2"/>
  <c r="EU237" i="2"/>
  <c r="EU238" i="2"/>
  <c r="EU239" i="2"/>
  <c r="EU240" i="2"/>
  <c r="EU241" i="2"/>
  <c r="EU242" i="2"/>
  <c r="EU243" i="2"/>
  <c r="EU244" i="2"/>
  <c r="EU245" i="2"/>
  <c r="EU246" i="2"/>
  <c r="EU247" i="2"/>
  <c r="EU248" i="2"/>
  <c r="EU249" i="2"/>
  <c r="EU250" i="2"/>
  <c r="EU251" i="2"/>
  <c r="EU252" i="2"/>
  <c r="EU253" i="2"/>
  <c r="ER2" i="2" l="1"/>
  <c r="EV4" i="2"/>
  <c r="EW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<sst xmlns="http://schemas.openxmlformats.org/spreadsheetml/2006/main" count="2240" uniqueCount="708">
  <si>
    <t>*Codigo E.A.N. *</t>
  </si>
  <si>
    <t>Status*</t>
  </si>
  <si>
    <t>*  F.Alta    *</t>
  </si>
  <si>
    <t>PRESIDIO CLEAR +GLITTER PNK/GL SE 2</t>
  </si>
  <si>
    <t>117576-6603</t>
  </si>
  <si>
    <t>25/03/2019</t>
  </si>
  <si>
    <t>PRESIDIO SHOW - CLEAR/BLACK IP SE 2</t>
  </si>
  <si>
    <t>117577-5905</t>
  </si>
  <si>
    <t>16/12/2021</t>
  </si>
  <si>
    <t>18/06/2020</t>
  </si>
  <si>
    <t>PRESIDIO PRO - BLACK IPAD PRO 11</t>
  </si>
  <si>
    <t>122013-1050</t>
  </si>
  <si>
    <t>CANDYSHELL LITE - BLUE IPHONE SE 2</t>
  </si>
  <si>
    <t>124747-8198</t>
  </si>
  <si>
    <t>CANDYSHELL LITE - PINK IPHONE SE 2</t>
  </si>
  <si>
    <t>124747-C222</t>
  </si>
  <si>
    <t>26/11/2019</t>
  </si>
  <si>
    <t>SMARTSHELL - PURPLE MB AIR 13 RD</t>
  </si>
  <si>
    <t>126087-6010</t>
  </si>
  <si>
    <t>SMARTSHELL - ROSE PINK MB AIR 13 RD</t>
  </si>
  <si>
    <t>126087-6011</t>
  </si>
  <si>
    <t>SMARTSHELL - BLUE MB AIR 13 RD</t>
  </si>
  <si>
    <t>126087-B189</t>
  </si>
  <si>
    <t>TRANSFER PRO POCKET - GR/ROSEG MB14</t>
  </si>
  <si>
    <t>127573-8336</t>
  </si>
  <si>
    <t>TRANSFER PRO POCKET - GRY/BLUE MB14</t>
  </si>
  <si>
    <t>127573-9166</t>
  </si>
  <si>
    <t>GEMSHELL CASE - CLEAR FOR IPHONE 11</t>
  </si>
  <si>
    <t>128842-5085</t>
  </si>
  <si>
    <t>27/06/2023</t>
  </si>
  <si>
    <t>PRESIDIO PRO - PINK FOR IPHONE 11</t>
  </si>
  <si>
    <t>129908-8535</t>
  </si>
  <si>
    <t>PRESIDIO SPORT - TEAL FOR IPHONE 11</t>
  </si>
  <si>
    <t>129914-7566</t>
  </si>
  <si>
    <t>BALANCE FOLIO - BLACK IPAD 10.2</t>
  </si>
  <si>
    <t>133535-1050</t>
  </si>
  <si>
    <t>BALANCE FOLIO - GRAY IPAD 10.2</t>
  </si>
  <si>
    <t>133535-5999</t>
  </si>
  <si>
    <t>BALANCE FOLIO - PRPLE/PNK IPAD 10.2</t>
  </si>
  <si>
    <t>133535-7265</t>
  </si>
  <si>
    <t>BALANCE FOLIO CLEAR BLUE IPAD 10.2</t>
  </si>
  <si>
    <t>133537-7399</t>
  </si>
  <si>
    <t>15/04/2021</t>
  </si>
  <si>
    <t>BALANCE FOLIO CLEAR ROSEGL IPAD10.2</t>
  </si>
  <si>
    <t>133537-8640</t>
  </si>
  <si>
    <t>17/11/2020</t>
  </si>
  <si>
    <t>BALANCE FOLIO CLEAR GRAY IPAD 10.2</t>
  </si>
  <si>
    <t>133537-8922</t>
  </si>
  <si>
    <t>PRESIDIO 2 PRO CASE - BLUE IP SE 2</t>
  </si>
  <si>
    <t>136209-9127</t>
  </si>
  <si>
    <t>19/03/2021</t>
  </si>
  <si>
    <t>PRESIDIO 2 PRO CASE - PURPLE IP SE2</t>
  </si>
  <si>
    <t>136209-9136</t>
  </si>
  <si>
    <t>23/09/2020</t>
  </si>
  <si>
    <t>PRESIDIO 2 PRO CASE - BLACK IP SE 2</t>
  </si>
  <si>
    <t>136209-D143</t>
  </si>
  <si>
    <t>PRESIDIO PERFECT CLEAR CLEAR IP SE2</t>
  </si>
  <si>
    <t>136212-5085</t>
  </si>
  <si>
    <t>23/11/2021</t>
  </si>
  <si>
    <t>PRESIDIO2 GRIP - BLUE/BLACK IP 11</t>
  </si>
  <si>
    <t>136489-9128</t>
  </si>
  <si>
    <t>25/02/2022</t>
  </si>
  <si>
    <t>PRESIDIO PERFECT CLEAR CLEAR IP11</t>
  </si>
  <si>
    <t>136490-5085</t>
  </si>
  <si>
    <t>PRESIDIO GRIP PERFECT CLEAR CL IP11</t>
  </si>
  <si>
    <t>136495-5085</t>
  </si>
  <si>
    <t>PRESIDIO PERFECT CLEAR GRIP PNK SE3</t>
  </si>
  <si>
    <t>136812-7356</t>
  </si>
  <si>
    <t>21/04/2022</t>
  </si>
  <si>
    <t>SMARTSHELL - SWELL BLUE MB PRO 16</t>
  </si>
  <si>
    <t>137270-9246</t>
  </si>
  <si>
    <t>CANDYSHELL PRO - BLACK IP 12/12 PRO</t>
  </si>
  <si>
    <t>137600-1050</t>
  </si>
  <si>
    <t>GEMSHELL CASE - CLR/BLK IPHONE 12</t>
  </si>
  <si>
    <t>137603-5095</t>
  </si>
  <si>
    <t>19/06/2023</t>
  </si>
  <si>
    <t>GEMSHELL GRIP - CLEAR FOR IPHONE 12</t>
  </si>
  <si>
    <t>137606-5085</t>
  </si>
  <si>
    <t>CANDYSHELL PRO - BLACK IPHONE 11</t>
  </si>
  <si>
    <t>137621-1050</t>
  </si>
  <si>
    <t>PRESIDIO 2 PRO - BLUE/BLK IP 12 PRO</t>
  </si>
  <si>
    <t>138486-9128</t>
  </si>
  <si>
    <t>PRESIDIO 2 PRO - PINK IPHONE 12 PRO</t>
  </si>
  <si>
    <t>138486-9276</t>
  </si>
  <si>
    <t>PRESIDIO 2 PRO - BLACK IP 12 PRO</t>
  </si>
  <si>
    <t>138486-D143</t>
  </si>
  <si>
    <t>PRESIDIO PERFECT CLEAR CLR 12 PRO</t>
  </si>
  <si>
    <t>138489-5085</t>
  </si>
  <si>
    <t>PRESIDIO PERFECT CL GEO CL/BL 12PRO</t>
  </si>
  <si>
    <t>138491-5905</t>
  </si>
  <si>
    <t>PRESIDIO PERFECT CLEAR OM RSE 12PRO</t>
  </si>
  <si>
    <t>138496-9268</t>
  </si>
  <si>
    <t>SMARTSHELL ONYX BLACK MBAIR13RD2020</t>
  </si>
  <si>
    <t>138616-0581</t>
  </si>
  <si>
    <t>SMARTSHELL CLEAR MB AIR 13 RD</t>
  </si>
  <si>
    <t>138616-1212</t>
  </si>
  <si>
    <t>29/10/2020</t>
  </si>
  <si>
    <t>BALANCE FOLIO - BLACK IPAD AIR 10.9</t>
  </si>
  <si>
    <t>138650-1050</t>
  </si>
  <si>
    <t>19/11/2020</t>
  </si>
  <si>
    <t>BALANCE FOLIO PURPLE IPAD AIR 10.9</t>
  </si>
  <si>
    <t>138650-7265</t>
  </si>
  <si>
    <t>13/01/2021</t>
  </si>
  <si>
    <t>BALANCE FOLIO -NVY/GRAY IPADAIR10.9</t>
  </si>
  <si>
    <t>138650-9322</t>
  </si>
  <si>
    <t>138654-1050</t>
  </si>
  <si>
    <t>19/10/2021</t>
  </si>
  <si>
    <t>CASE-E RUN VIOLET/ORANGE IPAD 10.2</t>
  </si>
  <si>
    <t>138658-9226</t>
  </si>
  <si>
    <t>25/03/2021</t>
  </si>
  <si>
    <t>CASE-E RUN BLUE FOR IPAD 10.2</t>
  </si>
  <si>
    <t>138658-9323</t>
  </si>
  <si>
    <t>SMARTSHELL CASE SWELL BLUE MBP 13</t>
  </si>
  <si>
    <t>138969-9352</t>
  </si>
  <si>
    <t>19/02/2021</t>
  </si>
  <si>
    <t>SMARTSHELL CASE CRYSTAL PINK MBP 13</t>
  </si>
  <si>
    <t>138969-9354</t>
  </si>
  <si>
    <t>SMARTSHELL SWELL BLUE MB AIR 13 RD</t>
  </si>
  <si>
    <t>138970-9352</t>
  </si>
  <si>
    <t>BALANCE FOLIO BLK IPAD PRO 12.9 (5T</t>
  </si>
  <si>
    <t>140546-1050</t>
  </si>
  <si>
    <t>30/04/2021</t>
  </si>
  <si>
    <t>BALANCE FOLIO GRAY IPAD PRO 12.9 (5</t>
  </si>
  <si>
    <t>140546-5999</t>
  </si>
  <si>
    <t>140548-1050</t>
  </si>
  <si>
    <t>BALANCE FOLIO - NAVY/GRAY AIR 10.9</t>
  </si>
  <si>
    <t>140548-9322</t>
  </si>
  <si>
    <t>PRESIDIO PRO FOLIO BLK IPADAIR 10.9</t>
  </si>
  <si>
    <t>140550-1050</t>
  </si>
  <si>
    <t>141154-5085</t>
  </si>
  <si>
    <t>22/12/2021</t>
  </si>
  <si>
    <t>PRESIDIO PERFECT CL GEO CL/RE 13PRO</t>
  </si>
  <si>
    <t>141719-9608</t>
  </si>
  <si>
    <t>BALANCE FOLIO MICROBAN BLACK MINI 6</t>
  </si>
  <si>
    <t>142573-1050</t>
  </si>
  <si>
    <t>26/10/2021</t>
  </si>
  <si>
    <t>BALANCE FOLIO MICROBAN GREEN MINI 6</t>
  </si>
  <si>
    <t>142573-9497</t>
  </si>
  <si>
    <t>SILILOOP - BLACK FOR AIRTAG</t>
  </si>
  <si>
    <t>142888-1050</t>
  </si>
  <si>
    <t>21/03/2023</t>
  </si>
  <si>
    <t>SILILOOP - BLUE FOR AIRTAG</t>
  </si>
  <si>
    <t>142888-7807</t>
  </si>
  <si>
    <t>PREMCARABINER - SILVER FOR AIRTAG</t>
  </si>
  <si>
    <t>142889-9696</t>
  </si>
  <si>
    <t>LUGGAGE TAG PRO - BLACK FOR AIRTAG</t>
  </si>
  <si>
    <t>142890-D143</t>
  </si>
  <si>
    <t>SILIRING - RED FOR AIRTAG</t>
  </si>
  <si>
    <t>142891-9748</t>
  </si>
  <si>
    <t>SILILOOP 4 PACK - MIXED FOR AIRTAG</t>
  </si>
  <si>
    <t>143093-1568</t>
  </si>
  <si>
    <t>SMARTSHELL ONX BL MICROBAN MB PRO16</t>
  </si>
  <si>
    <t>144895-0581</t>
  </si>
  <si>
    <t>SMARTSHELL CLEAR MICROBAN MB PRO 16</t>
  </si>
  <si>
    <t>144895-1212</t>
  </si>
  <si>
    <t>SMARTSHELL SWLL B MICROBAN MB PRO16</t>
  </si>
  <si>
    <t>144895-9352</t>
  </si>
  <si>
    <t>SMARTSHELL CRSTL P MICROBAN MBPRO16</t>
  </si>
  <si>
    <t>144895-9354</t>
  </si>
  <si>
    <t>SMARTSHELL ONX BL MICROBAN MB PRO14</t>
  </si>
  <si>
    <t>144896-0581</t>
  </si>
  <si>
    <t>SMARTSHELL CLEAR MICROBAN MB PRO 14</t>
  </si>
  <si>
    <t>144896-1212</t>
  </si>
  <si>
    <t>SMARTSHELL SWLL B MICROBAN MB PRO14</t>
  </si>
  <si>
    <t>144896-9352</t>
  </si>
  <si>
    <t>SMARTSHELL CRSTL P MICROBAN MBPRO14</t>
  </si>
  <si>
    <t>144896-9354</t>
  </si>
  <si>
    <t>PRESIDIO 2 PRO - CHARCOAL IP 14</t>
  </si>
  <si>
    <t>150056-3068</t>
  </si>
  <si>
    <t>30/08/2022</t>
  </si>
  <si>
    <t>PRESIDIO 2 PRO - BLACK IP 14</t>
  </si>
  <si>
    <t>150056-D143</t>
  </si>
  <si>
    <t>PRESIDIO PERFECT CLEAR IP 14</t>
  </si>
  <si>
    <t>150060-5085</t>
  </si>
  <si>
    <t>PRESIDIO PERFECT CL GEO MS BL 14</t>
  </si>
  <si>
    <t>150067-5905</t>
  </si>
  <si>
    <t>PRESIDIO PERFECT CL GEO MS CB 14</t>
  </si>
  <si>
    <t>150067-9794</t>
  </si>
  <si>
    <t>PRESIDIO PERFECT CL GEO MS DP 14</t>
  </si>
  <si>
    <t>150067-9991</t>
  </si>
  <si>
    <t>PRESIDIO PERFECT MIST MAGSAFE OB 14</t>
  </si>
  <si>
    <t>150069-9984</t>
  </si>
  <si>
    <t>PRESIDIO PERFECT MIST MAGSAFE CB 14</t>
  </si>
  <si>
    <t>150069-9985</t>
  </si>
  <si>
    <t>PRESIDIO 2 PRO - CHARCOAL 14 PROMAX</t>
  </si>
  <si>
    <t>150085-3068</t>
  </si>
  <si>
    <t>PRESIDIO 2 PRO - BLACK 14 PRO MAX</t>
  </si>
  <si>
    <t>150085-D143</t>
  </si>
  <si>
    <t>PRESIDIO PERFECT CLEAR IP 14 PROMAX</t>
  </si>
  <si>
    <t>150089-5085</t>
  </si>
  <si>
    <t>PRESIDIO PERFECT CL GEO MS BL14PMAX</t>
  </si>
  <si>
    <t>150096-5905</t>
  </si>
  <si>
    <t>PRESIDIO PERFECT CL GEO MS CB14PMAX</t>
  </si>
  <si>
    <t>150096-9794</t>
  </si>
  <si>
    <t>PRESIDIO PERFECT CL GEO MS DP14PMAX</t>
  </si>
  <si>
    <t>150096-9991</t>
  </si>
  <si>
    <t>PRESIDIO PERFECT MIST MS OB 14 PMAX</t>
  </si>
  <si>
    <t>150098-9984</t>
  </si>
  <si>
    <t>PRESIDIO PERFECT MIST MS CB 14 PMAX</t>
  </si>
  <si>
    <t>150098-9985</t>
  </si>
  <si>
    <t>PRESIDIO 2 PRO - CHARCOAL 14 PLUS</t>
  </si>
  <si>
    <t>150114-3068</t>
  </si>
  <si>
    <t>PRESIDIO 2 PRO - BLACK IP 14 PLUS</t>
  </si>
  <si>
    <t>150114-D143</t>
  </si>
  <si>
    <t>PRESIDIO PERFECT CLEAR IP 14 PLUS</t>
  </si>
  <si>
    <t>150118-5085</t>
  </si>
  <si>
    <t>PRESIDIO PERFECT CL GEO MS BL14PLUS</t>
  </si>
  <si>
    <t>150125-5905</t>
  </si>
  <si>
    <t>PRESIDIO PERFECT CL GEO MS CB14PLUS</t>
  </si>
  <si>
    <t>150125-9794</t>
  </si>
  <si>
    <t>PRESIDIO PERFECT CL GEO MS DP14PLUS</t>
  </si>
  <si>
    <t>150125-9991</t>
  </si>
  <si>
    <t>PRESIDIO PERFECT MIST MS OB 14 PLUS</t>
  </si>
  <si>
    <t>150127-9984</t>
  </si>
  <si>
    <t>PRESIDIO PERFECT MIST MS CB 14 PLUS</t>
  </si>
  <si>
    <t>150127-9985</t>
  </si>
  <si>
    <t>PRESIDIO 2 PRO - CHARCOAL IP 14 PRO</t>
  </si>
  <si>
    <t>150143-3068</t>
  </si>
  <si>
    <t>PRESIDIO 2 PRO - BLACK IP 14 PRO</t>
  </si>
  <si>
    <t>150143-D143</t>
  </si>
  <si>
    <t>PRESIDIO PERFECT CLEAR IP 14 PRO</t>
  </si>
  <si>
    <t>150147-5085</t>
  </si>
  <si>
    <t>PRESIDIO PERFECT CL GEO MS BL 14PRO</t>
  </si>
  <si>
    <t>150154-5905</t>
  </si>
  <si>
    <t>PRESIDIO PERFECT CL GEO MS CB 14PRO</t>
  </si>
  <si>
    <t>150154-9794</t>
  </si>
  <si>
    <t>PRESIDIO PERFECT CL GEO MS DP 14PRO</t>
  </si>
  <si>
    <t>150154-9991</t>
  </si>
  <si>
    <t>PRESIDIO PERFECT MIST MS OB 14 PRO</t>
  </si>
  <si>
    <t>150156-9984</t>
  </si>
  <si>
    <t>PRESIDIO PERFECT MIST MS CB 14 PRO</t>
  </si>
  <si>
    <t>150156-9985</t>
  </si>
  <si>
    <t>SMARTSHELL COZY PNK MB PRO 13 M2/M1</t>
  </si>
  <si>
    <t>150224-3086</t>
  </si>
  <si>
    <t>SMARTSHELL OBSDN MICROBAN MBA 13 M2</t>
  </si>
  <si>
    <t>150225-3085</t>
  </si>
  <si>
    <t>SMARTSHELL PINK MICROBAN MBA 13 M2</t>
  </si>
  <si>
    <t>150225-3086</t>
  </si>
  <si>
    <t>SMARTSHELL CLEAR MICROBAN MBA 13 M2</t>
  </si>
  <si>
    <t>150225-9992</t>
  </si>
  <si>
    <t>BALANCE FOLIO PUR/PIN IPAD 10.9 (10</t>
  </si>
  <si>
    <t>150226-7265</t>
  </si>
  <si>
    <t>BALANCE FOLIO NVY/GRY IPAD 10.9 (10</t>
  </si>
  <si>
    <t>150226-9322</t>
  </si>
  <si>
    <t>BALANCE FOLIO AL/MO/CHA IPAD 10.9 (</t>
  </si>
  <si>
    <t>150226-9969</t>
  </si>
  <si>
    <t>BALANCE FOLIO BLK/WHT IPAD 10.9 (10</t>
  </si>
  <si>
    <t>150226-D143</t>
  </si>
  <si>
    <t>PRESIDIO2 GRIP MSAFE BLACK IP 15</t>
  </si>
  <si>
    <t>150439-3205</t>
  </si>
  <si>
    <t>14/08/2023</t>
  </si>
  <si>
    <t>PRESIDIO2 GRIP MSAFE CSTLBLUE IP 15</t>
  </si>
  <si>
    <t>150439-3206</t>
  </si>
  <si>
    <t>PRESIDIO2 GRIP MSAFE CHRCOAL IP 15</t>
  </si>
  <si>
    <t>150439-3212</t>
  </si>
  <si>
    <t>PRESIDIO PERFECT CL GRP MSAFECL15</t>
  </si>
  <si>
    <t>150443-3199</t>
  </si>
  <si>
    <t>PRESIDIO2 GRIP MSAFE BLACK IP15 PRO</t>
  </si>
  <si>
    <t>150447-3205</t>
  </si>
  <si>
    <t>PRESIDIO2 GRIP MSAFE CSTLBLU 15PRO</t>
  </si>
  <si>
    <t>150447-3206</t>
  </si>
  <si>
    <t>PRESIDIO2 GRIP MSAFE CHRCL IP15 PRO</t>
  </si>
  <si>
    <t>150447-3212</t>
  </si>
  <si>
    <t>PRESIDIO PERFECT CL GRPMSAFECL15PRO</t>
  </si>
  <si>
    <t>150451-3199</t>
  </si>
  <si>
    <t>PRESIDIO2 GRIP MSAFE BLACK IP15PLUS</t>
  </si>
  <si>
    <t>150455-3205</t>
  </si>
  <si>
    <t>PRESIDIO2 GRIP MSAFE CSTLBLU IP15+</t>
  </si>
  <si>
    <t>150455-3206</t>
  </si>
  <si>
    <t>PRESIDIO2 GRIP MSAFE CHRCL IP15PLUS</t>
  </si>
  <si>
    <t>150455-3212</t>
  </si>
  <si>
    <t>PRESIDIO PERFECT CL GRP MSAFECL15+</t>
  </si>
  <si>
    <t>150459-3199</t>
  </si>
  <si>
    <t>PRESIDIO2 GRIP MSAFE BLCK 15 PROMAX</t>
  </si>
  <si>
    <t>150463-3205</t>
  </si>
  <si>
    <t>PRESIDIO2 GRIP MSAFE CSTLBLU15PRMAX</t>
  </si>
  <si>
    <t>150463-3206</t>
  </si>
  <si>
    <t>PRESIDIO2 GRIP MSAFE CHRCL 15PROMAX</t>
  </si>
  <si>
    <t>150463-3212</t>
  </si>
  <si>
    <t>150465-3199</t>
  </si>
  <si>
    <t>25/09/2017</t>
  </si>
  <si>
    <t>PIXELSKIN CASE - GREEN ITOUCH 6G</t>
  </si>
  <si>
    <t>72146-B155</t>
  </si>
  <si>
    <t>22/02/2017</t>
  </si>
  <si>
    <t>27/03/2017</t>
  </si>
  <si>
    <t>SMARTSHELL - CLEAR FOR MB PRO 13 RD</t>
  </si>
  <si>
    <t>86400-5636</t>
  </si>
  <si>
    <t>SMARTSHELL CASE - BLACK MBP 13 T&amp;B</t>
  </si>
  <si>
    <t>90206-0581</t>
  </si>
  <si>
    <t>SMARTSHELL CASE - CLEAR MBP 13 T&amp;B</t>
  </si>
  <si>
    <t>90206-1212</t>
  </si>
  <si>
    <t>Oferta</t>
  </si>
  <si>
    <t>Prec. Público</t>
  </si>
  <si>
    <t>Clave Art.Prov</t>
  </si>
  <si>
    <t>Modelo</t>
  </si>
  <si>
    <t>Costo</t>
  </si>
  <si>
    <t>Descripción</t>
  </si>
  <si>
    <t>Categoría</t>
  </si>
  <si>
    <t>Sub</t>
  </si>
  <si>
    <t>Clase</t>
  </si>
  <si>
    <t>iPhone 15 Pro Max</t>
  </si>
  <si>
    <t>iPhone 15</t>
  </si>
  <si>
    <t>iPhone 15 Pro</t>
  </si>
  <si>
    <t>MacBook Air 13" M2 Cases</t>
  </si>
  <si>
    <t>iPhone 12 / 12 Pro</t>
  </si>
  <si>
    <t>AirTag</t>
  </si>
  <si>
    <t>MacBook Air 13" M1 Cases</t>
  </si>
  <si>
    <t>MacBook Pro 13" M1/M2 Cases</t>
  </si>
  <si>
    <t>13" Sleeves</t>
  </si>
  <si>
    <t>iPhone 11</t>
  </si>
  <si>
    <t>iPhone 7/8/SE 2/SE 3 Cases</t>
  </si>
  <si>
    <t>MacBook Pro 16" Touch Bar Cases</t>
  </si>
  <si>
    <t>MacBook Pro 16" M1/M2 Cases</t>
  </si>
  <si>
    <t>iPhone 15 Plus</t>
  </si>
  <si>
    <t>iPhone 14 Pro</t>
  </si>
  <si>
    <t>iPhone 14 Pro Max</t>
  </si>
  <si>
    <t>iPhone 14</t>
  </si>
  <si>
    <t>iPhone 12/12 Pro Cases</t>
  </si>
  <si>
    <t>iPad Pro 12.9" 4/5 Cases</t>
  </si>
  <si>
    <t>iPhone</t>
  </si>
  <si>
    <t>iPad</t>
  </si>
  <si>
    <t>Macbook</t>
  </si>
  <si>
    <t>W41</t>
  </si>
  <si>
    <t>W42</t>
  </si>
  <si>
    <t>W43</t>
  </si>
  <si>
    <t>W44</t>
  </si>
  <si>
    <t>W45</t>
  </si>
  <si>
    <t>W46</t>
  </si>
  <si>
    <t>W47</t>
  </si>
  <si>
    <t>OH</t>
  </si>
  <si>
    <t>SPORT BAND ORANGE FOR WATCH 49MM</t>
  </si>
  <si>
    <t>SPORT BAND BLACK FOR WATCH 49MM</t>
  </si>
  <si>
    <t>SPORT BAND WHITE FOR WATCH 49MM</t>
  </si>
  <si>
    <t>NM00736685</t>
  </si>
  <si>
    <t>NM1Am10000</t>
  </si>
  <si>
    <t>NM01111085</t>
  </si>
  <si>
    <t>49/45/44/42 mm</t>
  </si>
  <si>
    <t>W48</t>
  </si>
  <si>
    <t>W49</t>
  </si>
  <si>
    <t>W50</t>
  </si>
  <si>
    <t>W51</t>
  </si>
  <si>
    <t>TAGIMALS 4 PACK - MIXED FOR AIRTAG</t>
  </si>
  <si>
    <t>150585-1568</t>
  </si>
  <si>
    <t>W52</t>
  </si>
  <si>
    <t>W01</t>
  </si>
  <si>
    <t>W02</t>
  </si>
  <si>
    <t>W03</t>
  </si>
  <si>
    <t>W04</t>
  </si>
  <si>
    <t>BALANCE FOLIO BLK IPAD PRO 12.9 (6T</t>
  </si>
  <si>
    <t>150198-D143</t>
  </si>
  <si>
    <t>BALANCE FOLIO CHRCL IPAD PRO12.9 (6</t>
  </si>
  <si>
    <t>150198-9969</t>
  </si>
  <si>
    <t>iPad Pro 12.9"</t>
  </si>
  <si>
    <t>W05</t>
  </si>
  <si>
    <t>W06</t>
  </si>
  <si>
    <t>W07</t>
  </si>
  <si>
    <t>140548-7265</t>
  </si>
  <si>
    <t>140999-1050</t>
  </si>
  <si>
    <t>W08</t>
  </si>
  <si>
    <t>W09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</si>
  <si>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</si>
  <si>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</si>
  <si>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</si>
  <si>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</si>
  <si>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</si>
  <si>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</si>
  <si>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</si>
  <si>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</si>
  <si>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</si>
  <si>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PRESIDIO 2 PRO BLK/WHT IP 13 PRO</t>
  </si>
  <si>
    <t>141713-D143</t>
  </si>
  <si>
    <t>PRESIDIO 2 PRO BLUE/BLACK IP 13 PRO</t>
  </si>
  <si>
    <t>141713-9128</t>
  </si>
  <si>
    <t>PRESIDIO PRFCT CLR GLTR CLRPL 13PRO</t>
  </si>
  <si>
    <t>141715-9508</t>
  </si>
  <si>
    <t>PRESIDIO PRFCT CLR GEO CLR/BL 13PRO</t>
  </si>
  <si>
    <t>141719-5905</t>
  </si>
  <si>
    <t>PRESIDIO PERFECT CL GEO CL/R 13PROM</t>
  </si>
  <si>
    <t>141742-9608</t>
  </si>
  <si>
    <t>W19</t>
  </si>
  <si>
    <t>W20</t>
  </si>
  <si>
    <t>SPORT BAND MARINE BLUE WATCH 49MM</t>
  </si>
  <si>
    <t>NM01133285</t>
  </si>
  <si>
    <t>ACTIVO</t>
  </si>
  <si>
    <t>PRESIDIO SHOW - CLEAR/ROSE GOLD IP8</t>
  </si>
  <si>
    <t>103111-6244</t>
  </si>
  <si>
    <t>W21</t>
  </si>
  <si>
    <t>MacBook Pro 14" M1/M2 Cases</t>
  </si>
  <si>
    <t>W23</t>
  </si>
  <si>
    <t>W25</t>
  </si>
  <si>
    <t>W27</t>
  </si>
  <si>
    <t>W29</t>
  </si>
  <si>
    <t>W31</t>
  </si>
  <si>
    <t>W33</t>
  </si>
  <si>
    <t>150423-1041</t>
  </si>
  <si>
    <t>150527-D143</t>
  </si>
  <si>
    <t>150526-D143</t>
  </si>
  <si>
    <t>150584-9992</t>
  </si>
  <si>
    <t>150584-3085</t>
  </si>
  <si>
    <t>150584-3086</t>
  </si>
  <si>
    <t>AUD TRUE WL GEMTONES PLAY BLACK</t>
  </si>
  <si>
    <t>AUD TRUE WL GEMTONES PLAY POP PURPL</t>
  </si>
  <si>
    <t>AUD TRUE WL GEMTONES PLAY BOB BLUE</t>
  </si>
  <si>
    <t>150533-3225</t>
  </si>
  <si>
    <t>150533-3226</t>
  </si>
  <si>
    <t>150533-3229</t>
  </si>
  <si>
    <t>150525-D143</t>
  </si>
  <si>
    <t>W35</t>
  </si>
  <si>
    <t>Audio</t>
  </si>
  <si>
    <t>SMARTSHELL - CLEAR MB AIR 15 M3</t>
  </si>
  <si>
    <t>SMARTSHELL - OBSIDIAN MB AIR 15 M3</t>
  </si>
  <si>
    <t>SMARTSHELL - PINK MB AIR 15 M3</t>
  </si>
  <si>
    <t>W37</t>
  </si>
  <si>
    <t>ROCKY POINT BAND SOL WATCH 49MM</t>
  </si>
  <si>
    <t>ROCKY POINT BAND ATLANTIC WATCH49MM</t>
  </si>
  <si>
    <t>ROCKY POINT BAND STORM WATCH 49MM</t>
  </si>
  <si>
    <t>NM013602858</t>
  </si>
  <si>
    <t>NM013589858</t>
  </si>
  <si>
    <t>NM013596858</t>
  </si>
  <si>
    <t>150697-5085</t>
  </si>
  <si>
    <t>150695-3205</t>
  </si>
  <si>
    <t>150689-3206</t>
  </si>
  <si>
    <t>150689-3249</t>
  </si>
  <si>
    <t>150703-3199</t>
  </si>
  <si>
    <t>150701-3205</t>
  </si>
  <si>
    <t>150701-3206</t>
  </si>
  <si>
    <t>150701-3249</t>
  </si>
  <si>
    <t>150727-3199</t>
  </si>
  <si>
    <t>150725-3205</t>
  </si>
  <si>
    <t>150725-3206</t>
  </si>
  <si>
    <t>150725-3249</t>
  </si>
  <si>
    <t>150721-5085</t>
  </si>
  <si>
    <t>150713-3205</t>
  </si>
  <si>
    <t>NM01697985</t>
  </si>
  <si>
    <t>NM01696285</t>
  </si>
  <si>
    <t>iPhone 16</t>
  </si>
  <si>
    <t>iPhone 16 Pro</t>
  </si>
  <si>
    <t>iPhone 16 Pro Max</t>
  </si>
  <si>
    <t>iPhone 16 Plus</t>
  </si>
  <si>
    <t>W39</t>
  </si>
  <si>
    <t>NM01693185</t>
  </si>
  <si>
    <t>NM01692485</t>
  </si>
  <si>
    <t>NM014919858</t>
  </si>
  <si>
    <t>T21-10857</t>
  </si>
  <si>
    <t>T21-10858</t>
  </si>
  <si>
    <t>T21-10860</t>
  </si>
  <si>
    <t>T21-10975</t>
  </si>
  <si>
    <t>T21-10976</t>
  </si>
  <si>
    <t>T21-11034</t>
  </si>
  <si>
    <t>T21-11035</t>
  </si>
  <si>
    <t>T21-10909</t>
  </si>
  <si>
    <t>150659-3225</t>
  </si>
  <si>
    <t>150661-3225</t>
  </si>
  <si>
    <t>GEMTONES INFINITY MINI BT DARK GRAY</t>
  </si>
  <si>
    <t>GEMTONES INFINITY MAX BT DARK GRAY</t>
  </si>
  <si>
    <t>MODERN LEATHER BLACK AIRPODS PRO 2</t>
  </si>
  <si>
    <t>MODERN LEATHER BROWN AIRPODS PRO 2</t>
  </si>
  <si>
    <t>NM01806585</t>
  </si>
  <si>
    <t>NM01836285</t>
  </si>
  <si>
    <t>AirPods</t>
  </si>
  <si>
    <t>T21-10260</t>
  </si>
  <si>
    <t>T21-10438</t>
  </si>
  <si>
    <t>T21-10441</t>
  </si>
  <si>
    <t>T21-10258</t>
  </si>
  <si>
    <t>T21-11240</t>
  </si>
  <si>
    <t>W22</t>
  </si>
  <si>
    <t>Activo</t>
  </si>
  <si>
    <t>Descontinuado</t>
  </si>
  <si>
    <t>W24</t>
  </si>
  <si>
    <t>W26</t>
  </si>
  <si>
    <t>W28</t>
  </si>
  <si>
    <t>W30</t>
  </si>
  <si>
    <t>W32</t>
  </si>
  <si>
    <t>W34</t>
  </si>
  <si>
    <t>Bloquedo</t>
  </si>
  <si>
    <t>DESCONTINUADO</t>
  </si>
  <si>
    <t>W36</t>
  </si>
  <si>
    <t>iPhone 17</t>
  </si>
  <si>
    <t>iPhone 17 Pro</t>
  </si>
  <si>
    <t>iPhone 17 Pro Max</t>
  </si>
  <si>
    <t>T21-11303</t>
  </si>
  <si>
    <t>T21-11314</t>
  </si>
  <si>
    <t>T21-11323</t>
  </si>
  <si>
    <t>T21-11334</t>
  </si>
  <si>
    <t>T21-11304</t>
  </si>
  <si>
    <t>T21-11348</t>
  </si>
  <si>
    <t>T21-11324</t>
  </si>
  <si>
    <t>T21-11335</t>
  </si>
  <si>
    <t>T21-11360</t>
  </si>
  <si>
    <t>T21-11364</t>
  </si>
  <si>
    <t>T21-11366</t>
  </si>
  <si>
    <t>T21-11371</t>
  </si>
  <si>
    <t>T21-11373</t>
  </si>
  <si>
    <t>T21-11376</t>
  </si>
  <si>
    <t>150992-5085</t>
  </si>
  <si>
    <t>150994-5085</t>
  </si>
  <si>
    <t>150954-3240</t>
  </si>
  <si>
    <t>150972-3240</t>
  </si>
  <si>
    <t>150981-3240</t>
  </si>
  <si>
    <t>150958-D143</t>
  </si>
  <si>
    <t>150967-D143</t>
  </si>
  <si>
    <t>150976-D143</t>
  </si>
  <si>
    <t>150985-D143</t>
  </si>
  <si>
    <t>150957-D143</t>
  </si>
  <si>
    <t>150975-D143</t>
  </si>
  <si>
    <t>150984-D143</t>
  </si>
  <si>
    <t>151008-3261</t>
  </si>
  <si>
    <t>151020-3261</t>
  </si>
  <si>
    <t>151025-3261</t>
  </si>
  <si>
    <t>NM014285858</t>
  </si>
  <si>
    <t>NM014278858</t>
  </si>
  <si>
    <t>NM014339858</t>
  </si>
  <si>
    <t>NM014322858</t>
  </si>
  <si>
    <t>iPhone 17 Air</t>
  </si>
  <si>
    <t>T21-10438-Des</t>
  </si>
  <si>
    <t>T21-10441-Des</t>
  </si>
  <si>
    <t>T21-10258-Des</t>
  </si>
  <si>
    <t>150659-3225DEMO</t>
  </si>
  <si>
    <t>150661-3225DEMO</t>
  </si>
  <si>
    <t>GEMTONES INFINITY MINI BT DRKG DEMO</t>
  </si>
  <si>
    <t>GEMTONES INFINITY MAX BT DRKG DEMO</t>
  </si>
  <si>
    <t>Demo</t>
  </si>
  <si>
    <t>SPORT BAND NAVAL FOR WATCH 49MM</t>
  </si>
  <si>
    <t>EVOLITE - CLEAR FOR AIRPODS 4</t>
  </si>
  <si>
    <t>WALLET FOR MAGSAFE CLICKLOCK BLACK</t>
  </si>
  <si>
    <t>BALANCE FOLIO BLACK IPAD PRO 13 M4</t>
  </si>
  <si>
    <t>BALANCE FOLIO BLACK IPAD AIR 13 M2</t>
  </si>
  <si>
    <t>BALANCE FOLIO BLACK IPAD PRO 11 M4</t>
  </si>
  <si>
    <t>GEMSHELL GRIP - CLEAR MAGSAFE IP16</t>
  </si>
  <si>
    <t>CANDYSHELL GRIP - BLCK MAGSAFE IP16</t>
  </si>
  <si>
    <t>PRESIDIO2 GRIP CLICKLOCK BLUE IP16</t>
  </si>
  <si>
    <t>PRESIDIO2 GRIP CLICKLOCK PINK IP16</t>
  </si>
  <si>
    <t>PRESIDIO PERFECT CL CLCKLCK CL16PRO</t>
  </si>
  <si>
    <t>PRESIDIO2 GRIP CLICKLOCK BLCK 16PRO</t>
  </si>
  <si>
    <t>PRESIDIO2 GRIP CLICKLOCK BLUE 16PRO</t>
  </si>
  <si>
    <t>PRESIDIO2 GRIP CLICKLOCK PINK 16PRO</t>
  </si>
  <si>
    <t>PRESIDIO PERFECT CL CLCKLCKCL16PMAX</t>
  </si>
  <si>
    <t>PRESIDIO2 GRIP CLICKLOCK BLK 16PMAX</t>
  </si>
  <si>
    <t>PRESIDIO2 GRIP CLICKLOCK BLUE16PMAX</t>
  </si>
  <si>
    <t>PRESIDIO2 GRIP CLICKLOCK PNK 16PMAX</t>
  </si>
  <si>
    <t>GEMSHELL GRIP CLEAR MAGSAFE 16 PLUS</t>
  </si>
  <si>
    <t>PRESIDIO2 GRIP CLICKLOCK BLK 16PLUS</t>
  </si>
  <si>
    <t>MODERN LEATHER BLACK IP 16 PRO MAX</t>
  </si>
  <si>
    <t>MODERN LEATHER BROWN IP 16 PRO MAX</t>
  </si>
  <si>
    <t>MODERN LEATHER BLACK IPHONE 16 PRO</t>
  </si>
  <si>
    <t>MODERN LEATHER BROWN IPHONE 16 PRO</t>
  </si>
  <si>
    <t>EVOLITE - CLEAR FOR IPHONE 15</t>
  </si>
  <si>
    <t>EVOLITE - SOFT PINK FOR IPHONE 15</t>
  </si>
  <si>
    <t>EVOLITE - LAVENDER FOR IPHONE 15</t>
  </si>
  <si>
    <t>EVOCLEAR - CLEAR FOR IPHONE 15</t>
  </si>
  <si>
    <t>EVOCRYSTAL MAGSAFE - BLCK IPHONE 16</t>
  </si>
  <si>
    <t>EVOCRYSTAL MAGSAFE - BLUE IPHONE 16</t>
  </si>
  <si>
    <t>EVOCRYSTAL MAGSAFE - PINK IPHONE 16</t>
  </si>
  <si>
    <t>EVOCRYSTAL MAGSAFE - BLCK IP 16 PRO</t>
  </si>
  <si>
    <t>EVOCRYSTAL MAGSAFE - BLUE IP 16 PRO</t>
  </si>
  <si>
    <t>EVOCRYSTAL MAGSAFE BLACK 16 PRO MAX</t>
  </si>
  <si>
    <t>EVOCRYSTAL MAGSAFE BLUE 16 PRO MAX</t>
  </si>
  <si>
    <t>EVOCLEAR MAGSAFE - CLEAR IP16 PLUS</t>
  </si>
  <si>
    <t>PRESIDIO PERFCT CL MAGSAFE CL15PMAX</t>
  </si>
  <si>
    <t>EVOCLEAR - CLEAR FOR IPHONE 17</t>
  </si>
  <si>
    <t>EVOCLEAR - CLEAR FOR IPHONE AIR</t>
  </si>
  <si>
    <t>EVOCLEAR - CLEAR FOR IPHONE 17 PRO</t>
  </si>
  <si>
    <t>EVOCLEAR - CLEAR IPHONE 17 PRO MAX</t>
  </si>
  <si>
    <t>EVOCRYSTAL - BLACK FOR IPHONE 17</t>
  </si>
  <si>
    <t>EVOCRYSTAL - BLACK IPHONE AIR</t>
  </si>
  <si>
    <t>EVOCRYSTAL - BLACK IPHONE 17 PRO</t>
  </si>
  <si>
    <t>EVOCRYSTAL - BLACK IPHONE 17 PROMAX</t>
  </si>
  <si>
    <t>EVOSPARKLE - FOCUS FOR IPHONE 17</t>
  </si>
  <si>
    <t>EVOSPARKLE - FOCUS IPHONE 17 PRO</t>
  </si>
  <si>
    <t>EVOSPARKLE - FOCUS IPHONE 17 PROMAX</t>
  </si>
  <si>
    <t>EVOSPARKLE - LUNAR FOR IPHONE 17</t>
  </si>
  <si>
    <t>EVOSPARKLE - LUNAR IPHONE 17 PRO</t>
  </si>
  <si>
    <t>EVOSPARKLE - LUNAR IPHONE 17 PROMAX</t>
  </si>
  <si>
    <t>GEMSHELL GRIP - CLEAR MAGSAFE IP 17</t>
  </si>
  <si>
    <t>GEMSHELL GRIP - CLEAR MS IPHONE AIR</t>
  </si>
  <si>
    <t>PRESIDIO PERFECT CL MAGSAFE CLR 17</t>
  </si>
  <si>
    <t>PRESIDIO PERFECT CL MAGSAFE CL17PRO</t>
  </si>
  <si>
    <t>PRESIDIO PERFECT CL MAGSAFECL17PMAX</t>
  </si>
  <si>
    <t>PRESIDIO2 GRIP BLACK MAGSAFE IP 17</t>
  </si>
  <si>
    <t>PRESIDIO2 GRIP BLACK MS IPHONE AIR</t>
  </si>
  <si>
    <t>PRESIDIO2 GRIP BLACK MAGSAFE 17 PRO</t>
  </si>
  <si>
    <t>PRESIDIO2 GRIP BLACK MAGSAFE 17PMAX</t>
  </si>
  <si>
    <t>PRESIDIO2 - BLACK MAGSAFE IPHONE 17</t>
  </si>
  <si>
    <t>PRESIDIO2 - BLACK MAGSAFE IP 17 PRO</t>
  </si>
  <si>
    <t>PRESIDIO2 - BLACK MAGSAFE 17 PROMAX</t>
  </si>
  <si>
    <t>PRESIDIO2 - BLUE MAGSAFE IPHONE 17</t>
  </si>
  <si>
    <t>PRESIDIO2 - BLUE MAGSAFE IP 17 PRO</t>
  </si>
  <si>
    <t>PRESIDIO2 - BLUE MAGSAFE 17 PRO MAX</t>
  </si>
  <si>
    <t>MODERN LEATHER BLACK IP 17 PRO MAX</t>
  </si>
  <si>
    <t>MODERN LEATHER BROWN IP 17 PRO MAX</t>
  </si>
  <si>
    <t>MODERN LEATHER BLACK IPHONE 17 PRO</t>
  </si>
  <si>
    <t>MODERN LEATHER BROWN IPHONE 17 PRO</t>
  </si>
  <si>
    <t>W38</t>
  </si>
  <si>
    <t>W40</t>
  </si>
  <si>
    <t>150989-3266</t>
  </si>
  <si>
    <t>BALANCE FOLIO SABLE/BLU IPAD11(A16)</t>
  </si>
  <si>
    <t>127573-916B</t>
  </si>
  <si>
    <t>Marca</t>
  </si>
  <si>
    <t>Nomad</t>
  </si>
  <si>
    <t>Speck</t>
  </si>
  <si>
    <t>Tech21</t>
  </si>
  <si>
    <t>MODERN LEATHER HWN BLK AIRPODS PRO3</t>
  </si>
  <si>
    <t>MODERN LEATHER HWN BRN AIRPODS PRO3</t>
  </si>
  <si>
    <t>NM011291858</t>
  </si>
  <si>
    <t>NM011284858</t>
  </si>
  <si>
    <t>49/46/45/44mm</t>
  </si>
  <si>
    <t>49/45/44mm</t>
  </si>
  <si>
    <t>Tagimals</t>
  </si>
  <si>
    <t>Wallet</t>
  </si>
  <si>
    <t>iPad Pro 13" M4</t>
  </si>
  <si>
    <t>iPad Pro 11" M4</t>
  </si>
  <si>
    <t>iPad Mini 7/6</t>
  </si>
  <si>
    <t>iPad Air 11" 7/6/5/4 Pro 11"4/3/2/1 Gen</t>
  </si>
  <si>
    <t>MacBook Air 15" M4/M3/M2</t>
  </si>
  <si>
    <t>iPad 11/10 Gen</t>
  </si>
  <si>
    <t>Macbook Air 13" M4/M3/M2</t>
  </si>
  <si>
    <t>MacBook Pro 14" M4/M3/M2/M1</t>
  </si>
  <si>
    <t>Pro 2</t>
  </si>
  <si>
    <t>Pro 3</t>
  </si>
  <si>
    <t>AirPods 4</t>
  </si>
  <si>
    <t>iPad Air 13" M3/M2</t>
  </si>
  <si>
    <t>Intraurales</t>
  </si>
  <si>
    <t>Bluetooth</t>
  </si>
  <si>
    <t>iPhone 16e</t>
  </si>
  <si>
    <t>iPad 10.2" 9/8/7 Gen</t>
  </si>
  <si>
    <t>Llavero</t>
  </si>
  <si>
    <t>MacBook Air 13" M1</t>
  </si>
  <si>
    <t>MacBook Pro 13" M2</t>
  </si>
  <si>
    <t>Etiqueta</t>
  </si>
  <si>
    <t>iPhone 12/12 Pro</t>
  </si>
  <si>
    <t>iPhone 7/8/SE2/SE3</t>
  </si>
  <si>
    <t>MacBook Pro 16" M4/M3/M2/M1</t>
  </si>
  <si>
    <t xml:space="preserve">iPhone 14 Pro </t>
  </si>
  <si>
    <t>iPhone 14 Plus</t>
  </si>
  <si>
    <t>iPhone 13 Pro</t>
  </si>
  <si>
    <t>Apple Watch</t>
  </si>
  <si>
    <t>MacBook</t>
  </si>
  <si>
    <t>Iphone 17</t>
  </si>
  <si>
    <t>Audífonos Inalámbricos</t>
  </si>
  <si>
    <t>Bocina Inálambrica</t>
  </si>
  <si>
    <t>iPhone 12</t>
  </si>
  <si>
    <t>iPhone 8</t>
  </si>
  <si>
    <t>iPhone 13</t>
  </si>
  <si>
    <t>Correas</t>
  </si>
  <si>
    <t>Fundas</t>
  </si>
  <si>
    <t>Accesorios</t>
  </si>
  <si>
    <t>Subcategoria</t>
  </si>
  <si>
    <t>Pnavidad</t>
  </si>
  <si>
    <t>P2025</t>
  </si>
  <si>
    <t>Rocky Point Band - 46mm/49mm | Storm | Black Hardware</t>
  </si>
  <si>
    <t>Rocky Point Band - 46mm/49mm | Atlantic | Black Hardware</t>
  </si>
  <si>
    <t>NM014803858</t>
  </si>
  <si>
    <t>NM014827858</t>
  </si>
  <si>
    <t>150986-D143</t>
  </si>
  <si>
    <t>Speck Presidio2 Grip + CL MS iPhone 17 Pro Max Black</t>
  </si>
  <si>
    <t>ACTIVO 2</t>
  </si>
  <si>
    <t>obsoleto</t>
  </si>
  <si>
    <t>Status Alpha</t>
  </si>
  <si>
    <t>Promedio 2026 MES</t>
  </si>
  <si>
    <t>EVOPRO TRANS/BLACK MAGSAFE IP17 PRO</t>
  </si>
  <si>
    <t>EVOPRO TRANS/BLACK MAGSAFE 17PROMAX</t>
  </si>
  <si>
    <t>EVOSHELL CASE - CLEAR FOR MBA 13 M5</t>
  </si>
  <si>
    <t>FLEXFOLIO - CLEAR IPAD 11 (A16)</t>
  </si>
  <si>
    <t>FLEXFOLIO - TINT IPAD 11 (A16)</t>
  </si>
  <si>
    <t>BALANCE FOLIO CERMC GRY IPAD11(A16)</t>
  </si>
  <si>
    <t>T21-11331</t>
  </si>
  <si>
    <t>T21-11342</t>
  </si>
  <si>
    <t>T21-11443</t>
  </si>
  <si>
    <t>T21-11515</t>
  </si>
  <si>
    <t>T21-11516</t>
  </si>
  <si>
    <t>150989-3267</t>
  </si>
  <si>
    <t>OFF</t>
  </si>
  <si>
    <t>49/45/44 mm</t>
  </si>
  <si>
    <t>iPad Pro 11" M3/M4</t>
  </si>
  <si>
    <t>iPad mini 6</t>
  </si>
  <si>
    <t>iPad Pro 11" 2/3</t>
  </si>
  <si>
    <t>iPad Pro 11" 2/3/4/Air 4/5</t>
  </si>
  <si>
    <t>MacBook Air 15" M2/M3</t>
  </si>
  <si>
    <t>MacBook Air 13" M4/M3/M2</t>
  </si>
  <si>
    <t>iPad 10th /11th - 10.9"/11" (2022-2025)</t>
  </si>
  <si>
    <t>Airpods Pro 3</t>
  </si>
  <si>
    <t>Airpods 4</t>
  </si>
  <si>
    <t>iPad Air 13" M2</t>
  </si>
  <si>
    <t>Gemtones</t>
  </si>
  <si>
    <t>Infinity</t>
  </si>
  <si>
    <t>iPhone 16e / 15 / 14 / 13</t>
  </si>
  <si>
    <t>iPad 10.2"</t>
  </si>
  <si>
    <t>iPad Pro 12.9</t>
  </si>
  <si>
    <t>iPhone 16 Pro / iPhone 17</t>
  </si>
  <si>
    <t>iPhone 14 Pro </t>
  </si>
  <si>
    <t>iPhone 13/14</t>
  </si>
  <si>
    <t>iPhone 12/12 Pro </t>
  </si>
  <si>
    <t>iPhone SE 2020 -2022</t>
  </si>
  <si>
    <t>iPhone 14 Plus Cases</t>
  </si>
  <si>
    <t>iPhone 6/6S/7/8/SE 2/SE 3 Cases</t>
  </si>
  <si>
    <t>iPod Touch 6a</t>
  </si>
  <si>
    <t>iPhone 13Pro Max</t>
  </si>
  <si>
    <t>Clase MSKU</t>
  </si>
  <si>
    <t>TTL Ventas</t>
  </si>
  <si>
    <t>150491-5085</t>
  </si>
  <si>
    <t>GEMSHELL CASE - CLEAR IPHONE 17E</t>
  </si>
  <si>
    <t>Promedio
semanal</t>
  </si>
  <si>
    <t>Semaforo</t>
  </si>
  <si>
    <t>$TTL Venta</t>
  </si>
  <si>
    <t>Speck SmartShell for Apple MacBook Neo - Clear</t>
  </si>
  <si>
    <t>151089-1212</t>
  </si>
  <si>
    <t>150991-3263</t>
  </si>
  <si>
    <t>BALANCE FOLIO BLUE PICCARDS IPAD AIR 11 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</si>
</sst>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3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Arial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1"/>
      <name val="Calibr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8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44" fontId="2" fillId="0" borderId="0" applyFont="0" applyFill="0" applyBorder="0" applyAlignment="0" applyProtection="0"/>
    <xf numFmtId="0" fontId="19" fillId="0" borderId="0">
      <alignment vertical="top"/>
    </xf>
    <xf numFmtId="0" fontId="26" fillId="0" borderId="0"/>
    <xf numFmtId="44" fontId="26" fillId="0" borderId="0" applyFont="0" applyFill="0" applyBorder="0" applyAlignment="0" applyProtection="0"/>
    <xf numFmtId="0" fontId="1" fillId="0" borderId="0"/>
    <xf numFmtId="0" fontId="27" fillId="0" borderId="0"/>
    <xf numFmtId="9" fontId="2" fillId="0" borderId="0" applyFont="0" applyFill="0" applyBorder="0" applyAlignment="0" applyProtection="0"/>
  </cellStyleXfs>
  <cellXfs count="67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14" fillId="33" borderId="0" xfId="0" applyFont="1" applyFill="1" applyAlignment="1">
      <alignment horizontal="center"/>
    </xf>
    <xf numFmtId="0" fontId="14" fillId="34" borderId="0" xfId="0" applyFont="1" applyFill="1" applyAlignment="1">
      <alignment horizontal="center"/>
    </xf>
    <xf numFmtId="0" fontId="20" fillId="35" borderId="0" xfId="43" applyFont="1" applyFill="1" applyAlignment="1">
      <alignment horizontal="center" vertical="center" wrapText="1"/>
    </xf>
    <xf numFmtId="44" fontId="20" fillId="35" borderId="0" xfId="42" applyFont="1" applyFill="1" applyAlignment="1">
      <alignment horizontal="center" vertical="center" wrapText="1"/>
    </xf>
    <xf numFmtId="44" fontId="0" fillId="0" borderId="0" xfId="42" applyFont="1"/>
    <xf numFmtId="1" fontId="0" fillId="0" borderId="0" xfId="0" applyNumberFormat="1" applyAlignment="1">
      <alignment horizontal="center"/>
    </xf>
    <xf numFmtId="0" fontId="22" fillId="0" borderId="0" xfId="0" applyFont="1"/>
    <xf numFmtId="0" fontId="23" fillId="0" borderId="0" xfId="0" applyFont="1" applyAlignment="1">
      <alignment horizontal="center"/>
    </xf>
    <xf numFmtId="4" fontId="22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Font="1" applyAlignment="1">
      <alignment horizontal="left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horizontal="center"/>
    </xf>
    <xf numFmtId="4" fontId="25" fillId="0" borderId="0" xfId="0" applyNumberFormat="1" applyFont="1" applyAlignment="1">
      <alignment horizontal="center"/>
    </xf>
    <xf numFmtId="44" fontId="22" fillId="0" borderId="0" xfId="42" applyFont="1" applyAlignment="1">
      <alignment horizontal="center"/>
    </xf>
    <xf numFmtId="0" fontId="19" fillId="0" borderId="0" xfId="0" applyFont="1" applyAlignment="1">
      <alignment horizontal="left"/>
    </xf>
    <xf numFmtId="2" fontId="19" fillId="0" borderId="0" xfId="0" applyNumberFormat="1" applyFont="1" applyAlignment="1">
      <alignment horizontal="center"/>
    </xf>
    <xf numFmtId="1" fontId="14" fillId="33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5" fillId="0" borderId="0" xfId="0" applyNumberFormat="1" applyFont="1" applyAlignment="1">
      <alignment horizontal="center"/>
    </xf>
    <xf numFmtId="1" fontId="19" fillId="0" borderId="0" xfId="0" applyNumberFormat="1" applyFont="1" applyAlignment="1">
      <alignment horizontal="center"/>
    </xf>
    <xf numFmtId="0" fontId="24" fillId="0" borderId="0" xfId="0" applyFont="1" applyAlignment="1">
      <alignment horizontal="left"/>
    </xf>
    <xf numFmtId="14" fontId="22" fillId="0" borderId="0" xfId="0" applyNumberFormat="1" applyFont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2" fontId="24" fillId="0" borderId="0" xfId="0" applyNumberFormat="1" applyFont="1" applyAlignment="1">
      <alignment horizontal="center"/>
    </xf>
    <xf numFmtId="1" fontId="22" fillId="0" borderId="0" xfId="0" applyNumberFormat="1" applyFont="1" applyAlignment="1">
      <alignment horizontal="left"/>
    </xf>
    <xf numFmtId="0" fontId="22" fillId="36" borderId="0" xfId="0" applyFont="1" applyFill="1" applyAlignment="1">
      <alignment horizontal="left"/>
    </xf>
    <xf numFmtId="0" fontId="22" fillId="37" borderId="0" xfId="0" applyFont="1" applyFill="1" applyAlignment="1">
      <alignment horizontal="left"/>
    </xf>
    <xf numFmtId="0" fontId="14" fillId="38" borderId="0" xfId="0" applyFont="1" applyFill="1" applyAlignment="1">
      <alignment horizontal="center"/>
    </xf>
    <xf numFmtId="0" fontId="14" fillId="36" borderId="0" xfId="0" applyFont="1" applyFill="1" applyAlignment="1">
      <alignment horizontal="center"/>
    </xf>
    <xf numFmtId="0" fontId="14" fillId="37" borderId="0" xfId="0" applyFont="1" applyFill="1" applyAlignment="1">
      <alignment horizontal="center"/>
    </xf>
    <xf numFmtId="0" fontId="14" fillId="39" borderId="0" xfId="0" applyFont="1" applyFill="1" applyAlignment="1">
      <alignment horizontal="center"/>
    </xf>
    <xf numFmtId="0" fontId="22" fillId="0" borderId="0" xfId="0" applyFont="1" applyAlignment="1">
      <alignment horizontal="center" vertical="center"/>
    </xf>
    <xf numFmtId="2" fontId="22" fillId="0" borderId="0" xfId="0" applyNumberFormat="1" applyFont="1" applyAlignment="1">
      <alignment horizontal="center"/>
    </xf>
    <xf numFmtId="1" fontId="22" fillId="37" borderId="0" xfId="0" applyNumberFormat="1" applyFont="1" applyFill="1" applyAlignment="1">
      <alignment horizontal="center"/>
    </xf>
    <xf numFmtId="1" fontId="24" fillId="37" borderId="0" xfId="0" applyNumberFormat="1" applyFont="1" applyFill="1" applyAlignment="1">
      <alignment horizontal="center"/>
    </xf>
    <xf numFmtId="1" fontId="22" fillId="40" borderId="0" xfId="0" applyNumberFormat="1" applyFont="1" applyFill="1" applyAlignment="1">
      <alignment horizontal="center"/>
    </xf>
    <xf numFmtId="0" fontId="22" fillId="40" borderId="0" xfId="0" applyFont="1" applyFill="1"/>
    <xf numFmtId="0" fontId="22" fillId="40" borderId="0" xfId="0" applyFont="1" applyFill="1" applyAlignment="1">
      <alignment horizontal="center"/>
    </xf>
    <xf numFmtId="4" fontId="22" fillId="40" borderId="0" xfId="0" applyNumberFormat="1" applyFont="1" applyFill="1" applyAlignment="1">
      <alignment horizontal="center"/>
    </xf>
    <xf numFmtId="0" fontId="22" fillId="40" borderId="0" xfId="0" applyFont="1" applyFill="1" applyAlignment="1">
      <alignment horizontal="left"/>
    </xf>
    <xf numFmtId="14" fontId="22" fillId="40" borderId="0" xfId="0" applyNumberFormat="1" applyFont="1" applyFill="1" applyAlignment="1">
      <alignment horizontal="center" vertical="center"/>
    </xf>
    <xf numFmtId="1" fontId="28" fillId="40" borderId="0" xfId="0" applyNumberFormat="1" applyFont="1" applyFill="1" applyAlignment="1">
      <alignment horizontal="center"/>
    </xf>
    <xf numFmtId="0" fontId="14" fillId="41" borderId="0" xfId="0" applyFont="1" applyFill="1" applyAlignment="1">
      <alignment horizontal="center"/>
    </xf>
    <xf numFmtId="0" fontId="14" fillId="42" borderId="0" xfId="0" applyFont="1" applyFill="1" applyAlignment="1">
      <alignment horizontal="center"/>
    </xf>
    <xf numFmtId="0" fontId="22" fillId="42" borderId="0" xfId="0" applyFont="1" applyFill="1"/>
    <xf numFmtId="0" fontId="25" fillId="37" borderId="0" xfId="0" applyFont="1" applyFill="1" applyAlignment="1">
      <alignment horizontal="center"/>
    </xf>
    <xf numFmtId="0" fontId="14" fillId="36" borderId="0" xfId="0" applyFont="1" applyFill="1" applyAlignment="1">
      <alignment horizontal="center" wrapText="1"/>
    </xf>
    <xf numFmtId="0" fontId="15" fillId="0" borderId="0" xfId="0" applyFont="1" applyAlignment="1">
      <alignment horizontal="center"/>
    </xf>
    <xf numFmtId="1" fontId="15" fillId="0" borderId="0" xfId="0" applyNumberFormat="1" applyFont="1" applyAlignment="1">
      <alignment horizontal="center"/>
    </xf>
    <xf numFmtId="0" fontId="15" fillId="0" borderId="0" xfId="0" applyFont="1"/>
    <xf numFmtId="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left"/>
    </xf>
    <xf numFmtId="14" fontId="15" fillId="0" borderId="0" xfId="0" applyNumberFormat="1" applyFont="1" applyAlignment="1">
      <alignment horizontal="center" vertical="center"/>
    </xf>
    <xf numFmtId="0" fontId="14" fillId="43" borderId="0" xfId="0" applyFont="1" applyFill="1" applyAlignment="1">
      <alignment horizontal="center" wrapText="1"/>
    </xf>
    <xf numFmtId="9" fontId="0" fillId="0" borderId="0" xfId="48" applyFont="1" applyAlignment="1">
      <alignment horizontal="center"/>
    </xf>
    <xf numFmtId="9" fontId="14" fillId="33" borderId="0" xfId="48" applyFont="1" applyFill="1" applyAlignment="1">
      <alignment horizontal="center"/>
    </xf>
    <xf numFmtId="9" fontId="22" fillId="0" borderId="0" xfId="48" applyFont="1" applyAlignment="1">
      <alignment horizontal="center"/>
    </xf>
    <xf numFmtId="44" fontId="0" fillId="0" borderId="0" xfId="42" applyFont="1" applyAlignment="1">
      <alignment horizontal="center"/>
    </xf>
    <xf numFmtId="0" fontId="14" fillId="34" borderId="0" xfId="0" applyFont="1" applyFill="1" applyAlignment="1">
      <alignment horizontal="center" wrapText="1"/>
    </xf>
    <xf numFmtId="1" fontId="24" fillId="0" borderId="0" xfId="0" applyNumberFormat="1" applyFont="1" applyAlignment="1">
      <alignment horizontal="left"/>
    </xf>
    <xf numFmtId="0" fontId="29" fillId="0" borderId="0" xfId="0" applyFont="1" applyAlignment="1">
      <alignment horizontal="left"/>
    </xf>
  </cellXfs>
  <cellStyles count="49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Moneda 2" xfId="45" xr:uid="{05BF6AB3-6989-8E48-8D2C-8D05DD14A74C}"/>
    <cellStyle name="Neutral" xfId="8" builtinId="28" customBuiltin="1"/>
    <cellStyle name="Normal" xfId="0" builtinId="0"/>
    <cellStyle name="Normal 2" xfId="46" xr:uid="{0F0B9156-F6FF-004F-9118-4ECE3D29468E}"/>
    <cellStyle name="Normal 2 2 2" xfId="47" xr:uid="{3596E787-CCE0-A84D-91DE-8E676E8FF83E}"/>
    <cellStyle name="Normal 3" xfId="43" xr:uid="{425C5F54-423F-477F-A9A0-FEE336E552F3}"/>
    <cellStyle name="Normal 4 2" xfId="44" xr:uid="{BC20F259-45BD-BE49-8D34-0F3C71408B73}"/>
    <cellStyle name="Notas" xfId="15" builtinId="10" customBuiltin="1"/>
    <cellStyle name="Porcentaje" xfId="48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Users/mac/Downloads/SI%20by%20Customer%20ACA.xlsx" TargetMode="External"/><Relationship Id="rId2" Type="http://schemas.openxmlformats.org/officeDocument/2006/relationships/externalLinkPath" Target="https://d.docs.live.net/Users/mac/Downloads/SI%20by%20Customer%20ACA.xlsx" TargetMode="External"/><Relationship Id="rId1" Type="http://schemas.openxmlformats.org/officeDocument/2006/relationships/externalLinkPath" Target="/Users/mac/Downloads/SI%20by%20Customer%20AC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laude Log"/>
      <sheetName val="Catálogo por Cliente"/>
      <sheetName val="Dashboard"/>
      <sheetName val="Inventario &amp; MOI"/>
      <sheetName val="Customer YTD"/>
      <sheetName val="Pivot 2026"/>
      <sheetName val="Base"/>
      <sheetName val="Pivot PO"/>
      <sheetName val="Demo"/>
      <sheetName val="Base Clientes"/>
      <sheetName val="Base OH"/>
      <sheetName val="Pivot SI"/>
      <sheetName val="Pivot ST"/>
      <sheetName val="Pivot OH"/>
      <sheetName val="SI vs ST"/>
      <sheetName val="Price List"/>
      <sheetName val="C&amp;G by ITEM"/>
      <sheetName val="Estructura Regional"/>
      <sheetName val="Tienda MacSto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1">
          <cell r="I1">
            <v>309.83</v>
          </cell>
        </row>
        <row r="2">
          <cell r="J2" t="e">
            <v>#DIV/0!</v>
          </cell>
          <cell r="N2">
            <v>0</v>
          </cell>
        </row>
        <row r="3">
          <cell r="A3" t="str">
            <v>Brand</v>
          </cell>
          <cell r="B3" t="str">
            <v>SKU Retail</v>
          </cell>
          <cell r="C3" t="str">
            <v xml:space="preserve">ITEM </v>
          </cell>
          <cell r="D3" t="str">
            <v>UPC</v>
          </cell>
          <cell r="E3" t="str">
            <v>Descripción</v>
          </cell>
          <cell r="F3" t="str">
            <v>Categoría</v>
          </cell>
          <cell r="G3" t="str">
            <v>Sub Categoría</v>
          </cell>
          <cell r="H3" t="str">
            <v>Clase</v>
          </cell>
          <cell r="I3" t="str">
            <v>Costo Retail</v>
          </cell>
          <cell r="J3" t="str">
            <v>Margen</v>
          </cell>
          <cell r="K3" t="str">
            <v>PVP</v>
          </cell>
          <cell r="L3" t="str">
            <v>Retail</v>
          </cell>
          <cell r="M3" t="str">
            <v>Estatus</v>
          </cell>
          <cell r="N3" t="str">
            <v>Script</v>
          </cell>
        </row>
        <row r="4">
          <cell r="A4" t="str">
            <v>Nomad</v>
          </cell>
          <cell r="B4">
            <v>856500018362</v>
          </cell>
          <cell r="C4" t="str">
            <v>NM01836285</v>
          </cell>
          <cell r="D4" t="str">
            <v>856500018362</v>
          </cell>
          <cell r="E4" t="str">
            <v>Nomad Modern Leather Case - Airpods Pro (2nd gen) | Brown | Nomad Leather</v>
          </cell>
          <cell r="F4" t="str">
            <v>Cases Airpods</v>
          </cell>
          <cell r="G4" t="str">
            <v>Airpods</v>
          </cell>
          <cell r="H4" t="str">
            <v>Pro 2</v>
          </cell>
          <cell r="I4">
            <v>258.19</v>
          </cell>
          <cell r="J4">
            <v>0.4999993322203673</v>
          </cell>
          <cell r="K4">
            <v>599</v>
          </cell>
          <cell r="L4" t="str">
            <v>iShop</v>
          </cell>
          <cell r="M4" t="str">
            <v>Discontinued</v>
          </cell>
          <cell r="N4" t="str">
            <v>NM01836285-M</v>
          </cell>
        </row>
        <row r="5">
          <cell r="A5" t="str">
            <v>Nomad</v>
          </cell>
          <cell r="B5">
            <v>856500018065</v>
          </cell>
          <cell r="C5" t="str">
            <v>NM01806585</v>
          </cell>
          <cell r="D5" t="str">
            <v>856500018065</v>
          </cell>
          <cell r="E5" t="str">
            <v>Nomad Modern Leather Case - Airpods Pro (2nd gen) | Black | Nomad Leather</v>
          </cell>
          <cell r="F5" t="str">
            <v>Cases Airpods</v>
          </cell>
          <cell r="G5" t="str">
            <v>Airpods</v>
          </cell>
          <cell r="H5" t="str">
            <v>Pro 2</v>
          </cell>
          <cell r="I5">
            <v>258.19</v>
          </cell>
          <cell r="J5">
            <v>0.4999993322203673</v>
          </cell>
          <cell r="K5">
            <v>599</v>
          </cell>
          <cell r="L5" t="str">
            <v>iShop</v>
          </cell>
          <cell r="M5" t="str">
            <v>Discontinued</v>
          </cell>
          <cell r="N5" t="str">
            <v>NM01806585-M</v>
          </cell>
        </row>
        <row r="6">
          <cell r="A6" t="str">
            <v>Nomad</v>
          </cell>
          <cell r="B6">
            <v>856500016962</v>
          </cell>
          <cell r="C6" t="str">
            <v>NM01696285</v>
          </cell>
          <cell r="D6" t="str">
            <v>856500016962</v>
          </cell>
          <cell r="E6" t="str">
            <v>Nomad Modern Leather Case - iPhone 16 Pro  Brown</v>
          </cell>
          <cell r="F6" t="str">
            <v>Cases iPhone</v>
          </cell>
          <cell r="G6" t="str">
            <v>iPhone 16</v>
          </cell>
          <cell r="H6" t="str">
            <v>iPhone 16 Pro / iPhone 17</v>
          </cell>
          <cell r="I6">
            <v>473.66</v>
          </cell>
          <cell r="J6">
            <v>0.45000440440440437</v>
          </cell>
          <cell r="K6">
            <v>999</v>
          </cell>
          <cell r="L6" t="str">
            <v>iShop</v>
          </cell>
          <cell r="M6" t="str">
            <v>Discontinued</v>
          </cell>
          <cell r="N6" t="str">
            <v>NM01696285-M</v>
          </cell>
        </row>
        <row r="7">
          <cell r="A7" t="str">
            <v>Nomad</v>
          </cell>
          <cell r="B7">
            <v>856500016979</v>
          </cell>
          <cell r="C7" t="str">
            <v>NM01697985</v>
          </cell>
          <cell r="D7" t="str">
            <v>856500016979</v>
          </cell>
          <cell r="E7" t="str">
            <v>Nomad Modern Leather Case - iPhone 16 Pro  Black</v>
          </cell>
          <cell r="F7" t="str">
            <v>Cases iPhone</v>
          </cell>
          <cell r="G7" t="str">
            <v>iPhone 16</v>
          </cell>
          <cell r="H7" t="str">
            <v>iPhone 16 Pro / iPhone 17</v>
          </cell>
          <cell r="I7">
            <v>473.66</v>
          </cell>
          <cell r="J7">
            <v>0.45000440440440437</v>
          </cell>
          <cell r="K7">
            <v>999</v>
          </cell>
          <cell r="L7" t="str">
            <v>iShop</v>
          </cell>
          <cell r="M7" t="str">
            <v>Discontinued</v>
          </cell>
          <cell r="N7" t="str">
            <v>NM01697985-M</v>
          </cell>
        </row>
        <row r="8">
          <cell r="A8" t="str">
            <v>Nomad</v>
          </cell>
          <cell r="B8">
            <v>856500016924</v>
          </cell>
          <cell r="C8" t="str">
            <v>NM01692485</v>
          </cell>
          <cell r="D8" t="str">
            <v>856500016924</v>
          </cell>
          <cell r="E8" t="str">
            <v>Nomad Modern Leather Case - iPhone 16 Pro Max | Brown | Nomad Leather</v>
          </cell>
          <cell r="F8" t="str">
            <v>Cases iPhone</v>
          </cell>
          <cell r="G8" t="str">
            <v>iPhone 16</v>
          </cell>
          <cell r="H8" t="str">
            <v>iPhone 16 Pro Max</v>
          </cell>
          <cell r="I8">
            <v>473.66</v>
          </cell>
          <cell r="J8">
            <v>0.45000440440440437</v>
          </cell>
          <cell r="K8">
            <v>999</v>
          </cell>
          <cell r="L8" t="str">
            <v>iShop</v>
          </cell>
          <cell r="M8" t="str">
            <v>Discontinued</v>
          </cell>
          <cell r="N8" t="str">
            <v>NM01692485-M</v>
          </cell>
        </row>
        <row r="9">
          <cell r="A9" t="str">
            <v>Nomad</v>
          </cell>
          <cell r="B9">
            <v>856500016931</v>
          </cell>
          <cell r="C9" t="str">
            <v>NM01693185</v>
          </cell>
          <cell r="D9" t="str">
            <v>856500016931</v>
          </cell>
          <cell r="E9" t="str">
            <v xml:space="preserve">Nomad Modern Leather Case - iPhone 16 Pro Max  Black </v>
          </cell>
          <cell r="F9" t="str">
            <v>Cases iPhone</v>
          </cell>
          <cell r="G9" t="str">
            <v>iPhone 16</v>
          </cell>
          <cell r="H9" t="str">
            <v>iPhone 16 Pro Max</v>
          </cell>
          <cell r="I9">
            <v>473.66</v>
          </cell>
          <cell r="J9">
            <v>0.45000440440440437</v>
          </cell>
          <cell r="K9">
            <v>999</v>
          </cell>
          <cell r="L9" t="str">
            <v>iShop</v>
          </cell>
          <cell r="M9" t="str">
            <v>Discontinued</v>
          </cell>
          <cell r="N9" t="str">
            <v>NM01693185-M</v>
          </cell>
        </row>
        <row r="10">
          <cell r="A10" t="str">
            <v>Nomad</v>
          </cell>
          <cell r="B10">
            <v>856504014339</v>
          </cell>
          <cell r="C10" t="str">
            <v>NM014339858</v>
          </cell>
          <cell r="D10" t="str">
            <v>856504014339</v>
          </cell>
          <cell r="E10" t="str">
            <v>Nomad Modern Leather Case - iPhone 17 Pro | Black | Nomad Leather</v>
          </cell>
          <cell r="F10" t="str">
            <v>Cases iPhone</v>
          </cell>
          <cell r="G10" t="str">
            <v>iPhone 17</v>
          </cell>
          <cell r="H10" t="str">
            <v>iPhone 17 Pro</v>
          </cell>
          <cell r="I10">
            <v>521.08000000000004</v>
          </cell>
          <cell r="J10">
            <v>0.44999745222929932</v>
          </cell>
          <cell r="K10">
            <v>1099</v>
          </cell>
          <cell r="L10" t="str">
            <v>iShop</v>
          </cell>
          <cell r="M10" t="str">
            <v>Active</v>
          </cell>
          <cell r="N10" t="str">
            <v>NM014339858</v>
          </cell>
        </row>
        <row r="11">
          <cell r="A11" t="str">
            <v>Nomad</v>
          </cell>
          <cell r="B11">
            <v>856504014322</v>
          </cell>
          <cell r="C11" t="str">
            <v>NM014322858</v>
          </cell>
          <cell r="D11" t="str">
            <v>856504014322</v>
          </cell>
          <cell r="E11" t="str">
            <v>Nomad Modern Leather Case - iPhone 17 Pro | Brown | Nomad Leather</v>
          </cell>
          <cell r="F11" t="str">
            <v>Cases iPhone</v>
          </cell>
          <cell r="G11" t="str">
            <v>iPhone 17</v>
          </cell>
          <cell r="H11" t="str">
            <v>iPhone 17 Pro</v>
          </cell>
          <cell r="I11">
            <v>521.08000000000004</v>
          </cell>
          <cell r="J11">
            <v>0.44999745222929932</v>
          </cell>
          <cell r="K11">
            <v>1099</v>
          </cell>
          <cell r="L11" t="str">
            <v>iShop</v>
          </cell>
          <cell r="M11" t="str">
            <v>Active</v>
          </cell>
          <cell r="N11" t="str">
            <v>NM014322858</v>
          </cell>
        </row>
        <row r="12">
          <cell r="A12" t="str">
            <v>Nomad</v>
          </cell>
          <cell r="B12">
            <v>856504014285</v>
          </cell>
          <cell r="C12" t="str">
            <v>NM014285858</v>
          </cell>
          <cell r="D12" t="str">
            <v>856504014285</v>
          </cell>
          <cell r="E12" t="str">
            <v>Nomad Modern Leather Case - iPhone 17 Pro Max | Black | Nomad Leather</v>
          </cell>
          <cell r="F12" t="str">
            <v>Cases iPhone</v>
          </cell>
          <cell r="G12" t="str">
            <v>iPhone 17</v>
          </cell>
          <cell r="H12" t="str">
            <v>iPhone 17 Pro Max</v>
          </cell>
          <cell r="I12">
            <v>521.08000000000004</v>
          </cell>
          <cell r="J12">
            <v>0.44999745222929932</v>
          </cell>
          <cell r="K12">
            <v>1099</v>
          </cell>
          <cell r="L12" t="str">
            <v>iShop</v>
          </cell>
          <cell r="M12" t="str">
            <v>Active</v>
          </cell>
          <cell r="N12" t="str">
            <v>NM014285858</v>
          </cell>
        </row>
        <row r="13">
          <cell r="A13" t="str">
            <v>Nomad</v>
          </cell>
          <cell r="B13">
            <v>856504014278</v>
          </cell>
          <cell r="C13" t="str">
            <v>NM014278858</v>
          </cell>
          <cell r="D13" t="str">
            <v>856504014278</v>
          </cell>
          <cell r="E13" t="str">
            <v>Nomad Modern Leather Case - iPhone 17 Pro Max | Brown | Nomad Leather</v>
          </cell>
          <cell r="F13" t="str">
            <v>Cases iPhone</v>
          </cell>
          <cell r="G13" t="str">
            <v>iPhone 17</v>
          </cell>
          <cell r="H13" t="str">
            <v>iPhone 17 Pro Max</v>
          </cell>
          <cell r="I13">
            <v>521.08000000000004</v>
          </cell>
          <cell r="J13">
            <v>0.44999745222929932</v>
          </cell>
          <cell r="K13">
            <v>1099</v>
          </cell>
          <cell r="L13" t="str">
            <v>iShop</v>
          </cell>
          <cell r="M13" t="str">
            <v>Active</v>
          </cell>
          <cell r="N13" t="str">
            <v>NM014278858</v>
          </cell>
        </row>
        <row r="14">
          <cell r="A14" t="str">
            <v>Nomad</v>
          </cell>
          <cell r="B14">
            <v>856500013589</v>
          </cell>
          <cell r="C14" t="str">
            <v>NM013589858</v>
          </cell>
          <cell r="D14" t="str">
            <v>856500013589</v>
          </cell>
          <cell r="E14" t="str">
            <v>Nomad Rocky Point Band - 45mm | Atlantic</v>
          </cell>
          <cell r="F14" t="str">
            <v>Straps</v>
          </cell>
          <cell r="G14" t="str">
            <v>Apple Watch</v>
          </cell>
          <cell r="H14" t="str">
            <v>49/45/44 mm</v>
          </cell>
          <cell r="I14">
            <v>775.43</v>
          </cell>
          <cell r="J14">
            <v>0.5</v>
          </cell>
          <cell r="K14">
            <v>1799</v>
          </cell>
          <cell r="L14" t="str">
            <v>iShop</v>
          </cell>
          <cell r="M14" t="str">
            <v>Discontinued</v>
          </cell>
          <cell r="N14" t="str">
            <v>NM013589858</v>
          </cell>
        </row>
        <row r="15">
          <cell r="A15" t="str">
            <v>Nomad</v>
          </cell>
          <cell r="B15">
            <v>856500013596</v>
          </cell>
          <cell r="C15" t="str">
            <v>NM013596858</v>
          </cell>
          <cell r="D15" t="str">
            <v>856500013596</v>
          </cell>
          <cell r="E15" t="str">
            <v>Nomad Rocky Point Band - 45mm | Storm</v>
          </cell>
          <cell r="F15" t="str">
            <v>Straps</v>
          </cell>
          <cell r="G15" t="str">
            <v>Apple Watch</v>
          </cell>
          <cell r="H15" t="str">
            <v>49/45/44 mm</v>
          </cell>
          <cell r="I15">
            <v>775.43</v>
          </cell>
          <cell r="J15">
            <v>0.5</v>
          </cell>
          <cell r="K15">
            <v>1799</v>
          </cell>
          <cell r="L15" t="str">
            <v>iShop</v>
          </cell>
          <cell r="M15" t="str">
            <v>Discontinued</v>
          </cell>
          <cell r="N15" t="str">
            <v>NM013596858</v>
          </cell>
        </row>
        <row r="16">
          <cell r="A16" t="str">
            <v>Nomad</v>
          </cell>
          <cell r="B16">
            <v>856500013602</v>
          </cell>
          <cell r="C16" t="str">
            <v>NM013602858</v>
          </cell>
          <cell r="D16" t="str">
            <v>856500013602</v>
          </cell>
          <cell r="E16" t="str">
            <v>Nomad Rocky Point Band - 45mm | Sol</v>
          </cell>
          <cell r="F16" t="str">
            <v>Straps</v>
          </cell>
          <cell r="G16" t="str">
            <v>Apple Watch</v>
          </cell>
          <cell r="H16" t="str">
            <v>49/45/44 mm</v>
          </cell>
          <cell r="I16">
            <v>775.43</v>
          </cell>
          <cell r="J16">
            <v>0.5</v>
          </cell>
          <cell r="K16">
            <v>1799</v>
          </cell>
          <cell r="L16" t="str">
            <v>iShop</v>
          </cell>
          <cell r="M16" t="str">
            <v>Discontinued</v>
          </cell>
          <cell r="N16" t="str">
            <v>NM013602858</v>
          </cell>
        </row>
        <row r="17">
          <cell r="A17" t="str">
            <v>Nomad</v>
          </cell>
          <cell r="B17">
            <v>856500018522</v>
          </cell>
          <cell r="C17" t="str">
            <v>NM1Am10000</v>
          </cell>
          <cell r="D17" t="str">
            <v>856500018522</v>
          </cell>
          <cell r="E17" t="str">
            <v>Nomad Sport Strap - 45/44mm/42mm | M/L | Black | FKM | V2</v>
          </cell>
          <cell r="F17" t="str">
            <v>Straps</v>
          </cell>
          <cell r="G17" t="str">
            <v>Apple Watch</v>
          </cell>
          <cell r="H17" t="str">
            <v>49/45/44/42 mm</v>
          </cell>
          <cell r="I17">
            <v>473.71</v>
          </cell>
          <cell r="J17">
            <v>0.49999672429481357</v>
          </cell>
          <cell r="K17">
            <v>1099</v>
          </cell>
          <cell r="L17" t="str">
            <v>iShop</v>
          </cell>
          <cell r="M17" t="str">
            <v>Active</v>
          </cell>
          <cell r="N17" t="str">
            <v>NM1Am10000-M</v>
          </cell>
        </row>
        <row r="18">
          <cell r="A18" t="str">
            <v>Nomad</v>
          </cell>
          <cell r="B18">
            <v>855848007366</v>
          </cell>
          <cell r="C18" t="str">
            <v>NM00736685</v>
          </cell>
          <cell r="D18" t="str">
            <v>855848007366</v>
          </cell>
          <cell r="E18" t="str">
            <v>Nomad Sport Band - 45mm | Ultra Orange</v>
          </cell>
          <cell r="F18" t="str">
            <v>Straps</v>
          </cell>
          <cell r="G18" t="str">
            <v>Apple Watch</v>
          </cell>
          <cell r="H18" t="str">
            <v>49/45/44/42 mm</v>
          </cell>
          <cell r="I18">
            <v>473.71</v>
          </cell>
          <cell r="J18">
            <v>0.49999672429481357</v>
          </cell>
          <cell r="K18">
            <v>1099</v>
          </cell>
          <cell r="L18" t="str">
            <v>iShop</v>
          </cell>
          <cell r="M18" t="str">
            <v>Active</v>
          </cell>
          <cell r="N18" t="str">
            <v>NM00736685-M</v>
          </cell>
        </row>
        <row r="19">
          <cell r="A19" t="str">
            <v>Nomad</v>
          </cell>
          <cell r="B19">
            <v>856504014919</v>
          </cell>
          <cell r="C19" t="str">
            <v>NM014919858</v>
          </cell>
          <cell r="D19" t="str">
            <v>856504014919</v>
          </cell>
          <cell r="E19" t="str">
            <v>Nomad Sport Band - 49/45/44mm/42mm | M/L | Naval</v>
          </cell>
          <cell r="F19" t="str">
            <v>Straps</v>
          </cell>
          <cell r="G19" t="str">
            <v>Apple Watch</v>
          </cell>
          <cell r="H19" t="str">
            <v>49/45/44/42 mm</v>
          </cell>
          <cell r="I19">
            <v>473.71</v>
          </cell>
          <cell r="J19">
            <v>0.49999672429481357</v>
          </cell>
          <cell r="K19">
            <v>1099</v>
          </cell>
          <cell r="L19" t="str">
            <v>iShop</v>
          </cell>
          <cell r="M19" t="str">
            <v>Active</v>
          </cell>
          <cell r="N19" t="str">
            <v>NM014919858</v>
          </cell>
        </row>
        <row r="20">
          <cell r="A20" t="str">
            <v>Nomad</v>
          </cell>
          <cell r="B20">
            <v>856500011110</v>
          </cell>
          <cell r="C20" t="str">
            <v>NM01111085</v>
          </cell>
          <cell r="D20" t="str">
            <v>856500011110</v>
          </cell>
          <cell r="E20" t="str">
            <v>Nomad Sport Band - 49/45/44/42mm White FKM V2</v>
          </cell>
          <cell r="F20" t="str">
            <v>Straps</v>
          </cell>
          <cell r="G20" t="str">
            <v>Apple Watch</v>
          </cell>
          <cell r="H20" t="str">
            <v>49/45/44/42 mm</v>
          </cell>
          <cell r="I20">
            <v>473.71</v>
          </cell>
          <cell r="J20">
            <v>0.49999672429481357</v>
          </cell>
          <cell r="K20">
            <v>1099</v>
          </cell>
          <cell r="L20" t="str">
            <v>iShop</v>
          </cell>
          <cell r="M20" t="str">
            <v>Discontinued</v>
          </cell>
          <cell r="N20" t="str">
            <v>NM01111085-M</v>
          </cell>
        </row>
        <row r="21">
          <cell r="A21" t="str">
            <v>Nomad</v>
          </cell>
          <cell r="B21">
            <v>856500011332</v>
          </cell>
          <cell r="C21" t="str">
            <v>NM01133285</v>
          </cell>
          <cell r="D21" t="str">
            <v>856500011332</v>
          </cell>
          <cell r="E21" t="str">
            <v>Nomad Sport Band - 45/44mm/42mm | M/L | Marine Blue | FKM | V2</v>
          </cell>
          <cell r="F21" t="str">
            <v>Straps</v>
          </cell>
          <cell r="G21" t="str">
            <v>Apple Watch</v>
          </cell>
          <cell r="H21" t="str">
            <v>49/45/44/42 mm</v>
          </cell>
          <cell r="I21">
            <v>473.71</v>
          </cell>
          <cell r="J21">
            <v>0.49999672429481357</v>
          </cell>
          <cell r="K21">
            <v>1099</v>
          </cell>
          <cell r="L21" t="str">
            <v>iShop</v>
          </cell>
          <cell r="M21" t="str">
            <v>Discontinued</v>
          </cell>
          <cell r="N21" t="str">
            <v>NM01133285-M</v>
          </cell>
        </row>
        <row r="22">
          <cell r="A22" t="str">
            <v>Speck</v>
          </cell>
          <cell r="B22">
            <v>840168532148</v>
          </cell>
          <cell r="C22" t="str">
            <v>150423-1041</v>
          </cell>
          <cell r="D22" t="str">
            <v>840168532148</v>
          </cell>
          <cell r="E22" t="str">
            <v>Speck Wallet for MagSafe® Black iPhone 15 Wallet</v>
          </cell>
          <cell r="F22" t="str">
            <v>Accesories</v>
          </cell>
          <cell r="G22" t="str">
            <v>Click Lock</v>
          </cell>
          <cell r="H22" t="str">
            <v>Wallet</v>
          </cell>
          <cell r="I22">
            <v>232.37</v>
          </cell>
          <cell r="J22">
            <v>0.55000133555926545</v>
          </cell>
          <cell r="K22">
            <v>599</v>
          </cell>
          <cell r="L22" t="str">
            <v>iShop</v>
          </cell>
          <cell r="M22" t="str">
            <v>Active</v>
          </cell>
          <cell r="N22" t="str">
            <v>150423-1041-M</v>
          </cell>
        </row>
        <row r="23">
          <cell r="A23" t="str">
            <v>Speck</v>
          </cell>
          <cell r="B23">
            <v>840168536641</v>
          </cell>
          <cell r="C23" t="str">
            <v>150533-3229</v>
          </cell>
          <cell r="D23" t="str">
            <v>840168536641</v>
          </cell>
          <cell r="E23" t="str">
            <v>Speck Gemtones Play True Wireless Earbuds - Bob Blue</v>
          </cell>
          <cell r="F23" t="str">
            <v>Audio</v>
          </cell>
          <cell r="G23" t="str">
            <v>Headphones Wireless</v>
          </cell>
          <cell r="H23" t="str">
            <v>Gemtones</v>
          </cell>
          <cell r="I23">
            <v>516.72</v>
          </cell>
          <cell r="J23">
            <v>0.40000480480480471</v>
          </cell>
          <cell r="K23">
            <v>999</v>
          </cell>
          <cell r="L23" t="str">
            <v>iShop</v>
          </cell>
          <cell r="M23" t="str">
            <v>Discontinued</v>
          </cell>
          <cell r="N23" t="str">
            <v>150533-3229-M</v>
          </cell>
        </row>
        <row r="24">
          <cell r="A24" t="str">
            <v>Speck</v>
          </cell>
          <cell r="B24">
            <v>840168536610</v>
          </cell>
          <cell r="C24" t="str">
            <v>150533-3226</v>
          </cell>
          <cell r="D24" t="str">
            <v>840168536610</v>
          </cell>
          <cell r="E24" t="str">
            <v>Speck Gemtones Play True Wireless Earbuds - Pop Purple</v>
          </cell>
          <cell r="F24" t="str">
            <v>Audio</v>
          </cell>
          <cell r="G24" t="str">
            <v>Headphones Wireless</v>
          </cell>
          <cell r="H24" t="str">
            <v>Gemtones</v>
          </cell>
          <cell r="I24">
            <v>516.72</v>
          </cell>
          <cell r="J24">
            <v>0.40000480480480471</v>
          </cell>
          <cell r="K24">
            <v>999</v>
          </cell>
          <cell r="L24" t="str">
            <v>iShop</v>
          </cell>
          <cell r="M24" t="str">
            <v>Discontinued</v>
          </cell>
          <cell r="N24" t="str">
            <v>150533-3226-M</v>
          </cell>
        </row>
        <row r="25">
          <cell r="A25" t="str">
            <v>Speck</v>
          </cell>
          <cell r="B25">
            <v>840168536795</v>
          </cell>
          <cell r="C25" t="str">
            <v>150533-3225</v>
          </cell>
          <cell r="D25" t="str">
            <v>840168536795</v>
          </cell>
          <cell r="E25" t="str">
            <v>Speck Gemtones Play True Wireless Earbuds - Black</v>
          </cell>
          <cell r="F25" t="str">
            <v>Audio</v>
          </cell>
          <cell r="G25" t="str">
            <v>Headphones Wireless</v>
          </cell>
          <cell r="H25" t="str">
            <v>Gemtones</v>
          </cell>
          <cell r="I25">
            <v>516.72</v>
          </cell>
          <cell r="J25">
            <v>0.40000480480480471</v>
          </cell>
          <cell r="K25">
            <v>999</v>
          </cell>
          <cell r="L25" t="str">
            <v>iShop</v>
          </cell>
          <cell r="M25" t="str">
            <v>Discontinued</v>
          </cell>
          <cell r="N25" t="str">
            <v>150533-3225-M</v>
          </cell>
        </row>
        <row r="26">
          <cell r="A26" t="str">
            <v>Speck</v>
          </cell>
          <cell r="B26">
            <v>840168539819</v>
          </cell>
          <cell r="C26" t="str">
            <v>150661-3225</v>
          </cell>
          <cell r="D26" t="str">
            <v>840168539819</v>
          </cell>
          <cell r="E26" t="str">
            <v>Speck Speaker Gemtones Infinity Speaker Max -DARK GREY/CHROME/TAN</v>
          </cell>
          <cell r="F26" t="str">
            <v>Audio</v>
          </cell>
          <cell r="G26" t="str">
            <v>Speakers</v>
          </cell>
          <cell r="H26" t="str">
            <v>Infinity</v>
          </cell>
          <cell r="I26">
            <v>1680.47</v>
          </cell>
          <cell r="J26">
            <v>0.35000160053351115</v>
          </cell>
          <cell r="K26">
            <v>2999</v>
          </cell>
          <cell r="L26" t="str">
            <v>iShop</v>
          </cell>
          <cell r="M26" t="str">
            <v>Discontinued</v>
          </cell>
          <cell r="N26" t="str">
            <v>150661-3225</v>
          </cell>
        </row>
        <row r="27">
          <cell r="A27" t="str">
            <v>Speck</v>
          </cell>
          <cell r="B27">
            <v>2021942878173</v>
          </cell>
          <cell r="C27" t="str">
            <v>150661-3225</v>
          </cell>
          <cell r="D27" t="str">
            <v>2021942878173</v>
          </cell>
          <cell r="E27" t="str">
            <v>Speck Speaker Gemtones Infinity Speaker Max -DARK GREY/CHROME/TAN</v>
          </cell>
          <cell r="F27" t="str">
            <v>Audio</v>
          </cell>
          <cell r="G27" t="str">
            <v>Speakers</v>
          </cell>
          <cell r="H27" t="str">
            <v>Infinity</v>
          </cell>
          <cell r="I27">
            <v>0.01</v>
          </cell>
          <cell r="J27">
            <v>0</v>
          </cell>
          <cell r="L27" t="str">
            <v>iShop</v>
          </cell>
          <cell r="M27" t="str">
            <v>Demo</v>
          </cell>
          <cell r="N27" t="str">
            <v>150661-3225</v>
          </cell>
        </row>
        <row r="28">
          <cell r="A28" t="str">
            <v>Speck</v>
          </cell>
          <cell r="B28">
            <v>840168539796</v>
          </cell>
          <cell r="C28" t="str">
            <v>150659-3225</v>
          </cell>
          <cell r="D28" t="str">
            <v>840168539796</v>
          </cell>
          <cell r="E28" t="str">
            <v>Speck Speaker Gemtones Infinity Speaker Mini -DARK GREY/CHROME/TAN</v>
          </cell>
          <cell r="F28" t="str">
            <v>Audio</v>
          </cell>
          <cell r="G28" t="str">
            <v>Speakers</v>
          </cell>
          <cell r="H28" t="str">
            <v>Infinity</v>
          </cell>
          <cell r="I28">
            <v>1008.06</v>
          </cell>
          <cell r="J28">
            <v>0.35000022234574779</v>
          </cell>
          <cell r="K28">
            <v>1799</v>
          </cell>
          <cell r="L28" t="str">
            <v>iShop</v>
          </cell>
          <cell r="M28" t="str">
            <v>Discontinued</v>
          </cell>
          <cell r="N28" t="str">
            <v>150659-3225</v>
          </cell>
        </row>
        <row r="29">
          <cell r="A29" t="str">
            <v>Speck</v>
          </cell>
          <cell r="B29">
            <v>2021942878104</v>
          </cell>
          <cell r="C29" t="str">
            <v>150659-3225</v>
          </cell>
          <cell r="D29" t="str">
            <v>2021942878104</v>
          </cell>
          <cell r="E29" t="str">
            <v>Speck Speaker Gemtones Infinity Speaker Mini -DARK GREY/CHROME/TAN</v>
          </cell>
          <cell r="F29" t="str">
            <v>Audio</v>
          </cell>
          <cell r="G29" t="str">
            <v>Speakers</v>
          </cell>
          <cell r="H29" t="str">
            <v>Infinity</v>
          </cell>
          <cell r="I29">
            <v>0.01</v>
          </cell>
          <cell r="J29">
            <v>0</v>
          </cell>
          <cell r="L29" t="str">
            <v>iShop</v>
          </cell>
          <cell r="M29" t="str">
            <v>Demo</v>
          </cell>
          <cell r="N29" t="str">
            <v>150659-3225</v>
          </cell>
        </row>
        <row r="30">
          <cell r="A30" t="str">
            <v>Speck</v>
          </cell>
          <cell r="B30" t="str">
            <v>150661-3225DEMO</v>
          </cell>
          <cell r="C30" t="str">
            <v>150661-3225</v>
          </cell>
          <cell r="D30" t="str">
            <v>840168539819</v>
          </cell>
          <cell r="E30" t="str">
            <v>Speck Speaker Gemtones Infinity Speaker Max -DARK GREY/CHROME/TAN</v>
          </cell>
          <cell r="F30" t="str">
            <v>Audio</v>
          </cell>
          <cell r="G30" t="str">
            <v>Speakers</v>
          </cell>
          <cell r="H30" t="str">
            <v>Infinity</v>
          </cell>
          <cell r="I30">
            <v>0.01</v>
          </cell>
          <cell r="J30">
            <v>0.99999613204401472</v>
          </cell>
          <cell r="K30">
            <v>2999</v>
          </cell>
          <cell r="L30" t="str">
            <v>iShop</v>
          </cell>
          <cell r="M30" t="str">
            <v>Discontinued</v>
          </cell>
          <cell r="N30" t="str">
            <v>150661-3225</v>
          </cell>
        </row>
        <row r="31">
          <cell r="A31" t="str">
            <v>Speck</v>
          </cell>
          <cell r="B31" t="str">
            <v>150659-3225DEMO</v>
          </cell>
          <cell r="C31" t="str">
            <v>150659-3225</v>
          </cell>
          <cell r="D31" t="str">
            <v>840168539796</v>
          </cell>
          <cell r="E31" t="str">
            <v>Speck Speaker Gemtones Infinity Speaker Mini -DARK GREY/CHROME/TAN</v>
          </cell>
          <cell r="F31" t="str">
            <v>Audio</v>
          </cell>
          <cell r="G31" t="str">
            <v>Speakers</v>
          </cell>
          <cell r="H31" t="str">
            <v>Infinity</v>
          </cell>
          <cell r="I31">
            <v>0.01</v>
          </cell>
          <cell r="J31">
            <v>0.99999355197331852</v>
          </cell>
          <cell r="K31">
            <v>1799</v>
          </cell>
          <cell r="L31" t="str">
            <v>iShop</v>
          </cell>
          <cell r="M31" t="str">
            <v>Discontinued</v>
          </cell>
          <cell r="N31" t="str">
            <v>150659-3225</v>
          </cell>
        </row>
        <row r="32">
          <cell r="A32" t="str">
            <v>Speck</v>
          </cell>
          <cell r="B32">
            <v>840168538683</v>
          </cell>
          <cell r="C32" t="str">
            <v>150585-1568</v>
          </cell>
          <cell r="D32" t="str">
            <v>840168538683</v>
          </cell>
          <cell r="E32" t="str">
            <v>Speck Tagimals 4-Pack - Mulicolor</v>
          </cell>
          <cell r="F32" t="str">
            <v>Cases AirTag</v>
          </cell>
          <cell r="G32" t="str">
            <v>AirTag</v>
          </cell>
          <cell r="H32" t="str">
            <v>AirTag</v>
          </cell>
          <cell r="I32">
            <v>232.37</v>
          </cell>
          <cell r="J32">
            <v>0.55000133555926545</v>
          </cell>
          <cell r="K32">
            <v>599</v>
          </cell>
          <cell r="L32" t="str">
            <v>iShop</v>
          </cell>
          <cell r="M32" t="str">
            <v>Active</v>
          </cell>
          <cell r="N32" t="str">
            <v>150585-1568-M</v>
          </cell>
        </row>
        <row r="33">
          <cell r="A33" t="str">
            <v>Speck</v>
          </cell>
          <cell r="B33">
            <v>840168508501</v>
          </cell>
          <cell r="C33" t="str">
            <v>142888-1050</v>
          </cell>
          <cell r="D33" t="str">
            <v>840168508501</v>
          </cell>
          <cell r="E33" t="str">
            <v>Speck Sililoop Airtag - Black</v>
          </cell>
          <cell r="F33" t="str">
            <v>Cases AirTag</v>
          </cell>
          <cell r="G33" t="str">
            <v>AirTag</v>
          </cell>
          <cell r="H33" t="str">
            <v>AirTag</v>
          </cell>
          <cell r="I33">
            <v>174.96</v>
          </cell>
          <cell r="J33">
            <v>0.44999024390243902</v>
          </cell>
          <cell r="K33">
            <v>369</v>
          </cell>
          <cell r="L33" t="str">
            <v>iShop</v>
          </cell>
          <cell r="M33" t="str">
            <v>Discontinued</v>
          </cell>
          <cell r="N33" t="str">
            <v>142888-1050-M</v>
          </cell>
        </row>
        <row r="34">
          <cell r="A34" t="str">
            <v>Speck</v>
          </cell>
          <cell r="B34">
            <v>840168509515</v>
          </cell>
          <cell r="C34" t="str">
            <v>142888-7807</v>
          </cell>
          <cell r="D34" t="str">
            <v>840168509515</v>
          </cell>
          <cell r="E34" t="str">
            <v>Speck Sililoop Airtag - Coastal Blue</v>
          </cell>
          <cell r="F34" t="str">
            <v>Cases AirTag</v>
          </cell>
          <cell r="G34" t="str">
            <v>AirTag</v>
          </cell>
          <cell r="H34" t="str">
            <v>AirTag</v>
          </cell>
          <cell r="I34">
            <v>143.15</v>
          </cell>
          <cell r="J34">
            <v>0.54998915989159891</v>
          </cell>
          <cell r="K34">
            <v>369</v>
          </cell>
          <cell r="L34" t="str">
            <v>iShop</v>
          </cell>
          <cell r="M34" t="str">
            <v>Discontinued</v>
          </cell>
          <cell r="N34" t="str">
            <v>142888-7807-M</v>
          </cell>
        </row>
        <row r="35">
          <cell r="A35" t="str">
            <v>Speck</v>
          </cell>
          <cell r="B35">
            <v>840168509591</v>
          </cell>
          <cell r="C35" t="str">
            <v>142889-9696</v>
          </cell>
          <cell r="D35" t="str">
            <v>840168509591</v>
          </cell>
          <cell r="E35" t="str">
            <v>Speck Carabiner Airtag - Bright Silver/White</v>
          </cell>
          <cell r="F35" t="str">
            <v>Cases AirTag</v>
          </cell>
          <cell r="G35" t="str">
            <v>AirTag</v>
          </cell>
          <cell r="H35" t="str">
            <v>AirTag</v>
          </cell>
          <cell r="I35">
            <v>348.75</v>
          </cell>
          <cell r="J35">
            <v>0.55000000000000004</v>
          </cell>
          <cell r="K35">
            <v>899</v>
          </cell>
          <cell r="L35" t="str">
            <v>iShop</v>
          </cell>
          <cell r="M35" t="str">
            <v>Discontinued</v>
          </cell>
          <cell r="N35" t="str">
            <v>142889-9696-M</v>
          </cell>
        </row>
        <row r="36">
          <cell r="A36" t="str">
            <v>Speck</v>
          </cell>
          <cell r="B36">
            <v>840168509607</v>
          </cell>
          <cell r="C36" t="str">
            <v>142890-D143</v>
          </cell>
          <cell r="D36" t="str">
            <v>840168509607</v>
          </cell>
          <cell r="E36" t="str">
            <v>Speck LuggageTag Pro Airtag - Black/White</v>
          </cell>
          <cell r="F36" t="str">
            <v>Cases AirTag</v>
          </cell>
          <cell r="G36" t="str">
            <v>AirTag</v>
          </cell>
          <cell r="H36" t="str">
            <v>AirTag</v>
          </cell>
          <cell r="I36">
            <v>271.16000000000003</v>
          </cell>
          <cell r="J36">
            <v>0.55000629470672391</v>
          </cell>
          <cell r="K36">
            <v>699</v>
          </cell>
          <cell r="L36" t="str">
            <v>iShop</v>
          </cell>
          <cell r="M36" t="str">
            <v>Discontinued</v>
          </cell>
          <cell r="N36" t="str">
            <v>142890-D143-M</v>
          </cell>
        </row>
        <row r="37">
          <cell r="A37" t="str">
            <v>Speck</v>
          </cell>
          <cell r="B37">
            <v>840168510238</v>
          </cell>
          <cell r="C37" t="str">
            <v>143093-1568</v>
          </cell>
          <cell r="D37" t="str">
            <v>840168510238</v>
          </cell>
          <cell r="E37" t="str">
            <v>Speck Sililoop Airtag 4 pack - Color Mixed Neon/Blue/Fuscia/Pink</v>
          </cell>
          <cell r="F37" t="str">
            <v>Cases AirTag</v>
          </cell>
          <cell r="G37" t="str">
            <v>AirTag</v>
          </cell>
          <cell r="H37" t="str">
            <v>AirTag</v>
          </cell>
          <cell r="I37">
            <v>348.75</v>
          </cell>
          <cell r="J37">
            <v>0.55000000000000004</v>
          </cell>
          <cell r="K37">
            <v>899</v>
          </cell>
          <cell r="L37" t="str">
            <v>iShop</v>
          </cell>
          <cell r="M37" t="str">
            <v>Discontinued</v>
          </cell>
          <cell r="N37" t="str">
            <v>143093-1568-M</v>
          </cell>
        </row>
        <row r="38">
          <cell r="A38" t="str">
            <v>Speck</v>
          </cell>
          <cell r="B38">
            <v>840168511907</v>
          </cell>
          <cell r="C38" t="str">
            <v>142891-9748</v>
          </cell>
          <cell r="D38" t="str">
            <v>840168511907</v>
          </cell>
          <cell r="E38" t="str">
            <v>Speck Siliring Airtag - Unreal Red/White</v>
          </cell>
          <cell r="F38" t="str">
            <v>Cases AirTag</v>
          </cell>
          <cell r="G38" t="str">
            <v>AirTag</v>
          </cell>
          <cell r="H38" t="str">
            <v>AirTag</v>
          </cell>
          <cell r="I38">
            <v>143.15</v>
          </cell>
          <cell r="J38">
            <v>0.54998915989159891</v>
          </cell>
          <cell r="K38">
            <v>369</v>
          </cell>
          <cell r="L38" t="str">
            <v>iShop</v>
          </cell>
          <cell r="M38" t="str">
            <v>Discontinued</v>
          </cell>
          <cell r="N38" t="str">
            <v>142891-9748-M</v>
          </cell>
        </row>
        <row r="39">
          <cell r="A39" t="str">
            <v>Speck</v>
          </cell>
          <cell r="B39">
            <v>848709080639</v>
          </cell>
          <cell r="C39" t="str">
            <v>133535-7265</v>
          </cell>
          <cell r="D39" t="str">
            <v>848709080639</v>
          </cell>
          <cell r="E39" t="str">
            <v>Speck Balance Folio Case for iPad 10.2" 7/8/9 Gen - Plumberry Purple/Crushed Purpl</v>
          </cell>
          <cell r="F39" t="str">
            <v>Cases iPad</v>
          </cell>
          <cell r="G39" t="str">
            <v>iPad</v>
          </cell>
          <cell r="H39" t="str">
            <v>iPad 10.2"</v>
          </cell>
          <cell r="I39">
            <v>430.6</v>
          </cell>
          <cell r="J39">
            <v>0.50000400400400402</v>
          </cell>
          <cell r="K39">
            <v>999</v>
          </cell>
          <cell r="L39" t="str">
            <v>iShop</v>
          </cell>
          <cell r="M39" t="str">
            <v>Discontinued</v>
          </cell>
          <cell r="N39" t="str">
            <v>133535-7265-M</v>
          </cell>
        </row>
        <row r="40">
          <cell r="A40" t="str">
            <v>Speck</v>
          </cell>
          <cell r="B40">
            <v>848709080707</v>
          </cell>
          <cell r="C40" t="str">
            <v>133537-8922</v>
          </cell>
          <cell r="D40" t="str">
            <v>848709080707</v>
          </cell>
          <cell r="E40" t="str">
            <v>Speck Balance Folio Clear Case for iPad 10.2" 7/8/9 Gen - Clear/Gunmetal Grey Meta</v>
          </cell>
          <cell r="F40" t="str">
            <v>Cases iPad</v>
          </cell>
          <cell r="G40" t="str">
            <v>iPad</v>
          </cell>
          <cell r="H40" t="str">
            <v>iPad 10.2"</v>
          </cell>
          <cell r="I40">
            <v>430.6</v>
          </cell>
          <cell r="J40">
            <v>0.50000400400400402</v>
          </cell>
          <cell r="K40">
            <v>999</v>
          </cell>
          <cell r="L40" t="str">
            <v>iShop</v>
          </cell>
          <cell r="M40" t="str">
            <v>Discontinued</v>
          </cell>
          <cell r="N40" t="str">
            <v>133537-8922-M</v>
          </cell>
        </row>
        <row r="41">
          <cell r="A41" t="str">
            <v>Speck</v>
          </cell>
          <cell r="B41">
            <v>848709080691</v>
          </cell>
          <cell r="C41" t="str">
            <v>133537-8640</v>
          </cell>
          <cell r="D41" t="str">
            <v>848709080691</v>
          </cell>
          <cell r="E41" t="str">
            <v>Speck Balance Folio Clear Case for iPad 10.2" 7/8/9 Gen - Rose Gold Woven Metallic</v>
          </cell>
          <cell r="F41" t="str">
            <v>Cases iPad</v>
          </cell>
          <cell r="G41" t="str">
            <v>iPad</v>
          </cell>
          <cell r="H41" t="str">
            <v>iPad 10.2"</v>
          </cell>
          <cell r="I41">
            <v>430.6</v>
          </cell>
          <cell r="J41">
            <v>0.50000400400400402</v>
          </cell>
          <cell r="K41">
            <v>999</v>
          </cell>
          <cell r="L41" t="str">
            <v>iShop</v>
          </cell>
          <cell r="M41" t="str">
            <v>Discontinued</v>
          </cell>
          <cell r="N41" t="str">
            <v>133537-8640-M</v>
          </cell>
        </row>
        <row r="42">
          <cell r="A42" t="str">
            <v>Speck</v>
          </cell>
          <cell r="B42">
            <v>848709098153</v>
          </cell>
          <cell r="C42" t="str">
            <v>133537-8640</v>
          </cell>
          <cell r="D42" t="str">
            <v>848709098153</v>
          </cell>
          <cell r="E42" t="str">
            <v>Speck Balance Folio Clear Case for iPad 10.2" 7/8/9 Gen - Rose Gold Woven Metallic</v>
          </cell>
          <cell r="F42" t="str">
            <v>Cases iPad</v>
          </cell>
          <cell r="G42" t="str">
            <v>iPad</v>
          </cell>
          <cell r="H42" t="str">
            <v>iPad 10.2"</v>
          </cell>
          <cell r="I42">
            <v>430.6</v>
          </cell>
          <cell r="J42">
            <v>0.50000400400400402</v>
          </cell>
          <cell r="K42">
            <v>999</v>
          </cell>
          <cell r="L42" t="str">
            <v>iShop</v>
          </cell>
          <cell r="M42" t="str">
            <v>Discontinued</v>
          </cell>
          <cell r="N42" t="str">
            <v>133537-8640-M</v>
          </cell>
        </row>
        <row r="43">
          <cell r="A43" t="str">
            <v>Speck</v>
          </cell>
          <cell r="B43">
            <v>848709096494</v>
          </cell>
          <cell r="C43" t="str">
            <v>138658-9323</v>
          </cell>
          <cell r="D43" t="str">
            <v>848709096494</v>
          </cell>
          <cell r="E43" t="str">
            <v>Speck Case-E Run for iPad 10.2" 7/8/9 Gen - Charge Blue/Brave Blue</v>
          </cell>
          <cell r="F43" t="str">
            <v>Cases iPad</v>
          </cell>
          <cell r="G43" t="str">
            <v>iPad</v>
          </cell>
          <cell r="H43" t="str">
            <v>iPad 10.2"</v>
          </cell>
          <cell r="I43">
            <v>430.6</v>
          </cell>
          <cell r="J43">
            <v>0.50000400400400402</v>
          </cell>
          <cell r="K43">
            <v>999</v>
          </cell>
          <cell r="L43" t="str">
            <v>iShop</v>
          </cell>
          <cell r="M43" t="str">
            <v>Discontinued</v>
          </cell>
          <cell r="N43" t="str">
            <v>138658-9323-M</v>
          </cell>
        </row>
        <row r="44">
          <cell r="A44" t="str">
            <v>Speck</v>
          </cell>
          <cell r="B44">
            <v>848709096296</v>
          </cell>
          <cell r="C44" t="str">
            <v>138654-1050</v>
          </cell>
          <cell r="D44" t="str">
            <v>848709096296</v>
          </cell>
          <cell r="E44" t="str">
            <v>Speck Balance Folio Case with Microban for iPad 10.2" 7/8/9 Gen - Black/Black</v>
          </cell>
          <cell r="F44" t="str">
            <v>Cases iPad</v>
          </cell>
          <cell r="G44" t="str">
            <v>iPad</v>
          </cell>
          <cell r="H44" t="str">
            <v>iPad 10.2"</v>
          </cell>
          <cell r="I44">
            <v>430.6</v>
          </cell>
          <cell r="J44">
            <v>0.50000400400400402</v>
          </cell>
          <cell r="K44">
            <v>999</v>
          </cell>
          <cell r="L44" t="str">
            <v>iShop</v>
          </cell>
          <cell r="M44" t="str">
            <v>Discontinued</v>
          </cell>
          <cell r="N44" t="str">
            <v>138654-1050-M</v>
          </cell>
        </row>
        <row r="45">
          <cell r="A45" t="str">
            <v>Speck</v>
          </cell>
          <cell r="B45">
            <v>848709080622</v>
          </cell>
          <cell r="C45" t="str">
            <v>133535-5999</v>
          </cell>
          <cell r="D45" t="str">
            <v>848709080622</v>
          </cell>
          <cell r="E45" t="str">
            <v>Speck Balance Folio Case for iPad 10.2" 7/8 Gen - Stormy Gray/Charcoal Gray</v>
          </cell>
          <cell r="F45" t="str">
            <v>Cases iPad</v>
          </cell>
          <cell r="G45" t="str">
            <v>iPad</v>
          </cell>
          <cell r="H45" t="str">
            <v>iPad 10.2"</v>
          </cell>
          <cell r="I45">
            <v>430.6</v>
          </cell>
          <cell r="J45">
            <v>0.50000400400400402</v>
          </cell>
          <cell r="K45">
            <v>999</v>
          </cell>
          <cell r="L45" t="str">
            <v>iShop</v>
          </cell>
          <cell r="M45" t="str">
            <v>Discontinued</v>
          </cell>
          <cell r="N45" t="str">
            <v>133535-5999-M</v>
          </cell>
        </row>
        <row r="46">
          <cell r="A46" t="str">
            <v>Speck</v>
          </cell>
          <cell r="B46">
            <v>848709096487</v>
          </cell>
          <cell r="C46" t="str">
            <v>138658-9226</v>
          </cell>
          <cell r="D46" t="str">
            <v>848709096487</v>
          </cell>
          <cell r="E46" t="str">
            <v>Speck Case-E Run for iPad 10.2" 7/8 Gen - Vibe Violet/Flux Orange</v>
          </cell>
          <cell r="F46" t="str">
            <v>Cases iPad</v>
          </cell>
          <cell r="G46" t="str">
            <v>iPad</v>
          </cell>
          <cell r="H46" t="str">
            <v>iPad 10.2"</v>
          </cell>
          <cell r="I46">
            <v>430.6</v>
          </cell>
          <cell r="J46">
            <v>0.50000400400400402</v>
          </cell>
          <cell r="K46">
            <v>999</v>
          </cell>
          <cell r="L46" t="str">
            <v>iShop</v>
          </cell>
          <cell r="M46" t="str">
            <v>Discontinued</v>
          </cell>
          <cell r="N46" t="str">
            <v>138658-9226-M</v>
          </cell>
        </row>
        <row r="47">
          <cell r="A47" t="str">
            <v>Speck</v>
          </cell>
          <cell r="B47">
            <v>848709080615</v>
          </cell>
          <cell r="C47" t="str">
            <v>133535-1050</v>
          </cell>
          <cell r="D47" t="str">
            <v>848709080615</v>
          </cell>
          <cell r="E47" t="str">
            <v>Speck Balance Folio Case for iPad 10.2" 7/8 Gen - Black/Black</v>
          </cell>
          <cell r="F47" t="str">
            <v>Cases iPad</v>
          </cell>
          <cell r="G47" t="str">
            <v>iPad</v>
          </cell>
          <cell r="H47" t="str">
            <v>iPad 10.2"</v>
          </cell>
          <cell r="I47">
            <v>430.6</v>
          </cell>
          <cell r="J47">
            <v>0.50000400400400402</v>
          </cell>
          <cell r="K47">
            <v>999</v>
          </cell>
          <cell r="L47" t="str">
            <v>iShop</v>
          </cell>
          <cell r="M47" t="str">
            <v>Discontinued</v>
          </cell>
          <cell r="N47" t="str">
            <v>133535-1050-M</v>
          </cell>
        </row>
        <row r="48">
          <cell r="A48" t="str">
            <v>Speck</v>
          </cell>
          <cell r="B48">
            <v>848709080660</v>
          </cell>
          <cell r="C48" t="str">
            <v>133537-7399</v>
          </cell>
          <cell r="D48" t="str">
            <v>848709080660</v>
          </cell>
          <cell r="E48" t="str">
            <v>Speck Balance Folio Clear Case for iPad 10.2" 7/8/9 Gen - Marine Blue/Clear</v>
          </cell>
          <cell r="F48" t="str">
            <v>Cases iPad</v>
          </cell>
          <cell r="G48" t="str">
            <v>iPad</v>
          </cell>
          <cell r="H48" t="str">
            <v>iPad 10.2"</v>
          </cell>
          <cell r="I48">
            <v>516.80999999999995</v>
          </cell>
          <cell r="J48">
            <v>0.50000033361134288</v>
          </cell>
          <cell r="K48">
            <v>1199</v>
          </cell>
          <cell r="L48" t="str">
            <v>iShop</v>
          </cell>
          <cell r="M48" t="str">
            <v>Discontinued</v>
          </cell>
          <cell r="N48" t="str">
            <v>133537-7399-M</v>
          </cell>
        </row>
        <row r="49">
          <cell r="A49" t="str">
            <v>Speck</v>
          </cell>
          <cell r="B49">
            <v>840168528165</v>
          </cell>
          <cell r="C49" t="str">
            <v>150226-D143</v>
          </cell>
          <cell r="D49" t="str">
            <v>840168528165</v>
          </cell>
          <cell r="E49" t="str">
            <v>Speck Balance Folio Case for iPad 10th Gen - Black/Black/White</v>
          </cell>
          <cell r="F49" t="str">
            <v>Cases iPad</v>
          </cell>
          <cell r="G49" t="str">
            <v>iPad</v>
          </cell>
          <cell r="H49" t="str">
            <v>iPad 10th /11th - 10.9"/11" (2022-2025)</v>
          </cell>
          <cell r="I49">
            <v>473.71</v>
          </cell>
          <cell r="J49">
            <v>0.44994634634634645</v>
          </cell>
          <cell r="K49">
            <v>999</v>
          </cell>
          <cell r="L49" t="str">
            <v>iShop</v>
          </cell>
          <cell r="M49" t="str">
            <v>Active</v>
          </cell>
          <cell r="N49" t="str">
            <v>150226-D143-M</v>
          </cell>
        </row>
        <row r="50">
          <cell r="A50" t="str">
            <v>Speck</v>
          </cell>
          <cell r="B50">
            <v>840168528172</v>
          </cell>
          <cell r="C50" t="str">
            <v>150226-9969</v>
          </cell>
          <cell r="D50" t="str">
            <v>840168528172</v>
          </cell>
          <cell r="E50" t="str">
            <v>Speck Balance Folio Case for iPad 10th Gen - Almond Milk /Mocha/Charcoal</v>
          </cell>
          <cell r="F50" t="str">
            <v>Cases iPad</v>
          </cell>
          <cell r="G50" t="str">
            <v>iPad</v>
          </cell>
          <cell r="H50" t="str">
            <v>iPad 10th /11th - 10.9"/11" (2022-2025)</v>
          </cell>
          <cell r="I50">
            <v>430.6</v>
          </cell>
          <cell r="J50">
            <v>0.50000400400400402</v>
          </cell>
          <cell r="K50">
            <v>999</v>
          </cell>
          <cell r="L50" t="str">
            <v>iShop</v>
          </cell>
          <cell r="M50" t="str">
            <v>Active</v>
          </cell>
          <cell r="N50" t="str">
            <v>150226-9969-M</v>
          </cell>
        </row>
        <row r="51">
          <cell r="A51" t="str">
            <v>Speck</v>
          </cell>
          <cell r="B51">
            <v>840168528202</v>
          </cell>
          <cell r="C51" t="str">
            <v>150226-7265</v>
          </cell>
          <cell r="D51" t="str">
            <v>840168528202</v>
          </cell>
          <cell r="E51" t="str">
            <v>Speck Balance Folio Case for iPad 10th Gen - Plumberry/Crushed Purple/Crepe Pink</v>
          </cell>
          <cell r="F51" t="str">
            <v>Cases iPad</v>
          </cell>
          <cell r="G51" t="str">
            <v>iPad</v>
          </cell>
          <cell r="H51" t="str">
            <v>iPad 10th /11th - 10.9"/11" (2022-2025)</v>
          </cell>
          <cell r="I51">
            <v>430.6</v>
          </cell>
          <cell r="J51">
            <v>0.50000400400400402</v>
          </cell>
          <cell r="K51">
            <v>999</v>
          </cell>
          <cell r="L51" t="str">
            <v>iShop</v>
          </cell>
          <cell r="M51" t="str">
            <v>Active</v>
          </cell>
          <cell r="N51" t="str">
            <v>150226-7265-M</v>
          </cell>
        </row>
        <row r="52">
          <cell r="A52" t="str">
            <v>Speck</v>
          </cell>
          <cell r="B52">
            <v>840168528189</v>
          </cell>
          <cell r="C52" t="str">
            <v>150226-9322</v>
          </cell>
          <cell r="D52" t="str">
            <v>840168528189</v>
          </cell>
          <cell r="E52" t="str">
            <v>Speck Balance Folio Case for iPad 10th Gen - Arcadia Navy/Moody Grey</v>
          </cell>
          <cell r="F52" t="str">
            <v>Cases iPad</v>
          </cell>
          <cell r="G52" t="str">
            <v>iPad</v>
          </cell>
          <cell r="H52" t="str">
            <v>iPad 10th /11th - 10.9"/11" (2022-2025)</v>
          </cell>
          <cell r="I52">
            <v>430.6</v>
          </cell>
          <cell r="J52">
            <v>0.50000400400400402</v>
          </cell>
          <cell r="K52">
            <v>999</v>
          </cell>
          <cell r="L52" t="str">
            <v>iShop</v>
          </cell>
          <cell r="M52" t="str">
            <v>Discontinued</v>
          </cell>
          <cell r="N52" t="str">
            <v>150226-9322-M</v>
          </cell>
        </row>
        <row r="53">
          <cell r="A53" t="str">
            <v>Speck</v>
          </cell>
          <cell r="B53">
            <v>840168546671</v>
          </cell>
          <cell r="C53" t="str">
            <v>150989-3266</v>
          </cell>
          <cell r="D53" t="str">
            <v>840168546671</v>
          </cell>
          <cell r="E53" t="str">
            <v>Speck Balance Folio iPad 11" (2022-2025) Sable/Blue Granite/Black</v>
          </cell>
          <cell r="F53" t="str">
            <v>Cases iPad</v>
          </cell>
          <cell r="G53" t="str">
            <v>iPad</v>
          </cell>
          <cell r="H53" t="str">
            <v>iPad 10th /11th - 10.9"/11" (2022-2025)</v>
          </cell>
          <cell r="I53">
            <v>430.6</v>
          </cell>
          <cell r="J53">
            <v>0.50000400400400402</v>
          </cell>
          <cell r="K53">
            <v>999</v>
          </cell>
          <cell r="L53" t="str">
            <v>iShop</v>
          </cell>
          <cell r="M53" t="str">
            <v>Discontinued</v>
          </cell>
          <cell r="N53" t="str">
            <v>150989-3266</v>
          </cell>
        </row>
        <row r="54">
          <cell r="A54" t="str">
            <v>Speck</v>
          </cell>
          <cell r="B54">
            <v>840168536245</v>
          </cell>
          <cell r="C54" t="str">
            <v>150526-D143</v>
          </cell>
          <cell r="D54" t="str">
            <v>840168536245</v>
          </cell>
          <cell r="E54" t="str">
            <v>Speck BALANCE FOLIO APPLE 13" IPAD AIR CASES - Black</v>
          </cell>
          <cell r="F54" t="str">
            <v>Cases iPad</v>
          </cell>
          <cell r="G54" t="str">
            <v>iPad</v>
          </cell>
          <cell r="H54" t="str">
            <v>iPad Air 13" M2</v>
          </cell>
          <cell r="I54">
            <v>516.80999999999995</v>
          </cell>
          <cell r="J54">
            <v>0.39990030030030044</v>
          </cell>
          <cell r="K54">
            <v>999</v>
          </cell>
          <cell r="L54" t="str">
            <v>iShop</v>
          </cell>
          <cell r="M54" t="str">
            <v>Bloqued</v>
          </cell>
          <cell r="N54" t="str">
            <v>150526-D143-M</v>
          </cell>
        </row>
        <row r="55">
          <cell r="A55" t="str">
            <v>Speck</v>
          </cell>
          <cell r="B55">
            <v>848709072290</v>
          </cell>
          <cell r="C55" t="str">
            <v>126936-1050</v>
          </cell>
          <cell r="D55" t="str">
            <v>848709072290</v>
          </cell>
          <cell r="E55" t="str">
            <v>Speck Balance Folio - Black iPad Mini 5</v>
          </cell>
          <cell r="F55" t="str">
            <v>Cases iPad</v>
          </cell>
          <cell r="G55" t="str">
            <v>iPad</v>
          </cell>
          <cell r="H55" t="str">
            <v>iPad mini 5</v>
          </cell>
          <cell r="I55">
            <v>547.76</v>
          </cell>
          <cell r="J55">
            <v>0.3999984891406988</v>
          </cell>
          <cell r="K55">
            <v>1059</v>
          </cell>
          <cell r="L55" t="str">
            <v>iShop</v>
          </cell>
          <cell r="M55" t="str">
            <v>Discontinued</v>
          </cell>
          <cell r="N55" t="str">
            <v>126936-1050-M</v>
          </cell>
        </row>
        <row r="56">
          <cell r="A56" t="str">
            <v>Speck</v>
          </cell>
          <cell r="B56">
            <v>840168507573</v>
          </cell>
          <cell r="C56" t="str">
            <v>142573-1050</v>
          </cell>
          <cell r="D56" t="str">
            <v>840168507573</v>
          </cell>
          <cell r="E56" t="str">
            <v>Speck Balance Folio with Microban for iPad mini 6 - Black</v>
          </cell>
          <cell r="F56" t="str">
            <v>Cases iPad</v>
          </cell>
          <cell r="G56" t="str">
            <v>iPad</v>
          </cell>
          <cell r="H56" t="str">
            <v>iPad mini 6</v>
          </cell>
          <cell r="I56">
            <v>344.4</v>
          </cell>
          <cell r="J56">
            <v>0.60009609609609615</v>
          </cell>
          <cell r="K56">
            <v>999</v>
          </cell>
          <cell r="L56" t="str">
            <v>iShop</v>
          </cell>
          <cell r="M56" t="str">
            <v>Active</v>
          </cell>
          <cell r="N56" t="str">
            <v>142573-1050-M</v>
          </cell>
        </row>
        <row r="57">
          <cell r="A57" t="str">
            <v>Speck</v>
          </cell>
          <cell r="B57">
            <v>840168507719</v>
          </cell>
          <cell r="C57" t="str">
            <v>142573-9497</v>
          </cell>
          <cell r="D57" t="str">
            <v>840168507719</v>
          </cell>
          <cell r="E57" t="str">
            <v>Speck Balance Folio with Microban for iPad mini 6 -  Green</v>
          </cell>
          <cell r="F57" t="str">
            <v>Cases iPad</v>
          </cell>
          <cell r="G57" t="str">
            <v>iPad</v>
          </cell>
          <cell r="H57" t="str">
            <v>iPad mini 6</v>
          </cell>
          <cell r="I57">
            <v>430.61</v>
          </cell>
          <cell r="J57">
            <v>0.49999239239239246</v>
          </cell>
          <cell r="K57">
            <v>999</v>
          </cell>
          <cell r="L57" t="str">
            <v>iShop</v>
          </cell>
          <cell r="M57" t="str">
            <v>Discontinued</v>
          </cell>
          <cell r="N57" t="str">
            <v>142573-9497-M</v>
          </cell>
        </row>
        <row r="58">
          <cell r="A58" t="str">
            <v>Speck</v>
          </cell>
          <cell r="B58">
            <v>840168501823</v>
          </cell>
          <cell r="C58" t="str">
            <v>140999-1050</v>
          </cell>
          <cell r="D58" t="str">
            <v>840168501823</v>
          </cell>
          <cell r="E58" t="str">
            <v>Speck Presidio Pro Folio for iPad Pro 11" 2/M1/M2 /Air 10.9" 4/5 - Black</v>
          </cell>
          <cell r="F58" t="str">
            <v>Cases iPad</v>
          </cell>
          <cell r="G58" t="str">
            <v>iPad</v>
          </cell>
          <cell r="H58" t="str">
            <v>iPad Pro 11" 2/3</v>
          </cell>
          <cell r="I58">
            <v>516.80999999999995</v>
          </cell>
          <cell r="J58">
            <v>0.6000669779853236</v>
          </cell>
          <cell r="K58">
            <v>1499</v>
          </cell>
          <cell r="L58" t="str">
            <v>iShop</v>
          </cell>
          <cell r="M58" t="str">
            <v>Active</v>
          </cell>
          <cell r="N58" t="str">
            <v>140999-1050-M</v>
          </cell>
        </row>
        <row r="59">
          <cell r="A59" t="str">
            <v>Speck</v>
          </cell>
          <cell r="B59">
            <v>840168501335</v>
          </cell>
          <cell r="C59" t="str">
            <v>140548-7265</v>
          </cell>
          <cell r="D59" t="str">
            <v>840168501335</v>
          </cell>
          <cell r="E59" t="str">
            <v>Speck Balance Folio for iPad Air 10.9"/Pro 11" - Plumberry Purple/Crushed Purple/C</v>
          </cell>
          <cell r="F59" t="str">
            <v>Cases iPad</v>
          </cell>
          <cell r="G59" t="str">
            <v>iPad</v>
          </cell>
          <cell r="H59" t="str">
            <v>iPad Pro 11" 2/3/4/Air 4/5</v>
          </cell>
          <cell r="I59">
            <v>430.6</v>
          </cell>
          <cell r="J59">
            <v>0.50000400400400402</v>
          </cell>
          <cell r="K59">
            <v>999</v>
          </cell>
          <cell r="L59" t="str">
            <v>iShop</v>
          </cell>
          <cell r="M59" t="str">
            <v>Active</v>
          </cell>
          <cell r="N59" t="str">
            <v>140548-7265-M</v>
          </cell>
        </row>
        <row r="60">
          <cell r="A60" t="str">
            <v>Speck</v>
          </cell>
          <cell r="B60">
            <v>840168501106</v>
          </cell>
          <cell r="C60" t="str">
            <v>140548-1050</v>
          </cell>
          <cell r="D60" t="str">
            <v>840168501106</v>
          </cell>
          <cell r="E60" t="str">
            <v>Speck Balance Folio Case with Microban for iPad Pro 11" M1/Air 10.9" - Black</v>
          </cell>
          <cell r="F60" t="str">
            <v>Cases iPad</v>
          </cell>
          <cell r="G60" t="str">
            <v>iPad</v>
          </cell>
          <cell r="H60" t="str">
            <v>iPad Pro 11" 2/3/4/Air 4/5</v>
          </cell>
          <cell r="I60">
            <v>430.6</v>
          </cell>
          <cell r="J60">
            <v>0.50000400400400402</v>
          </cell>
          <cell r="K60">
            <v>999</v>
          </cell>
          <cell r="L60" t="str">
            <v>iShop</v>
          </cell>
          <cell r="M60" t="str">
            <v>Active</v>
          </cell>
          <cell r="N60" t="str">
            <v>140548-1050-M</v>
          </cell>
        </row>
        <row r="61">
          <cell r="A61" t="str">
            <v>Speck</v>
          </cell>
          <cell r="B61">
            <v>840168501328</v>
          </cell>
          <cell r="C61" t="str">
            <v>140548-9322</v>
          </cell>
          <cell r="D61" t="str">
            <v>840168501328</v>
          </cell>
          <cell r="E61" t="str">
            <v>Speck Balance Folio iPad Pro 11/Air 2020 Arcadia Navy/Moody Grey</v>
          </cell>
          <cell r="F61" t="str">
            <v>Cases iPad</v>
          </cell>
          <cell r="G61" t="str">
            <v>iPad</v>
          </cell>
          <cell r="H61" t="str">
            <v>iPad Pro 11" 2/3/4/Air 4/5</v>
          </cell>
          <cell r="I61">
            <v>430.6</v>
          </cell>
          <cell r="J61">
            <v>0.50000400400400402</v>
          </cell>
          <cell r="K61">
            <v>999</v>
          </cell>
          <cell r="L61" t="str">
            <v>iShop</v>
          </cell>
          <cell r="M61" t="str">
            <v>Discontinued</v>
          </cell>
          <cell r="N61" t="str">
            <v>140548-9322-M</v>
          </cell>
        </row>
        <row r="62">
          <cell r="A62" t="str">
            <v>Speck</v>
          </cell>
          <cell r="B62">
            <v>840168501373</v>
          </cell>
          <cell r="C62" t="str">
            <v>140550-1050</v>
          </cell>
          <cell r="D62" t="str">
            <v>840168501373</v>
          </cell>
          <cell r="E62" t="str">
            <v>Speck Presidio Pro Folio Case for iPad Pro 11" 2/M1/M2 /Air 10.9" 4/5 - Black</v>
          </cell>
          <cell r="F62" t="str">
            <v>Cases iPad</v>
          </cell>
          <cell r="G62" t="str">
            <v>iPad</v>
          </cell>
          <cell r="H62" t="str">
            <v>iPad Pro 11" 2/3/4/Air 4/5</v>
          </cell>
          <cell r="I62">
            <v>516.80999999999995</v>
          </cell>
          <cell r="J62">
            <v>0.55559703484062273</v>
          </cell>
          <cell r="K62">
            <v>1349</v>
          </cell>
          <cell r="L62" t="str">
            <v>iShop</v>
          </cell>
          <cell r="M62" t="str">
            <v>Discontinued</v>
          </cell>
          <cell r="N62" t="str">
            <v>140550-1050-M</v>
          </cell>
        </row>
        <row r="63">
          <cell r="A63" t="str">
            <v>Speck</v>
          </cell>
          <cell r="B63">
            <v>848709096098</v>
          </cell>
          <cell r="C63" t="str">
            <v>138650-1050</v>
          </cell>
          <cell r="D63" t="str">
            <v>848709096098</v>
          </cell>
          <cell r="E63" t="str">
            <v>Speck Balance Folio for iPad Air 10.9"/Pro 11" - Black/Black</v>
          </cell>
          <cell r="F63" t="str">
            <v>Cases iPad</v>
          </cell>
          <cell r="G63" t="str">
            <v>iPad</v>
          </cell>
          <cell r="H63" t="str">
            <v>iPad Pro 11" 2/3/4/Air 4/5</v>
          </cell>
          <cell r="I63">
            <v>430.6</v>
          </cell>
          <cell r="J63">
            <v>0.50000400400400402</v>
          </cell>
          <cell r="K63">
            <v>999</v>
          </cell>
          <cell r="L63" t="str">
            <v>iShop</v>
          </cell>
          <cell r="M63" t="str">
            <v>Discontinued</v>
          </cell>
          <cell r="N63" t="str">
            <v>138650-1050-M</v>
          </cell>
        </row>
        <row r="64">
          <cell r="A64" t="str">
            <v>Speck</v>
          </cell>
          <cell r="B64">
            <v>848709096111</v>
          </cell>
          <cell r="C64" t="str">
            <v>138650-9322</v>
          </cell>
          <cell r="D64" t="str">
            <v>848709096111</v>
          </cell>
          <cell r="E64" t="str">
            <v>Speck Balance Folio for iPad Air 10.9"/Pro 11" - Arcadia Navy/Moody Grey</v>
          </cell>
          <cell r="F64" t="str">
            <v>Cases iPad</v>
          </cell>
          <cell r="G64" t="str">
            <v>iPad</v>
          </cell>
          <cell r="H64" t="str">
            <v>iPad Pro 11" 2/3/4/Air 4/5</v>
          </cell>
          <cell r="I64">
            <v>430.6</v>
          </cell>
          <cell r="J64">
            <v>0.50000400400400402</v>
          </cell>
          <cell r="K64">
            <v>999</v>
          </cell>
          <cell r="L64" t="str">
            <v>iShop</v>
          </cell>
          <cell r="M64" t="str">
            <v>Discontinued</v>
          </cell>
          <cell r="N64" t="str">
            <v>138650-9322-M</v>
          </cell>
        </row>
        <row r="65">
          <cell r="A65" t="str">
            <v>Speck</v>
          </cell>
          <cell r="B65">
            <v>848709066268</v>
          </cell>
          <cell r="C65" t="str">
            <v>122011-7265</v>
          </cell>
          <cell r="D65" t="str">
            <v>848709066268</v>
          </cell>
          <cell r="E65" t="str">
            <v>Speck Balance Folio - Purple iPad Pro 11</v>
          </cell>
          <cell r="F65" t="str">
            <v>Cases iPad</v>
          </cell>
          <cell r="G65" t="str">
            <v>iPad</v>
          </cell>
          <cell r="H65" t="str">
            <v>iPad Pro 11" 2/3/4/Air 4/5</v>
          </cell>
          <cell r="I65">
            <v>433.97</v>
          </cell>
          <cell r="J65">
            <v>0.39999380214541125</v>
          </cell>
          <cell r="K65">
            <v>839</v>
          </cell>
          <cell r="L65" t="str">
            <v>iShop</v>
          </cell>
          <cell r="M65" t="str">
            <v>Discontinued</v>
          </cell>
          <cell r="N65" t="str">
            <v>122011-7265-M</v>
          </cell>
        </row>
        <row r="66">
          <cell r="A66" t="str">
            <v>Speck</v>
          </cell>
          <cell r="B66">
            <v>848709065810</v>
          </cell>
          <cell r="C66" t="str">
            <v>121943-7578</v>
          </cell>
          <cell r="D66" t="str">
            <v>848709065810</v>
          </cell>
          <cell r="E66" t="str">
            <v>Speck Balance Folio -Blk/Clr For iPad</v>
          </cell>
          <cell r="F66" t="str">
            <v>Cases iPad</v>
          </cell>
          <cell r="G66" t="str">
            <v>iPad</v>
          </cell>
          <cell r="H66" t="str">
            <v>iPad Pro 11" 2/3/4/Air 4/5</v>
          </cell>
          <cell r="I66">
            <v>465</v>
          </cell>
          <cell r="J66">
            <v>0.4</v>
          </cell>
          <cell r="K66">
            <v>899</v>
          </cell>
          <cell r="L66" t="str">
            <v>iShop</v>
          </cell>
          <cell r="M66" t="str">
            <v>Discontinued</v>
          </cell>
          <cell r="N66" t="str">
            <v>121943-7578-M</v>
          </cell>
        </row>
        <row r="67">
          <cell r="A67" t="str">
            <v>Speck</v>
          </cell>
          <cell r="B67">
            <v>848709066329</v>
          </cell>
          <cell r="C67" t="str">
            <v>122013-1050</v>
          </cell>
          <cell r="D67" t="str">
            <v>848709066329</v>
          </cell>
          <cell r="E67" t="str">
            <v>Speck Presidio Pro - Black iPad Pro 11</v>
          </cell>
          <cell r="F67" t="str">
            <v>Cases iPad</v>
          </cell>
          <cell r="G67" t="str">
            <v>iPad</v>
          </cell>
          <cell r="H67" t="str">
            <v>iPad Pro 11" 2/3/4/Air 4/5</v>
          </cell>
          <cell r="I67">
            <v>671.9</v>
          </cell>
          <cell r="J67">
            <v>0.39999692070823722</v>
          </cell>
          <cell r="K67">
            <v>1299</v>
          </cell>
          <cell r="L67" t="str">
            <v>iShop</v>
          </cell>
          <cell r="M67" t="str">
            <v>Discontinued</v>
          </cell>
          <cell r="N67" t="str">
            <v>122013-1050-M</v>
          </cell>
        </row>
        <row r="68">
          <cell r="A68" t="str">
            <v>Speck</v>
          </cell>
          <cell r="B68">
            <v>840168536160</v>
          </cell>
          <cell r="C68" t="str">
            <v>150525-D143</v>
          </cell>
          <cell r="D68" t="str">
            <v>840168536160</v>
          </cell>
          <cell r="E68" t="str">
            <v>Speck BALANCE FOLIO APPLE 11" IPAD PRO CASES - Black</v>
          </cell>
          <cell r="F68" t="str">
            <v>Cases iPad</v>
          </cell>
          <cell r="G68" t="str">
            <v>iPad</v>
          </cell>
          <cell r="H68" t="str">
            <v>iPad Pro 11" M3/M4</v>
          </cell>
          <cell r="I68">
            <v>430.6</v>
          </cell>
          <cell r="J68">
            <v>0.50000400400400402</v>
          </cell>
          <cell r="K68">
            <v>999</v>
          </cell>
          <cell r="L68" t="str">
            <v>iShop</v>
          </cell>
          <cell r="M68" t="str">
            <v>Active</v>
          </cell>
          <cell r="N68" t="str">
            <v>150525-D143-M</v>
          </cell>
        </row>
        <row r="69">
          <cell r="A69" t="str">
            <v>Speck</v>
          </cell>
          <cell r="B69">
            <v>840168526871</v>
          </cell>
          <cell r="C69" t="str">
            <v>150198-9969</v>
          </cell>
          <cell r="D69" t="str">
            <v>840168526871</v>
          </cell>
          <cell r="E69" t="str">
            <v>IPAD PRO 12.9” (2022) BALANCE FOLIO (W/MB) (ALMOND MILK/MOCHA/CHARCOAL)</v>
          </cell>
          <cell r="F69" t="str">
            <v>Cases iPad</v>
          </cell>
          <cell r="G69" t="str">
            <v>iPad</v>
          </cell>
          <cell r="H69" t="str">
            <v>iPad Pro 12.9</v>
          </cell>
          <cell r="I69">
            <v>646.12</v>
          </cell>
          <cell r="J69">
            <v>0.50000053368912611</v>
          </cell>
          <cell r="K69">
            <v>1499</v>
          </cell>
          <cell r="L69" t="str">
            <v>iShop</v>
          </cell>
          <cell r="M69" t="str">
            <v>Discontinued</v>
          </cell>
          <cell r="N69" t="str">
            <v>150198-9969-M</v>
          </cell>
        </row>
        <row r="70">
          <cell r="A70" t="str">
            <v>Speck</v>
          </cell>
          <cell r="B70">
            <v>840168526840</v>
          </cell>
          <cell r="C70" t="str">
            <v>150198-D143</v>
          </cell>
          <cell r="D70" t="str">
            <v>840168526840</v>
          </cell>
          <cell r="E70" t="str">
            <v>IPAD PRO 12.9” (2022) BALANCEFOLIO (W/MB) (BLACK/BLACK/WHITE)</v>
          </cell>
          <cell r="F70" t="str">
            <v>Cases iPad</v>
          </cell>
          <cell r="G70" t="str">
            <v>iPad</v>
          </cell>
          <cell r="H70" t="str">
            <v>iPad Pro 12.9</v>
          </cell>
          <cell r="I70">
            <v>646.12</v>
          </cell>
          <cell r="J70">
            <v>0.50000053368912611</v>
          </cell>
          <cell r="K70">
            <v>1499</v>
          </cell>
          <cell r="L70" t="str">
            <v>iShop</v>
          </cell>
          <cell r="M70" t="str">
            <v>Discontinued</v>
          </cell>
          <cell r="N70" t="str">
            <v>150198-D143-M</v>
          </cell>
        </row>
        <row r="71">
          <cell r="A71" t="str">
            <v>Speck</v>
          </cell>
          <cell r="B71">
            <v>840168501038</v>
          </cell>
          <cell r="C71" t="str">
            <v>140546-1050</v>
          </cell>
          <cell r="D71" t="str">
            <v>840168501038</v>
          </cell>
          <cell r="E71" t="str">
            <v>Speck Balance Folio with Microban for iPad Pro 12.9" 4/M1 - Black</v>
          </cell>
          <cell r="F71" t="str">
            <v>Cases iPad</v>
          </cell>
          <cell r="G71" t="str">
            <v>iPad</v>
          </cell>
          <cell r="H71" t="str">
            <v>iPad Pro 12.9" 4/5 Cases</v>
          </cell>
          <cell r="I71">
            <v>852.93</v>
          </cell>
          <cell r="J71">
            <v>0.45002846025569776</v>
          </cell>
          <cell r="K71">
            <v>1799</v>
          </cell>
          <cell r="L71" t="str">
            <v>iShop</v>
          </cell>
          <cell r="M71" t="str">
            <v>Discontinued</v>
          </cell>
          <cell r="N71" t="str">
            <v>140546-1050-M</v>
          </cell>
        </row>
        <row r="72">
          <cell r="A72" t="str">
            <v>Speck</v>
          </cell>
          <cell r="B72">
            <v>840168501045</v>
          </cell>
          <cell r="C72" t="str">
            <v>140546-5999</v>
          </cell>
          <cell r="D72" t="str">
            <v>840168501045</v>
          </cell>
          <cell r="E72" t="str">
            <v>Speck Balance Folio with Microban for iPad Pro 12.9" 4/M1 - Stormy Grey/Charcoal</v>
          </cell>
          <cell r="F72" t="str">
            <v>Cases iPad</v>
          </cell>
          <cell r="G72" t="str">
            <v>iPad</v>
          </cell>
          <cell r="H72" t="str">
            <v>iPad Pro 12.9" 4/5 Cases</v>
          </cell>
          <cell r="I72">
            <v>852.93</v>
          </cell>
          <cell r="J72">
            <v>0.45002846025569776</v>
          </cell>
          <cell r="K72">
            <v>1799</v>
          </cell>
          <cell r="L72" t="str">
            <v>iShop</v>
          </cell>
          <cell r="M72" t="str">
            <v>Discontinued</v>
          </cell>
          <cell r="N72" t="str">
            <v>140546-5999-M</v>
          </cell>
        </row>
        <row r="73">
          <cell r="A73" t="str">
            <v>Speck</v>
          </cell>
          <cell r="B73">
            <v>840168501090</v>
          </cell>
          <cell r="C73" t="str">
            <v>140547-1050</v>
          </cell>
          <cell r="D73" t="str">
            <v>840168501090</v>
          </cell>
          <cell r="E73" t="str">
            <v>Speck Presidio Pro Folio Case with Microban for iPad Pro 12.9" 4/M1/M2 Gen - Black</v>
          </cell>
          <cell r="F73" t="str">
            <v>Cases iPad</v>
          </cell>
          <cell r="G73" t="str">
            <v>iPad</v>
          </cell>
          <cell r="H73" t="str">
            <v>iPad Pro 12.9" 4/5 Cases</v>
          </cell>
          <cell r="I73">
            <v>1163.28</v>
          </cell>
          <cell r="J73">
            <v>0.39999786571809703</v>
          </cell>
          <cell r="K73">
            <v>2249</v>
          </cell>
          <cell r="L73" t="str">
            <v>iShop</v>
          </cell>
          <cell r="M73" t="str">
            <v>Discontinued</v>
          </cell>
          <cell r="N73" t="str">
            <v>140547-1050-M</v>
          </cell>
        </row>
        <row r="74">
          <cell r="A74" t="str">
            <v>Speck</v>
          </cell>
          <cell r="B74">
            <v>840168536320</v>
          </cell>
          <cell r="C74" t="str">
            <v>150527-D143</v>
          </cell>
          <cell r="D74" t="str">
            <v>840168536320</v>
          </cell>
          <cell r="E74" t="str">
            <v>Speck BALANCE FOLIO APPLE 13" IPAD PRO CASES - Black</v>
          </cell>
          <cell r="F74" t="str">
            <v>Cases iPad</v>
          </cell>
          <cell r="G74" t="str">
            <v>iPad</v>
          </cell>
          <cell r="H74" t="str">
            <v>iPad Pro 13" M4</v>
          </cell>
          <cell r="I74">
            <v>516.80999999999995</v>
          </cell>
          <cell r="J74">
            <v>0.50000033361134288</v>
          </cell>
          <cell r="K74">
            <v>1199</v>
          </cell>
          <cell r="L74" t="str">
            <v>iShop</v>
          </cell>
          <cell r="M74" t="str">
            <v>Active</v>
          </cell>
          <cell r="N74" t="str">
            <v>150527-D143-M</v>
          </cell>
        </row>
        <row r="75">
          <cell r="A75" t="str">
            <v>Speck</v>
          </cell>
          <cell r="B75">
            <v>848709089199</v>
          </cell>
          <cell r="C75" t="str">
            <v>137621-1050</v>
          </cell>
          <cell r="D75" t="str">
            <v>848709089199</v>
          </cell>
          <cell r="E75" t="str">
            <v>Speck iPhone  11/XR *New Candyshell (Black/Black)</v>
          </cell>
          <cell r="F75" t="str">
            <v>Cases iPhone</v>
          </cell>
          <cell r="G75" t="str">
            <v>iPhone 11</v>
          </cell>
          <cell r="H75" t="str">
            <v>iPhone 11</v>
          </cell>
          <cell r="I75">
            <v>232.37</v>
          </cell>
          <cell r="J75">
            <v>0.55000133555926545</v>
          </cell>
          <cell r="K75">
            <v>599</v>
          </cell>
          <cell r="L75" t="str">
            <v>iShop</v>
          </cell>
          <cell r="M75" t="str">
            <v>Discontinued</v>
          </cell>
          <cell r="N75" t="str">
            <v>137621-1050-M</v>
          </cell>
        </row>
        <row r="76">
          <cell r="A76" t="str">
            <v>Speck</v>
          </cell>
          <cell r="B76">
            <v>848709086235</v>
          </cell>
          <cell r="C76" t="str">
            <v>136495-5085</v>
          </cell>
          <cell r="D76" t="str">
            <v>848709086235</v>
          </cell>
          <cell r="E76" t="str">
            <v>Speck iPhone  11 New Clear Grip (Clear/Clear)</v>
          </cell>
          <cell r="F76" t="str">
            <v>Cases iPhone</v>
          </cell>
          <cell r="G76" t="str">
            <v>iPhone 11</v>
          </cell>
          <cell r="H76" t="str">
            <v>iPhone 11</v>
          </cell>
          <cell r="I76">
            <v>232.37</v>
          </cell>
          <cell r="J76">
            <v>0.55000133555926545</v>
          </cell>
          <cell r="K76">
            <v>599</v>
          </cell>
          <cell r="L76" t="str">
            <v>iShop</v>
          </cell>
          <cell r="M76" t="str">
            <v>Discontinued</v>
          </cell>
          <cell r="N76" t="str">
            <v>136495-5085-M</v>
          </cell>
        </row>
        <row r="77">
          <cell r="A77" t="str">
            <v>Speck</v>
          </cell>
          <cell r="B77">
            <v>848709074607</v>
          </cell>
          <cell r="C77" t="str">
            <v>128842-5085</v>
          </cell>
          <cell r="D77" t="str">
            <v>848709074607</v>
          </cell>
          <cell r="E77" t="str">
            <v>Speck iPhone 11 Gemshell (Clear/Clear)</v>
          </cell>
          <cell r="F77" t="str">
            <v>Cases iPhone</v>
          </cell>
          <cell r="G77" t="str">
            <v>iPhone 11</v>
          </cell>
          <cell r="H77" t="str">
            <v>iPhone 11</v>
          </cell>
          <cell r="I77">
            <v>232.37</v>
          </cell>
          <cell r="J77">
            <v>0.55000133555926545</v>
          </cell>
          <cell r="K77">
            <v>599</v>
          </cell>
          <cell r="L77" t="str">
            <v>iShop</v>
          </cell>
          <cell r="M77" t="str">
            <v>Discontinued</v>
          </cell>
          <cell r="N77" t="str">
            <v>128842-5085-M</v>
          </cell>
        </row>
        <row r="78">
          <cell r="A78" t="str">
            <v>Speck</v>
          </cell>
          <cell r="B78">
            <v>848709086174</v>
          </cell>
          <cell r="C78" t="str">
            <v>136490-5085</v>
          </cell>
          <cell r="D78" t="str">
            <v>848709086174</v>
          </cell>
          <cell r="E78" t="str">
            <v>Speck Presidio Perfect Clear Case for Iphone 11- Clear</v>
          </cell>
          <cell r="F78" t="str">
            <v>Cases iPhone</v>
          </cell>
          <cell r="G78" t="str">
            <v>iPhone 11</v>
          </cell>
          <cell r="H78" t="str">
            <v>iPhone 11</v>
          </cell>
          <cell r="I78">
            <v>516.72</v>
          </cell>
          <cell r="J78">
            <v>0.40000480480480471</v>
          </cell>
          <cell r="K78">
            <v>999</v>
          </cell>
          <cell r="L78" t="str">
            <v>iShop</v>
          </cell>
          <cell r="M78" t="str">
            <v>Discontinued</v>
          </cell>
          <cell r="N78" t="str">
            <v>136490-5085-M</v>
          </cell>
        </row>
        <row r="79">
          <cell r="A79" t="str">
            <v>Speck</v>
          </cell>
          <cell r="B79">
            <v>848709086112</v>
          </cell>
          <cell r="C79" t="str">
            <v>136489-9128</v>
          </cell>
          <cell r="D79" t="str">
            <v>848709086112</v>
          </cell>
          <cell r="E79" t="str">
            <v>Speck Presidio2 GriPhone  - Blue/Black iPhone 11</v>
          </cell>
          <cell r="F79" t="str">
            <v>Cases iPhone</v>
          </cell>
          <cell r="G79" t="str">
            <v>iPhone 11</v>
          </cell>
          <cell r="H79" t="str">
            <v>iPhone 11</v>
          </cell>
          <cell r="I79">
            <v>568.45000000000005</v>
          </cell>
          <cell r="J79">
            <v>0.39999818016378519</v>
          </cell>
          <cell r="K79">
            <v>1099</v>
          </cell>
          <cell r="L79" t="str">
            <v>iShop</v>
          </cell>
          <cell r="M79" t="str">
            <v>Discontinued</v>
          </cell>
          <cell r="N79" t="str">
            <v>136489-9128-M</v>
          </cell>
        </row>
        <row r="80">
          <cell r="A80" t="str">
            <v>Speck</v>
          </cell>
          <cell r="B80">
            <v>848709075284</v>
          </cell>
          <cell r="C80" t="str">
            <v>129908-8535</v>
          </cell>
          <cell r="D80" t="str">
            <v>848709075284</v>
          </cell>
          <cell r="E80" t="str">
            <v>Speck Presidio Pro - Pink For iPhone 11</v>
          </cell>
          <cell r="F80" t="str">
            <v>Cases iPhone</v>
          </cell>
          <cell r="G80" t="str">
            <v>iPhone 11</v>
          </cell>
          <cell r="H80" t="str">
            <v>iPhone 11</v>
          </cell>
          <cell r="I80">
            <v>413.28</v>
          </cell>
          <cell r="J80">
            <v>0.3999939924906134</v>
          </cell>
          <cell r="K80">
            <v>799</v>
          </cell>
          <cell r="L80" t="str">
            <v>iShop</v>
          </cell>
          <cell r="M80" t="str">
            <v>Discontinued</v>
          </cell>
          <cell r="N80" t="str">
            <v>129908-8535-M</v>
          </cell>
        </row>
        <row r="81">
          <cell r="A81" t="str">
            <v>Speck</v>
          </cell>
          <cell r="B81">
            <v>848709075277</v>
          </cell>
          <cell r="C81" t="str">
            <v>129908-8531</v>
          </cell>
          <cell r="D81" t="str">
            <v>848709075277</v>
          </cell>
          <cell r="E81" t="str">
            <v>Speck Presidio Pro - Blue/Blck iPhone 11</v>
          </cell>
          <cell r="F81" t="str">
            <v>Cases iPhone</v>
          </cell>
          <cell r="G81" t="str">
            <v>iPhone 11</v>
          </cell>
          <cell r="H81" t="str">
            <v>iPhone 11</v>
          </cell>
          <cell r="I81">
            <v>413.28</v>
          </cell>
          <cell r="J81">
            <v>0.3999939924906134</v>
          </cell>
          <cell r="K81">
            <v>799</v>
          </cell>
          <cell r="L81" t="str">
            <v>iShop</v>
          </cell>
          <cell r="M81" t="str">
            <v>Discontinued</v>
          </cell>
          <cell r="N81" t="str">
            <v>129908-8531-M</v>
          </cell>
        </row>
        <row r="82">
          <cell r="A82" t="str">
            <v>Speck</v>
          </cell>
          <cell r="B82">
            <v>848709075420</v>
          </cell>
          <cell r="C82" t="str">
            <v>129914-7566</v>
          </cell>
          <cell r="D82" t="str">
            <v>848709075420</v>
          </cell>
          <cell r="E82" t="str">
            <v>Speck Presidio Sport - Teal For iPhone 11</v>
          </cell>
          <cell r="F82" t="str">
            <v>Cases iPhone</v>
          </cell>
          <cell r="G82" t="str">
            <v>iPhone 11</v>
          </cell>
          <cell r="H82" t="str">
            <v>iPhone 11</v>
          </cell>
          <cell r="I82">
            <v>439.14</v>
          </cell>
          <cell r="J82">
            <v>0.39999717314487637</v>
          </cell>
          <cell r="K82">
            <v>849</v>
          </cell>
          <cell r="L82" t="str">
            <v>iShop</v>
          </cell>
          <cell r="M82" t="str">
            <v>Discontinued</v>
          </cell>
          <cell r="N82" t="str">
            <v>129914-7566-M</v>
          </cell>
        </row>
        <row r="83">
          <cell r="A83" t="str">
            <v>Speck</v>
          </cell>
          <cell r="B83">
            <v>840168527427</v>
          </cell>
          <cell r="C83" t="str">
            <v>137603-5095</v>
          </cell>
          <cell r="D83" t="str">
            <v>840168527427</v>
          </cell>
          <cell r="E83" t="str">
            <v>Speck iPhone  12/12 Pro Gemshell (Clear/Black)</v>
          </cell>
          <cell r="F83" t="str">
            <v>Cases iPhone</v>
          </cell>
          <cell r="G83" t="str">
            <v>iPhone 12</v>
          </cell>
          <cell r="H83" t="str">
            <v>iPhone 12 / 12 Pro</v>
          </cell>
          <cell r="I83">
            <v>115.99</v>
          </cell>
          <cell r="J83">
            <v>0.77537829716193651</v>
          </cell>
          <cell r="K83">
            <v>599</v>
          </cell>
          <cell r="L83" t="str">
            <v>iShop</v>
          </cell>
          <cell r="M83" t="str">
            <v>Discontinued</v>
          </cell>
          <cell r="N83" t="str">
            <v>137603-5095-M</v>
          </cell>
        </row>
        <row r="84">
          <cell r="A84" t="str">
            <v>Speck</v>
          </cell>
          <cell r="B84">
            <v>848709088444</v>
          </cell>
          <cell r="C84" t="str">
            <v>137600-1050</v>
          </cell>
          <cell r="D84" t="str">
            <v>848709088444</v>
          </cell>
          <cell r="E84" t="str">
            <v>Speck iPhone 12/12 Pro Candyshell Pro (Black/Black)</v>
          </cell>
          <cell r="F84" t="str">
            <v>Cases iPhone</v>
          </cell>
          <cell r="G84" t="str">
            <v>iPhone 12</v>
          </cell>
          <cell r="H84" t="str">
            <v>iPhone 12 / 12 Pro</v>
          </cell>
          <cell r="I84">
            <v>115.99</v>
          </cell>
          <cell r="J84">
            <v>0.77537829716193651</v>
          </cell>
          <cell r="K84">
            <v>599</v>
          </cell>
          <cell r="L84" t="str">
            <v>iShop</v>
          </cell>
          <cell r="M84" t="str">
            <v>Discontinued</v>
          </cell>
          <cell r="N84" t="str">
            <v>137600-1050-M</v>
          </cell>
        </row>
        <row r="85">
          <cell r="A85" t="str">
            <v>Speck</v>
          </cell>
          <cell r="B85">
            <v>848709088680</v>
          </cell>
          <cell r="C85" t="str">
            <v>137606-5085</v>
          </cell>
          <cell r="D85" t="str">
            <v>848709088680</v>
          </cell>
          <cell r="E85" t="str">
            <v>Speck iPhone  12/12 Pro *Gemshell Grip (Clear/Clear)</v>
          </cell>
          <cell r="F85" t="str">
            <v>Cases iPhone</v>
          </cell>
          <cell r="G85" t="str">
            <v>iPhone 12</v>
          </cell>
          <cell r="H85" t="str">
            <v>iPhone 12 / 12 Pro</v>
          </cell>
          <cell r="I85">
            <v>115.99</v>
          </cell>
          <cell r="J85">
            <v>0.77537829716193651</v>
          </cell>
          <cell r="K85">
            <v>599</v>
          </cell>
          <cell r="L85" t="str">
            <v>iShop</v>
          </cell>
          <cell r="M85" t="str">
            <v>Discontinued</v>
          </cell>
          <cell r="N85" t="str">
            <v>137606-5085-M</v>
          </cell>
        </row>
        <row r="86">
          <cell r="A86" t="str">
            <v>Speck</v>
          </cell>
          <cell r="B86">
            <v>848709091734</v>
          </cell>
          <cell r="C86" t="str">
            <v>138496-9268</v>
          </cell>
          <cell r="D86" t="str">
            <v>848709091734</v>
          </cell>
          <cell r="E86" t="str">
            <v>Speck Presidio Perfect Clear Om Rse 12Pro</v>
          </cell>
          <cell r="F86" t="str">
            <v>Cases iPhone</v>
          </cell>
          <cell r="G86" t="str">
            <v>iPhone 12</v>
          </cell>
          <cell r="H86" t="str">
            <v>iPhone 12 / 12 Pro</v>
          </cell>
          <cell r="I86">
            <v>568.45000000000005</v>
          </cell>
          <cell r="J86">
            <v>0.39999818016378519</v>
          </cell>
          <cell r="K86">
            <v>1099</v>
          </cell>
          <cell r="L86" t="str">
            <v>iShop</v>
          </cell>
          <cell r="M86" t="str">
            <v>Discontinued</v>
          </cell>
          <cell r="N86" t="str">
            <v>138496-9268-M</v>
          </cell>
        </row>
        <row r="87">
          <cell r="A87" t="str">
            <v>Speck</v>
          </cell>
          <cell r="B87">
            <v>848709091239</v>
          </cell>
          <cell r="C87" t="str">
            <v>138486-D143</v>
          </cell>
          <cell r="D87" t="str">
            <v>848709091239</v>
          </cell>
          <cell r="E87" t="str">
            <v>Speck Presidio 2 Pro - Black iPhone 12 Pro</v>
          </cell>
          <cell r="F87" t="str">
            <v>Cases iPhone</v>
          </cell>
          <cell r="G87" t="str">
            <v>iPhone 12</v>
          </cell>
          <cell r="H87" t="str">
            <v>iPhone 12 / 12 Pro</v>
          </cell>
          <cell r="I87">
            <v>568.45000000000005</v>
          </cell>
          <cell r="J87">
            <v>0.39999818016378519</v>
          </cell>
          <cell r="K87">
            <v>1099</v>
          </cell>
          <cell r="L87" t="str">
            <v>iShop</v>
          </cell>
          <cell r="M87" t="str">
            <v>Discontinued</v>
          </cell>
          <cell r="N87" t="str">
            <v>138486-D143-M</v>
          </cell>
        </row>
        <row r="88">
          <cell r="A88" t="str">
            <v>Speck</v>
          </cell>
          <cell r="B88">
            <v>840168502233</v>
          </cell>
          <cell r="C88" t="str">
            <v>141154-5085</v>
          </cell>
          <cell r="D88" t="str">
            <v>840168502233</v>
          </cell>
          <cell r="E88" t="str">
            <v>Speck Presidio Perfect Clear Case with Magsafe for iPhone 12/12 Pro - Clear</v>
          </cell>
          <cell r="F88" t="str">
            <v>Cases iPhone</v>
          </cell>
          <cell r="G88" t="str">
            <v>iPhone 12</v>
          </cell>
          <cell r="H88" t="str">
            <v xml:space="preserve">iPhone 12/12 Pro </v>
          </cell>
          <cell r="I88">
            <v>426.34</v>
          </cell>
          <cell r="J88">
            <v>0.5049505505505506</v>
          </cell>
          <cell r="K88">
            <v>999</v>
          </cell>
          <cell r="L88" t="str">
            <v>iShop</v>
          </cell>
          <cell r="M88" t="str">
            <v>Discontinued</v>
          </cell>
          <cell r="N88" t="str">
            <v>141154-5085-M</v>
          </cell>
        </row>
        <row r="89">
          <cell r="A89" t="str">
            <v>Speck</v>
          </cell>
          <cell r="B89">
            <v>848709091185</v>
          </cell>
          <cell r="C89" t="str">
            <v>138486-9276</v>
          </cell>
          <cell r="D89" t="str">
            <v>848709091185</v>
          </cell>
          <cell r="E89" t="str">
            <v>Speck Presidio2 Pro Case for iPhone 12/12 Pro - Lush Burgundy/Azalea Burgundy/Pink</v>
          </cell>
          <cell r="F89" t="str">
            <v>Cases iPhone</v>
          </cell>
          <cell r="G89" t="str">
            <v>iPhone 12</v>
          </cell>
          <cell r="H89" t="str">
            <v xml:space="preserve">iPhone 12/12 Pro </v>
          </cell>
          <cell r="I89">
            <v>568.45000000000005</v>
          </cell>
          <cell r="J89">
            <v>0.4500400333611343</v>
          </cell>
          <cell r="K89">
            <v>1199</v>
          </cell>
          <cell r="L89" t="str">
            <v>iShop</v>
          </cell>
          <cell r="M89" t="str">
            <v>Discontinued</v>
          </cell>
          <cell r="N89" t="str">
            <v>138486-9276-M</v>
          </cell>
        </row>
        <row r="90">
          <cell r="A90" t="str">
            <v>Speck</v>
          </cell>
          <cell r="B90">
            <v>848709091345</v>
          </cell>
          <cell r="C90" t="str">
            <v>138489-5085</v>
          </cell>
          <cell r="D90" t="str">
            <v>848709091345</v>
          </cell>
          <cell r="E90" t="str">
            <v>Speck Presidio Perfect Clear Case for iPhone 12/12 Pro - Clear/Clear</v>
          </cell>
          <cell r="F90" t="str">
            <v>Cases iPhone</v>
          </cell>
          <cell r="G90" t="str">
            <v>iPhone 12</v>
          </cell>
          <cell r="H90" t="str">
            <v xml:space="preserve">iPhone 12/12 Pro </v>
          </cell>
          <cell r="I90">
            <v>516.72</v>
          </cell>
          <cell r="J90">
            <v>0.45459945404913549</v>
          </cell>
          <cell r="K90">
            <v>1099</v>
          </cell>
          <cell r="L90" t="str">
            <v>iShop</v>
          </cell>
          <cell r="M90" t="str">
            <v>Discontinued</v>
          </cell>
          <cell r="N90" t="str">
            <v>138489-5085-M</v>
          </cell>
        </row>
        <row r="91">
          <cell r="A91" t="str">
            <v>Speck</v>
          </cell>
          <cell r="B91">
            <v>848709096760</v>
          </cell>
          <cell r="C91" t="str">
            <v>138491-5905</v>
          </cell>
          <cell r="D91" t="str">
            <v>848709096760</v>
          </cell>
          <cell r="E91" t="str">
            <v>Speck Presidio Perfect Clear Geometry for iPhone 12/12 Pro - Clear/Black</v>
          </cell>
          <cell r="F91" t="str">
            <v>Cases iPhone</v>
          </cell>
          <cell r="G91" t="str">
            <v>iPhone 12</v>
          </cell>
          <cell r="H91" t="str">
            <v xml:space="preserve">iPhone 12/12 Pro </v>
          </cell>
          <cell r="I91">
            <v>568.45000000000005</v>
          </cell>
          <cell r="J91">
            <v>0.4500400333611343</v>
          </cell>
          <cell r="K91">
            <v>1199</v>
          </cell>
          <cell r="L91" t="str">
            <v>iShop</v>
          </cell>
          <cell r="M91" t="str">
            <v>Discontinued</v>
          </cell>
          <cell r="N91" t="str">
            <v>138491-5905-M</v>
          </cell>
        </row>
        <row r="92">
          <cell r="A92" t="str">
            <v>Speck</v>
          </cell>
          <cell r="B92">
            <v>840168503964</v>
          </cell>
          <cell r="C92" t="str">
            <v>141658-5085</v>
          </cell>
          <cell r="D92" t="str">
            <v>840168503964</v>
          </cell>
          <cell r="E92" t="str">
            <v>Speck Presidio Perfect Clear Case for iPhone 12/13 mini - Clear/Clear</v>
          </cell>
          <cell r="F92" t="str">
            <v>Cases iPhone</v>
          </cell>
          <cell r="G92" t="str">
            <v>iPhone 12</v>
          </cell>
          <cell r="H92" t="str">
            <v>iPhone 12/13 mini</v>
          </cell>
          <cell r="I92">
            <v>348.75</v>
          </cell>
          <cell r="J92">
            <v>0.45257104194857922</v>
          </cell>
          <cell r="K92">
            <v>739</v>
          </cell>
          <cell r="L92" t="str">
            <v>iShop</v>
          </cell>
          <cell r="M92" t="str">
            <v>Discontinued</v>
          </cell>
          <cell r="N92" t="str">
            <v>141658-5085-M</v>
          </cell>
        </row>
        <row r="93">
          <cell r="A93" t="str">
            <v>Speck</v>
          </cell>
          <cell r="B93">
            <v>848709091161</v>
          </cell>
          <cell r="C93" t="str">
            <v>138486-9128</v>
          </cell>
          <cell r="D93" t="str">
            <v>848709091161</v>
          </cell>
          <cell r="E93" t="str">
            <v>Speck Presidio2 Pro Case for iPhone 12/12 Pro - Coastal Blue/Black/Stormblue</v>
          </cell>
          <cell r="F93" t="str">
            <v>Cases iPhone</v>
          </cell>
          <cell r="G93" t="str">
            <v>iPhone 12/12 Pro</v>
          </cell>
          <cell r="H93" t="str">
            <v>iPhone 12/12 Pro Cases</v>
          </cell>
          <cell r="I93">
            <v>568.45000000000005</v>
          </cell>
          <cell r="J93">
            <v>0.39999818016378519</v>
          </cell>
          <cell r="K93">
            <v>1099</v>
          </cell>
          <cell r="L93" t="str">
            <v>iShop</v>
          </cell>
          <cell r="M93" t="str">
            <v>Discontinued</v>
          </cell>
          <cell r="N93" t="str">
            <v>138486-9128-M</v>
          </cell>
        </row>
        <row r="94">
          <cell r="A94" t="str">
            <v>Speck</v>
          </cell>
          <cell r="B94">
            <v>840168504725</v>
          </cell>
          <cell r="C94" t="str">
            <v>141696-9608</v>
          </cell>
          <cell r="D94" t="str">
            <v>840168504725</v>
          </cell>
          <cell r="E94" t="str">
            <v>Speck Presidio Perfect Clear Impact Geometry Case for iPhone 13 - Clear/Unreal Red</v>
          </cell>
          <cell r="F94" t="str">
            <v>Cases iPhone</v>
          </cell>
          <cell r="G94" t="str">
            <v>iPhone 13</v>
          </cell>
          <cell r="H94" t="str">
            <v>iPhone 13 Cases</v>
          </cell>
          <cell r="I94">
            <v>387.54</v>
          </cell>
          <cell r="J94">
            <v>0.49994838709677414</v>
          </cell>
          <cell r="K94">
            <v>899</v>
          </cell>
          <cell r="L94" t="str">
            <v>iShop</v>
          </cell>
          <cell r="M94" t="str">
            <v>Discontinued</v>
          </cell>
          <cell r="N94" t="str">
            <v>141696-9608-M</v>
          </cell>
        </row>
        <row r="95">
          <cell r="A95" t="str">
            <v>Speck</v>
          </cell>
          <cell r="B95">
            <v>840168504909</v>
          </cell>
          <cell r="C95" t="str">
            <v>141713-D143</v>
          </cell>
          <cell r="D95" t="str">
            <v>840168504909</v>
          </cell>
          <cell r="E95" t="str">
            <v>PRESIDIO 2 PRO BLK/WHT IP 13 PRO</v>
          </cell>
          <cell r="F95" t="str">
            <v>Cases iPhone</v>
          </cell>
          <cell r="G95" t="str">
            <v>iPhone 13</v>
          </cell>
          <cell r="H95" t="str">
            <v>iPhone 13 Pro</v>
          </cell>
          <cell r="I95">
            <v>516.72</v>
          </cell>
          <cell r="J95">
            <v>0.40000480480480471</v>
          </cell>
          <cell r="K95">
            <v>999</v>
          </cell>
          <cell r="L95" t="str">
            <v>iShop</v>
          </cell>
          <cell r="M95" t="str">
            <v>Discontinued</v>
          </cell>
          <cell r="N95" t="str">
            <v>141713-D143-M</v>
          </cell>
        </row>
        <row r="96">
          <cell r="A96" t="str">
            <v>Speck</v>
          </cell>
          <cell r="B96">
            <v>840168504916</v>
          </cell>
          <cell r="C96" t="str">
            <v>141713-9128</v>
          </cell>
          <cell r="D96" t="str">
            <v>840168504916</v>
          </cell>
          <cell r="E96" t="str">
            <v>PRESIDIO 2 PRO BLUE/BLACK IP 13 PRO</v>
          </cell>
          <cell r="F96" t="str">
            <v>Cases iPhone</v>
          </cell>
          <cell r="G96" t="str">
            <v>iPhone 13</v>
          </cell>
          <cell r="H96" t="str">
            <v>iPhone 13 Pro</v>
          </cell>
          <cell r="I96">
            <v>516.72</v>
          </cell>
          <cell r="J96">
            <v>0.40000480480480471</v>
          </cell>
          <cell r="K96">
            <v>999</v>
          </cell>
          <cell r="L96" t="str">
            <v>iShop</v>
          </cell>
          <cell r="M96" t="str">
            <v>Discontinued</v>
          </cell>
          <cell r="N96" t="str">
            <v>141713-9128-M</v>
          </cell>
        </row>
        <row r="97">
          <cell r="A97" t="str">
            <v>Speck</v>
          </cell>
          <cell r="B97">
            <v>840168504978</v>
          </cell>
          <cell r="C97" t="str">
            <v>141715-9508</v>
          </cell>
          <cell r="D97" t="str">
            <v>840168504978</v>
          </cell>
          <cell r="E97" t="str">
            <v>Speck (Apple Exclusive) Presidio Perfect Clear Glitter Case for iPhone 13 Pro - Clear/Platinum Glitt</v>
          </cell>
          <cell r="F97" t="str">
            <v>Cases iPhone</v>
          </cell>
          <cell r="G97" t="str">
            <v>iPhone 13</v>
          </cell>
          <cell r="H97" t="str">
            <v>iPhone 13 Pro</v>
          </cell>
          <cell r="I97">
            <v>516.72</v>
          </cell>
          <cell r="J97">
            <v>0.40000480480480471</v>
          </cell>
          <cell r="K97">
            <v>999</v>
          </cell>
          <cell r="L97" t="str">
            <v>iShop</v>
          </cell>
          <cell r="M97" t="str">
            <v>Discontinued</v>
          </cell>
          <cell r="N97" t="str">
            <v>141715-9508-M</v>
          </cell>
        </row>
        <row r="98">
          <cell r="A98" t="str">
            <v>Speck</v>
          </cell>
          <cell r="B98">
            <v>840168505036</v>
          </cell>
          <cell r="C98" t="str">
            <v>141719-5905</v>
          </cell>
          <cell r="D98" t="str">
            <v>840168505036</v>
          </cell>
          <cell r="E98" t="str">
            <v>Speck (Apple Exclusive) Presidio Perfect Clear Impact Geometry Case for iPhone 13 Pro - Clear/Black</v>
          </cell>
          <cell r="F98" t="str">
            <v>Cases iPhone</v>
          </cell>
          <cell r="G98" t="str">
            <v>iPhone 13</v>
          </cell>
          <cell r="H98" t="str">
            <v>iPhone 13 Pro</v>
          </cell>
          <cell r="I98">
            <v>516.72</v>
          </cell>
          <cell r="J98">
            <v>0.40000480480480471</v>
          </cell>
          <cell r="K98">
            <v>999</v>
          </cell>
          <cell r="L98" t="str">
            <v>iShop</v>
          </cell>
          <cell r="M98" t="str">
            <v>Discontinued</v>
          </cell>
          <cell r="N98" t="str">
            <v>141719-5905-M</v>
          </cell>
        </row>
        <row r="99">
          <cell r="A99" t="str">
            <v>Speck</v>
          </cell>
          <cell r="B99">
            <v>840168505067</v>
          </cell>
          <cell r="C99" t="str">
            <v>141719-9608</v>
          </cell>
          <cell r="D99" t="str">
            <v>840168505067</v>
          </cell>
          <cell r="E99" t="str">
            <v>Speck Presidio Perfect Cl Geo Cl/Re iPhone 13Pro</v>
          </cell>
          <cell r="F99" t="str">
            <v>Cases iPhone</v>
          </cell>
          <cell r="G99" t="str">
            <v>iPhone 13</v>
          </cell>
          <cell r="H99" t="str">
            <v>iPhone 13 Pro</v>
          </cell>
          <cell r="I99">
            <v>516.72</v>
          </cell>
          <cell r="J99">
            <v>0.40000480480480471</v>
          </cell>
          <cell r="K99">
            <v>999</v>
          </cell>
          <cell r="L99" t="str">
            <v>iShop</v>
          </cell>
          <cell r="M99" t="str">
            <v>Discontinued</v>
          </cell>
          <cell r="N99" t="str">
            <v>141719-9608-M</v>
          </cell>
        </row>
        <row r="100">
          <cell r="A100" t="str">
            <v>Speck</v>
          </cell>
          <cell r="B100">
            <v>840168505586</v>
          </cell>
          <cell r="C100" t="str">
            <v>141742-9608</v>
          </cell>
          <cell r="D100" t="str">
            <v>840168505586</v>
          </cell>
          <cell r="E100" t="str">
            <v>PRESIDIO PERFECT CL GEO CL/R 13PROM</v>
          </cell>
          <cell r="F100" t="str">
            <v>Cases iPhone</v>
          </cell>
          <cell r="G100" t="str">
            <v>iPhone 13</v>
          </cell>
          <cell r="H100" t="str">
            <v>iPhone 13Pro Max</v>
          </cell>
          <cell r="I100">
            <v>516.72</v>
          </cell>
          <cell r="J100">
            <v>0.40000480480480471</v>
          </cell>
          <cell r="K100">
            <v>999</v>
          </cell>
          <cell r="L100" t="str">
            <v>iShop</v>
          </cell>
          <cell r="M100" t="str">
            <v>Discontinued</v>
          </cell>
          <cell r="N100" t="str">
            <v>141742-9608-M</v>
          </cell>
        </row>
        <row r="101">
          <cell r="A101" t="str">
            <v>Speck</v>
          </cell>
          <cell r="B101">
            <v>840168521760</v>
          </cell>
          <cell r="C101" t="str">
            <v>150056-D143</v>
          </cell>
          <cell r="D101" t="str">
            <v>840168521760</v>
          </cell>
          <cell r="E101" t="str">
            <v>Speck Presidio2 Pro Case for iPhone 13/14 - Black/White</v>
          </cell>
          <cell r="F101" t="str">
            <v>Cases iPhone</v>
          </cell>
          <cell r="G101" t="str">
            <v>iPhone 14</v>
          </cell>
          <cell r="H101" t="str">
            <v>iPhone 13/14</v>
          </cell>
          <cell r="I101">
            <v>348.75</v>
          </cell>
          <cell r="J101">
            <v>0.55000000000000004</v>
          </cell>
          <cell r="K101">
            <v>899</v>
          </cell>
          <cell r="L101" t="str">
            <v>iShop</v>
          </cell>
          <cell r="M101" t="str">
            <v>Discontinued</v>
          </cell>
          <cell r="N101" t="str">
            <v>150056-D143-M</v>
          </cell>
        </row>
        <row r="102">
          <cell r="A102" t="str">
            <v>Speck</v>
          </cell>
          <cell r="B102">
            <v>840168521814</v>
          </cell>
          <cell r="C102" t="str">
            <v>150056-3068</v>
          </cell>
          <cell r="D102" t="str">
            <v>840168521814</v>
          </cell>
          <cell r="E102" t="str">
            <v>Speck Presidio2 Pro Case for iPhone 13/14 - Charcoal/Cool Bronze</v>
          </cell>
          <cell r="F102" t="str">
            <v>Cases iPhone</v>
          </cell>
          <cell r="G102" t="str">
            <v>iPhone 14</v>
          </cell>
          <cell r="H102" t="str">
            <v>iPhone 13/14</v>
          </cell>
          <cell r="I102">
            <v>348.75</v>
          </cell>
          <cell r="J102">
            <v>0.55000000000000004</v>
          </cell>
          <cell r="K102">
            <v>899</v>
          </cell>
          <cell r="L102" t="str">
            <v>iShop</v>
          </cell>
          <cell r="M102" t="str">
            <v>Discontinued</v>
          </cell>
          <cell r="N102" t="str">
            <v>150056-3068-M</v>
          </cell>
        </row>
        <row r="103">
          <cell r="A103" t="str">
            <v>Speck</v>
          </cell>
          <cell r="B103">
            <v>840168522217</v>
          </cell>
          <cell r="C103" t="str">
            <v>150067-5905</v>
          </cell>
          <cell r="D103" t="str">
            <v>840168522217</v>
          </cell>
          <cell r="E103" t="str">
            <v>Speck Presidio Perfect Clear Impact Geometry Case with MagSafe for iPhone 13/14 -</v>
          </cell>
          <cell r="F103" t="str">
            <v>Cases iPhone</v>
          </cell>
          <cell r="G103" t="str">
            <v>iPhone 14</v>
          </cell>
          <cell r="H103" t="str">
            <v>iPhone 13/14</v>
          </cell>
          <cell r="I103">
            <v>426.34</v>
          </cell>
          <cell r="J103">
            <v>0.5049505505505506</v>
          </cell>
          <cell r="K103">
            <v>999</v>
          </cell>
          <cell r="L103" t="str">
            <v>iShop</v>
          </cell>
          <cell r="M103" t="str">
            <v>Discontinued</v>
          </cell>
          <cell r="N103" t="str">
            <v>150067-5905-M</v>
          </cell>
        </row>
        <row r="104">
          <cell r="A104" t="str">
            <v>Speck</v>
          </cell>
          <cell r="B104">
            <v>840168522224</v>
          </cell>
          <cell r="C104" t="str">
            <v>150067-9794</v>
          </cell>
          <cell r="D104" t="str">
            <v>840168522224</v>
          </cell>
          <cell r="E104" t="str">
            <v>Speck Presidio Perfect Clear Impact Geometry Case with MagSafe for iPhone 13/14 -</v>
          </cell>
          <cell r="F104" t="str">
            <v>Cases iPhone</v>
          </cell>
          <cell r="G104" t="str">
            <v>iPhone 14</v>
          </cell>
          <cell r="H104" t="str">
            <v>iPhone 13/14</v>
          </cell>
          <cell r="I104">
            <v>426.34</v>
          </cell>
          <cell r="J104">
            <v>0.5049505505505506</v>
          </cell>
          <cell r="K104">
            <v>999</v>
          </cell>
          <cell r="L104" t="str">
            <v>iShop</v>
          </cell>
          <cell r="M104" t="str">
            <v>Discontinued</v>
          </cell>
          <cell r="N104" t="str">
            <v>150067-9794-M</v>
          </cell>
        </row>
        <row r="105">
          <cell r="A105" t="str">
            <v>Speck</v>
          </cell>
          <cell r="B105">
            <v>840168522231</v>
          </cell>
          <cell r="C105" t="str">
            <v>150067-9991</v>
          </cell>
          <cell r="D105" t="str">
            <v>840168522231</v>
          </cell>
          <cell r="E105" t="str">
            <v>Speck Presidio Perfect Clear Impact Geometry Case with MagSafe for iPhone 13/14 -</v>
          </cell>
          <cell r="F105" t="str">
            <v>Cases iPhone</v>
          </cell>
          <cell r="G105" t="str">
            <v>iPhone 14</v>
          </cell>
          <cell r="H105" t="str">
            <v>iPhone 13/14</v>
          </cell>
          <cell r="I105">
            <v>426.34</v>
          </cell>
          <cell r="J105">
            <v>0.5049505505505506</v>
          </cell>
          <cell r="K105">
            <v>999</v>
          </cell>
          <cell r="L105" t="str">
            <v>iShop</v>
          </cell>
          <cell r="M105" t="str">
            <v>Discontinued</v>
          </cell>
          <cell r="N105" t="str">
            <v>150067-9991-M</v>
          </cell>
        </row>
        <row r="106">
          <cell r="A106" t="str">
            <v>Speck</v>
          </cell>
          <cell r="B106">
            <v>840168522309</v>
          </cell>
          <cell r="C106" t="str">
            <v>150069-9984</v>
          </cell>
          <cell r="D106" t="str">
            <v>840168522309</v>
          </cell>
          <cell r="E106" t="str">
            <v>Speck Presidio Perfect Mist Case with MagSafe for iPhone 13/14 - Obsidian/Obsidian</v>
          </cell>
          <cell r="F106" t="str">
            <v>Cases iPhone</v>
          </cell>
          <cell r="G106" t="str">
            <v>iPhone 14</v>
          </cell>
          <cell r="H106" t="str">
            <v>iPhone 13/14</v>
          </cell>
          <cell r="I106">
            <v>426.34</v>
          </cell>
          <cell r="J106">
            <v>0.5049505505505506</v>
          </cell>
          <cell r="K106">
            <v>999</v>
          </cell>
          <cell r="L106" t="str">
            <v>iShop</v>
          </cell>
          <cell r="M106" t="str">
            <v>Discontinued</v>
          </cell>
          <cell r="N106" t="str">
            <v>150069-9984-M</v>
          </cell>
        </row>
        <row r="107">
          <cell r="A107" t="str">
            <v>Speck</v>
          </cell>
          <cell r="B107">
            <v>840168522316</v>
          </cell>
          <cell r="C107" t="str">
            <v>150069-9985</v>
          </cell>
          <cell r="D107" t="str">
            <v>840168522316</v>
          </cell>
          <cell r="E107" t="str">
            <v>Speck Presidio Perfect Mist Case with MagSafe for iPhone 13/14 - Coastal Blue</v>
          </cell>
          <cell r="F107" t="str">
            <v>Cases iPhone</v>
          </cell>
          <cell r="G107" t="str">
            <v>iPhone 14</v>
          </cell>
          <cell r="H107" t="str">
            <v>iPhone 13/14</v>
          </cell>
          <cell r="I107">
            <v>426.34</v>
          </cell>
          <cell r="J107">
            <v>0.5049505505505506</v>
          </cell>
          <cell r="K107">
            <v>999</v>
          </cell>
          <cell r="L107" t="str">
            <v>iShop</v>
          </cell>
          <cell r="M107" t="str">
            <v>Discontinued</v>
          </cell>
          <cell r="N107" t="str">
            <v>150069-9985-M</v>
          </cell>
        </row>
        <row r="108">
          <cell r="A108" t="str">
            <v>Speck</v>
          </cell>
          <cell r="B108">
            <v>840168522002</v>
          </cell>
          <cell r="C108" t="str">
            <v>150060-5085</v>
          </cell>
          <cell r="D108" t="str">
            <v>840168522002</v>
          </cell>
          <cell r="E108" t="str">
            <v>Speck Presidio Perfect Clear Case for iPhone 13/14 - Clear</v>
          </cell>
          <cell r="F108" t="str">
            <v>Cases iPhone</v>
          </cell>
          <cell r="G108" t="str">
            <v>iPhone 14</v>
          </cell>
          <cell r="H108" t="str">
            <v>iPhone 14</v>
          </cell>
          <cell r="I108">
            <v>348.75</v>
          </cell>
          <cell r="J108">
            <v>0.55000000000000004</v>
          </cell>
          <cell r="K108">
            <v>899</v>
          </cell>
          <cell r="L108" t="str">
            <v>iShop</v>
          </cell>
          <cell r="M108" t="str">
            <v>Discontinued</v>
          </cell>
          <cell r="N108" t="str">
            <v>150060-5085-M</v>
          </cell>
        </row>
        <row r="109">
          <cell r="A109" t="str">
            <v>Speck</v>
          </cell>
          <cell r="B109">
            <v>840168524020</v>
          </cell>
          <cell r="C109" t="str">
            <v>150118-5085</v>
          </cell>
          <cell r="D109" t="str">
            <v>840168524020</v>
          </cell>
          <cell r="E109" t="str">
            <v>Speck (Apple Exclusive) Presidio Perfect Clear Case for iPhone 14 Plus - Clear</v>
          </cell>
          <cell r="F109" t="str">
            <v>Cases iPhone</v>
          </cell>
          <cell r="G109" t="str">
            <v>iPhone 14</v>
          </cell>
          <cell r="H109" t="str">
            <v>iPhone 14 Plus</v>
          </cell>
          <cell r="I109">
            <v>465</v>
          </cell>
          <cell r="J109">
            <v>0.4</v>
          </cell>
          <cell r="K109">
            <v>899</v>
          </cell>
          <cell r="L109" t="str">
            <v>iShop</v>
          </cell>
          <cell r="M109" t="str">
            <v>Discontinued</v>
          </cell>
          <cell r="N109" t="str">
            <v>150118-5085-M</v>
          </cell>
        </row>
        <row r="110">
          <cell r="A110" t="str">
            <v>Speck</v>
          </cell>
          <cell r="B110">
            <v>840168524235</v>
          </cell>
          <cell r="C110" t="str">
            <v>150125-5905</v>
          </cell>
          <cell r="D110" t="str">
            <v>840168524235</v>
          </cell>
          <cell r="E110" t="str">
            <v>Speck Presidio Perfect Clear Impact Geometry Case with MagSafe for iPhone 14 Plus</v>
          </cell>
          <cell r="F110" t="str">
            <v>Cases iPhone</v>
          </cell>
          <cell r="G110" t="str">
            <v>iPhone 14</v>
          </cell>
          <cell r="H110" t="str">
            <v>iPhone 14 Plus</v>
          </cell>
          <cell r="I110">
            <v>568.45000000000005</v>
          </cell>
          <cell r="J110">
            <v>0.39999818016378519</v>
          </cell>
          <cell r="K110">
            <v>1099</v>
          </cell>
          <cell r="L110" t="str">
            <v>iShop</v>
          </cell>
          <cell r="M110" t="str">
            <v>Discontinued</v>
          </cell>
          <cell r="N110" t="str">
            <v>150125-5905-M</v>
          </cell>
        </row>
        <row r="111">
          <cell r="A111" t="str">
            <v>Speck</v>
          </cell>
          <cell r="B111">
            <v>840168524242</v>
          </cell>
          <cell r="C111" t="str">
            <v>150125-9794</v>
          </cell>
          <cell r="D111" t="str">
            <v>840168524242</v>
          </cell>
          <cell r="E111" t="str">
            <v>Speck Presidio Perfect Clear Impact Geometry Case with MagSafe for iPhone 14 Plus</v>
          </cell>
          <cell r="F111" t="str">
            <v>Cases iPhone</v>
          </cell>
          <cell r="G111" t="str">
            <v>iPhone 14</v>
          </cell>
          <cell r="H111" t="str">
            <v>iPhone 14 Plus</v>
          </cell>
          <cell r="I111">
            <v>568.45000000000005</v>
          </cell>
          <cell r="J111">
            <v>0.39999818016378519</v>
          </cell>
          <cell r="K111">
            <v>1099</v>
          </cell>
          <cell r="L111" t="str">
            <v>iShop</v>
          </cell>
          <cell r="M111" t="str">
            <v>Discontinued</v>
          </cell>
          <cell r="N111" t="str">
            <v>150125-9794-M</v>
          </cell>
        </row>
        <row r="112">
          <cell r="A112" t="str">
            <v>Speck</v>
          </cell>
          <cell r="B112">
            <v>840168524259</v>
          </cell>
          <cell r="C112" t="str">
            <v>150125-9991</v>
          </cell>
          <cell r="D112" t="str">
            <v>840168524259</v>
          </cell>
          <cell r="E112" t="str">
            <v>Speck Presidio Perfect Clear Impact Geometry Case with MagSafe for iPhone 14 Plus</v>
          </cell>
          <cell r="F112" t="str">
            <v>Cases iPhone</v>
          </cell>
          <cell r="G112" t="str">
            <v>iPhone 14</v>
          </cell>
          <cell r="H112" t="str">
            <v>iPhone 14 Plus</v>
          </cell>
          <cell r="I112">
            <v>568.45000000000005</v>
          </cell>
          <cell r="J112">
            <v>0.39999818016378519</v>
          </cell>
          <cell r="K112">
            <v>1099</v>
          </cell>
          <cell r="L112" t="str">
            <v>iShop</v>
          </cell>
          <cell r="M112" t="str">
            <v>Discontinued</v>
          </cell>
          <cell r="N112" t="str">
            <v>150125-9991-M</v>
          </cell>
        </row>
        <row r="113">
          <cell r="A113" t="str">
            <v>Speck</v>
          </cell>
          <cell r="B113">
            <v>840168524334</v>
          </cell>
          <cell r="C113" t="str">
            <v>150127-9985</v>
          </cell>
          <cell r="D113" t="str">
            <v>840168524334</v>
          </cell>
          <cell r="E113" t="str">
            <v>Speck Presidio Perfect Mist Case with MagSafe for iPhone 14 Plus - Coastal Blue</v>
          </cell>
          <cell r="F113" t="str">
            <v>Cases iPhone</v>
          </cell>
          <cell r="G113" t="str">
            <v>iPhone 14</v>
          </cell>
          <cell r="H113" t="str">
            <v>iPhone 14 Plus</v>
          </cell>
          <cell r="I113">
            <v>568.45000000000005</v>
          </cell>
          <cell r="J113">
            <v>0.39999818016378519</v>
          </cell>
          <cell r="K113">
            <v>1099</v>
          </cell>
          <cell r="L113" t="str">
            <v>iShop</v>
          </cell>
          <cell r="M113" t="str">
            <v>Discontinued</v>
          </cell>
          <cell r="N113" t="str">
            <v>150127-9985-M</v>
          </cell>
        </row>
        <row r="114">
          <cell r="A114" t="str">
            <v>Speck</v>
          </cell>
          <cell r="B114">
            <v>840168524327</v>
          </cell>
          <cell r="C114" t="str">
            <v>150127-9984</v>
          </cell>
          <cell r="D114" t="str">
            <v>840168524327</v>
          </cell>
          <cell r="E114" t="str">
            <v>Speck Presidio Perfect Mist Case with MagSafe for iPhone 14 Plus - Obsidian/Obsidi</v>
          </cell>
          <cell r="F114" t="str">
            <v>Cases iPhone</v>
          </cell>
          <cell r="G114" t="str">
            <v>iPhone 14</v>
          </cell>
          <cell r="H114" t="str">
            <v>iPhone 14 Plus</v>
          </cell>
          <cell r="I114">
            <v>568.45000000000005</v>
          </cell>
          <cell r="J114">
            <v>0.39999818016378519</v>
          </cell>
          <cell r="K114">
            <v>1099</v>
          </cell>
          <cell r="L114" t="str">
            <v>iShop</v>
          </cell>
          <cell r="M114" t="str">
            <v>Discontinued</v>
          </cell>
          <cell r="N114" t="str">
            <v>150127-9984-M</v>
          </cell>
        </row>
        <row r="115">
          <cell r="A115" t="str">
            <v>Speck</v>
          </cell>
          <cell r="B115">
            <v>840168523832</v>
          </cell>
          <cell r="C115" t="str">
            <v>150114-3068</v>
          </cell>
          <cell r="D115" t="str">
            <v>840168523832</v>
          </cell>
          <cell r="E115" t="str">
            <v>Speck (Apple Exclusive) Presidio 2 Pro Case for iPhone 14 Plus - Charcoal/Cool Bronze</v>
          </cell>
          <cell r="F115" t="str">
            <v>Cases iPhone</v>
          </cell>
          <cell r="G115" t="str">
            <v>iPhone 14</v>
          </cell>
          <cell r="H115" t="str">
            <v>iPhone 14 Plus</v>
          </cell>
          <cell r="I115">
            <v>465</v>
          </cell>
          <cell r="J115">
            <v>0.4</v>
          </cell>
          <cell r="K115">
            <v>899</v>
          </cell>
          <cell r="L115" t="str">
            <v>iShop</v>
          </cell>
          <cell r="M115" t="str">
            <v>Discontinued</v>
          </cell>
          <cell r="N115" t="str">
            <v>150114-3068-M</v>
          </cell>
        </row>
        <row r="116">
          <cell r="A116" t="str">
            <v>Speck</v>
          </cell>
          <cell r="B116">
            <v>840168523788</v>
          </cell>
          <cell r="C116" t="str">
            <v>150114-D143</v>
          </cell>
          <cell r="D116" t="str">
            <v>840168523788</v>
          </cell>
          <cell r="E116" t="str">
            <v>Speck Presidio2 Pro Case for iPhone 14 Plus - Black/White</v>
          </cell>
          <cell r="F116" t="str">
            <v>Cases iPhone</v>
          </cell>
          <cell r="G116" t="str">
            <v>iPhone 14</v>
          </cell>
          <cell r="H116" t="str">
            <v>iPhone 14 Plus Cases</v>
          </cell>
          <cell r="I116">
            <v>465</v>
          </cell>
          <cell r="J116">
            <v>0.4</v>
          </cell>
          <cell r="K116">
            <v>899</v>
          </cell>
          <cell r="L116" t="str">
            <v>iShop</v>
          </cell>
          <cell r="M116" t="str">
            <v>Discontinued</v>
          </cell>
          <cell r="N116" t="str">
            <v>150114-D143-M</v>
          </cell>
        </row>
        <row r="117">
          <cell r="A117" t="str">
            <v>Speck</v>
          </cell>
          <cell r="B117">
            <v>840168524846</v>
          </cell>
          <cell r="C117" t="str">
            <v>150143-3068</v>
          </cell>
          <cell r="D117" t="str">
            <v>840168524846</v>
          </cell>
          <cell r="E117" t="str">
            <v>Speck Presidio2 Pro Case for iPhone 14 Pro - Charcoal/Cool Bronze</v>
          </cell>
          <cell r="F117" t="str">
            <v>Cases iPhone</v>
          </cell>
          <cell r="G117" t="str">
            <v>iPhone 14</v>
          </cell>
          <cell r="H117" t="str">
            <v>iPhone 14 Pro</v>
          </cell>
          <cell r="I117">
            <v>348.75</v>
          </cell>
          <cell r="J117">
            <v>0.55000000000000004</v>
          </cell>
          <cell r="K117">
            <v>899</v>
          </cell>
          <cell r="L117" t="str">
            <v>iShop</v>
          </cell>
          <cell r="M117" t="str">
            <v>Discontinued</v>
          </cell>
          <cell r="N117" t="str">
            <v>150143-3068-M</v>
          </cell>
        </row>
        <row r="118">
          <cell r="A118" t="str">
            <v>Speck</v>
          </cell>
          <cell r="B118">
            <v>840168525034</v>
          </cell>
          <cell r="C118" t="str">
            <v>150147-5085</v>
          </cell>
          <cell r="D118" t="str">
            <v>840168525034</v>
          </cell>
          <cell r="E118" t="str">
            <v>Speck Presidio Perfect Clear Case for iPhone 14 Pro - Clear</v>
          </cell>
          <cell r="F118" t="str">
            <v>Cases iPhone</v>
          </cell>
          <cell r="G118" t="str">
            <v>iPhone 14</v>
          </cell>
          <cell r="H118" t="str">
            <v>iPhone 14 Pro</v>
          </cell>
          <cell r="I118">
            <v>348.75</v>
          </cell>
          <cell r="J118">
            <v>0.55000000000000004</v>
          </cell>
          <cell r="K118">
            <v>899</v>
          </cell>
          <cell r="L118" t="str">
            <v>iShop</v>
          </cell>
          <cell r="M118" t="str">
            <v>Discontinued</v>
          </cell>
          <cell r="N118" t="str">
            <v>150147-5085-M</v>
          </cell>
        </row>
        <row r="119">
          <cell r="A119" t="str">
            <v>Speck</v>
          </cell>
          <cell r="B119">
            <v>840168524792</v>
          </cell>
          <cell r="C119" t="str">
            <v>150143-D143</v>
          </cell>
          <cell r="D119" t="str">
            <v>840168524792</v>
          </cell>
          <cell r="E119" t="str">
            <v>Speck Presidio2 Pro Case for iPhone 14 Pro - Black/White</v>
          </cell>
          <cell r="F119" t="str">
            <v>Cases iPhone</v>
          </cell>
          <cell r="G119" t="str">
            <v>iPhone 14</v>
          </cell>
          <cell r="H119" t="str">
            <v xml:space="preserve">iPhone 14 Pro </v>
          </cell>
          <cell r="I119">
            <v>348.75</v>
          </cell>
          <cell r="J119">
            <v>0.55000000000000004</v>
          </cell>
          <cell r="K119">
            <v>899</v>
          </cell>
          <cell r="L119" t="str">
            <v>iShop</v>
          </cell>
          <cell r="M119" t="str">
            <v>Discontinued</v>
          </cell>
          <cell r="N119" t="str">
            <v>150143-D143-M</v>
          </cell>
        </row>
        <row r="120">
          <cell r="A120" t="str">
            <v>Speck</v>
          </cell>
          <cell r="B120">
            <v>840168525249</v>
          </cell>
          <cell r="C120" t="str">
            <v>150154-5905</v>
          </cell>
          <cell r="D120" t="str">
            <v>840168525249</v>
          </cell>
          <cell r="E120" t="str">
            <v>Speck Presidio Perfect Clear Impact Geometry Case with MagSafe for iPhone 14 Pro -</v>
          </cell>
          <cell r="F120" t="str">
            <v>Cases iPhone</v>
          </cell>
          <cell r="G120" t="str">
            <v>iPhone 14</v>
          </cell>
          <cell r="H120" t="str">
            <v xml:space="preserve">iPhone 14 Pro </v>
          </cell>
          <cell r="I120">
            <v>426.34</v>
          </cell>
          <cell r="J120">
            <v>0.5049505505505506</v>
          </cell>
          <cell r="K120">
            <v>999</v>
          </cell>
          <cell r="L120" t="str">
            <v>iShop</v>
          </cell>
          <cell r="M120" t="str">
            <v>Discontinued</v>
          </cell>
          <cell r="N120" t="str">
            <v>150154-5905-M</v>
          </cell>
        </row>
        <row r="121">
          <cell r="A121" t="str">
            <v>Speck</v>
          </cell>
          <cell r="B121">
            <v>840168525256</v>
          </cell>
          <cell r="C121" t="str">
            <v>150154-9794</v>
          </cell>
          <cell r="D121" t="str">
            <v>840168525256</v>
          </cell>
          <cell r="E121" t="str">
            <v>Speck Presidio Perfect Clear Impact Geometry Case with MagSafe for iPhone 14 Pro -</v>
          </cell>
          <cell r="F121" t="str">
            <v>Cases iPhone</v>
          </cell>
          <cell r="G121" t="str">
            <v>iPhone 14</v>
          </cell>
          <cell r="H121" t="str">
            <v xml:space="preserve">iPhone 14 Pro </v>
          </cell>
          <cell r="I121">
            <v>426.34</v>
          </cell>
          <cell r="J121">
            <v>0.5049505505505506</v>
          </cell>
          <cell r="K121">
            <v>999</v>
          </cell>
          <cell r="L121" t="str">
            <v>iShop</v>
          </cell>
          <cell r="M121" t="str">
            <v>Discontinued</v>
          </cell>
          <cell r="N121" t="str">
            <v>150154-9794-M</v>
          </cell>
        </row>
        <row r="122">
          <cell r="A122" t="str">
            <v>Speck</v>
          </cell>
          <cell r="B122">
            <v>840168525263</v>
          </cell>
          <cell r="C122" t="str">
            <v>150154-9991</v>
          </cell>
          <cell r="D122" t="str">
            <v>840168525263</v>
          </cell>
          <cell r="E122" t="str">
            <v>Speck Presidio Perfect Clear Impact Geometry Case with MagSafe for iPhone 14 Pro -</v>
          </cell>
          <cell r="F122" t="str">
            <v>Cases iPhone</v>
          </cell>
          <cell r="G122" t="str">
            <v>iPhone 14</v>
          </cell>
          <cell r="H122" t="str">
            <v xml:space="preserve">iPhone 14 Pro </v>
          </cell>
          <cell r="I122">
            <v>426.34</v>
          </cell>
          <cell r="J122">
            <v>0.5049505505505506</v>
          </cell>
          <cell r="K122">
            <v>999</v>
          </cell>
          <cell r="L122" t="str">
            <v>iShop</v>
          </cell>
          <cell r="M122" t="str">
            <v>Discontinued</v>
          </cell>
          <cell r="N122" t="str">
            <v>150154-9991-M</v>
          </cell>
        </row>
        <row r="123">
          <cell r="A123" t="str">
            <v>Speck</v>
          </cell>
          <cell r="B123">
            <v>840168525331</v>
          </cell>
          <cell r="C123" t="str">
            <v>150156-9984</v>
          </cell>
          <cell r="D123" t="str">
            <v>840168525331</v>
          </cell>
          <cell r="E123" t="str">
            <v>Speck Presidio Perfect Mist Case with MagSafe for iPhone 14 Pro - Obsidian/Obsidia</v>
          </cell>
          <cell r="F123" t="str">
            <v>Cases iPhone</v>
          </cell>
          <cell r="G123" t="str">
            <v>iPhone 14</v>
          </cell>
          <cell r="H123" t="str">
            <v xml:space="preserve">iPhone 14 Pro </v>
          </cell>
          <cell r="I123">
            <v>426.34</v>
          </cell>
          <cell r="J123">
            <v>0.5049505505505506</v>
          </cell>
          <cell r="K123">
            <v>999</v>
          </cell>
          <cell r="L123" t="str">
            <v>iShop</v>
          </cell>
          <cell r="M123" t="str">
            <v>Discontinued</v>
          </cell>
          <cell r="N123" t="str">
            <v>150156-9984-M</v>
          </cell>
        </row>
        <row r="124">
          <cell r="A124" t="str">
            <v>Speck</v>
          </cell>
          <cell r="B124">
            <v>840168525348</v>
          </cell>
          <cell r="C124" t="str">
            <v>150156-9985</v>
          </cell>
          <cell r="D124" t="str">
            <v>840168525348</v>
          </cell>
          <cell r="E124" t="str">
            <v>Speck Presidio Perfect Mist Case with MagSafe for iPhone 14 Pro - Coastal Blue</v>
          </cell>
          <cell r="F124" t="str">
            <v>Cases iPhone</v>
          </cell>
          <cell r="G124" t="str">
            <v>iPhone 14</v>
          </cell>
          <cell r="H124" t="str">
            <v xml:space="preserve">iPhone 14 Pro </v>
          </cell>
          <cell r="I124">
            <v>426.34</v>
          </cell>
          <cell r="J124">
            <v>0.5049505505505506</v>
          </cell>
          <cell r="K124">
            <v>999</v>
          </cell>
          <cell r="L124" t="str">
            <v>iShop</v>
          </cell>
          <cell r="M124" t="str">
            <v>Discontinued</v>
          </cell>
          <cell r="N124" t="str">
            <v>150156-9985-M</v>
          </cell>
        </row>
        <row r="125">
          <cell r="A125" t="str">
            <v>Speck</v>
          </cell>
          <cell r="B125">
            <v>840168522774</v>
          </cell>
          <cell r="C125" t="str">
            <v>150085-D143</v>
          </cell>
          <cell r="D125" t="str">
            <v>840168522774</v>
          </cell>
          <cell r="E125" t="str">
            <v>Speck Presidio2 Pro Case for iPhone 14 Pro Max - Black/White</v>
          </cell>
          <cell r="F125" t="str">
            <v>Cases iPhone</v>
          </cell>
          <cell r="G125" t="str">
            <v>iPhone 14</v>
          </cell>
          <cell r="H125" t="str">
            <v>iPhone 14 Pro Max</v>
          </cell>
          <cell r="I125">
            <v>348.75</v>
          </cell>
          <cell r="J125">
            <v>0.55000000000000004</v>
          </cell>
          <cell r="K125">
            <v>899</v>
          </cell>
          <cell r="L125" t="str">
            <v>iShop</v>
          </cell>
          <cell r="M125" t="str">
            <v>Discontinued</v>
          </cell>
          <cell r="N125" t="str">
            <v>150085-D143-M</v>
          </cell>
        </row>
        <row r="126">
          <cell r="A126" t="str">
            <v>Speck</v>
          </cell>
          <cell r="B126">
            <v>840168522828</v>
          </cell>
          <cell r="C126" t="str">
            <v>150085-3068</v>
          </cell>
          <cell r="D126" t="str">
            <v>840168522828</v>
          </cell>
          <cell r="E126" t="str">
            <v>Speck Presidio2 Pro Case for iPhone 14 Pro Max - Charcoal/Cool Bronze</v>
          </cell>
          <cell r="F126" t="str">
            <v>Cases iPhone</v>
          </cell>
          <cell r="G126" t="str">
            <v>iPhone 14</v>
          </cell>
          <cell r="H126" t="str">
            <v>iPhone 14 Pro Max</v>
          </cell>
          <cell r="I126">
            <v>348.75</v>
          </cell>
          <cell r="J126">
            <v>0.55000000000000004</v>
          </cell>
          <cell r="K126">
            <v>899</v>
          </cell>
          <cell r="L126" t="str">
            <v>iShop</v>
          </cell>
          <cell r="M126" t="str">
            <v>Discontinued</v>
          </cell>
          <cell r="N126" t="str">
            <v>150085-3068-M</v>
          </cell>
        </row>
        <row r="127">
          <cell r="A127" t="str">
            <v>Speck</v>
          </cell>
          <cell r="B127">
            <v>840168523016</v>
          </cell>
          <cell r="C127" t="str">
            <v>150089-5085</v>
          </cell>
          <cell r="D127" t="str">
            <v>840168523016</v>
          </cell>
          <cell r="E127" t="str">
            <v>Speck Presidio Perfect Clear Case for iPhone 14 Pro Max - Clear</v>
          </cell>
          <cell r="F127" t="str">
            <v>Cases iPhone</v>
          </cell>
          <cell r="G127" t="str">
            <v>iPhone 14</v>
          </cell>
          <cell r="H127" t="str">
            <v>iPhone 14 Pro Max</v>
          </cell>
          <cell r="I127">
            <v>348.75</v>
          </cell>
          <cell r="J127">
            <v>0.55000000000000004</v>
          </cell>
          <cell r="K127">
            <v>899</v>
          </cell>
          <cell r="L127" t="str">
            <v>iShop</v>
          </cell>
          <cell r="M127" t="str">
            <v>Discontinued</v>
          </cell>
          <cell r="N127" t="str">
            <v>150089-5085-M</v>
          </cell>
        </row>
        <row r="128">
          <cell r="A128" t="str">
            <v>Speck</v>
          </cell>
          <cell r="B128">
            <v>840168523221</v>
          </cell>
          <cell r="C128" t="str">
            <v>150096-5905</v>
          </cell>
          <cell r="D128" t="str">
            <v>840168523221</v>
          </cell>
          <cell r="E128" t="str">
            <v>Speck Presidio Perfect Clear Impact Geometry Case with MagSafe for iPhone 14 Pro M</v>
          </cell>
          <cell r="F128" t="str">
            <v>Cases iPhone</v>
          </cell>
          <cell r="G128" t="str">
            <v>iPhone 14</v>
          </cell>
          <cell r="H128" t="str">
            <v>iPhone 14 Pro Max</v>
          </cell>
          <cell r="I128">
            <v>426.34</v>
          </cell>
          <cell r="J128">
            <v>0.5049505505505506</v>
          </cell>
          <cell r="K128">
            <v>999</v>
          </cell>
          <cell r="L128" t="str">
            <v>iShop</v>
          </cell>
          <cell r="M128" t="str">
            <v>Discontinued</v>
          </cell>
          <cell r="N128" t="str">
            <v>150096-5905-M</v>
          </cell>
        </row>
        <row r="129">
          <cell r="A129" t="str">
            <v>Speck</v>
          </cell>
          <cell r="B129">
            <v>840168523238</v>
          </cell>
          <cell r="C129" t="str">
            <v>150096-9794</v>
          </cell>
          <cell r="D129" t="str">
            <v>840168523238</v>
          </cell>
          <cell r="E129" t="str">
            <v>Speck Presidio Perfect Clear Impact Geometry Case with MagSafe for iPhone 14 Pro M</v>
          </cell>
          <cell r="F129" t="str">
            <v>Cases iPhone</v>
          </cell>
          <cell r="G129" t="str">
            <v>iPhone 14</v>
          </cell>
          <cell r="H129" t="str">
            <v>iPhone 14 Pro Max</v>
          </cell>
          <cell r="I129">
            <v>426.34</v>
          </cell>
          <cell r="J129">
            <v>0.5049505505505506</v>
          </cell>
          <cell r="K129">
            <v>999</v>
          </cell>
          <cell r="L129" t="str">
            <v>iShop</v>
          </cell>
          <cell r="M129" t="str">
            <v>Discontinued</v>
          </cell>
          <cell r="N129" t="str">
            <v>150096-9794-M</v>
          </cell>
        </row>
        <row r="130">
          <cell r="A130" t="str">
            <v>Speck</v>
          </cell>
          <cell r="B130">
            <v>840168523245</v>
          </cell>
          <cell r="C130" t="str">
            <v>150096-9991</v>
          </cell>
          <cell r="D130" t="str">
            <v>840168523245</v>
          </cell>
          <cell r="E130" t="str">
            <v>Speck Presidio Perfect Clear Impact Geometry Case with MagSafe for iPhone 14 Pro M</v>
          </cell>
          <cell r="F130" t="str">
            <v>Cases iPhone</v>
          </cell>
          <cell r="G130" t="str">
            <v>iPhone 14</v>
          </cell>
          <cell r="H130" t="str">
            <v>iPhone 14 Pro Max</v>
          </cell>
          <cell r="I130">
            <v>426.34</v>
          </cell>
          <cell r="J130">
            <v>0.5049505505505506</v>
          </cell>
          <cell r="K130">
            <v>999</v>
          </cell>
          <cell r="L130" t="str">
            <v>iShop</v>
          </cell>
          <cell r="M130" t="str">
            <v>Discontinued</v>
          </cell>
          <cell r="N130" t="str">
            <v>150096-9991-M</v>
          </cell>
        </row>
        <row r="131">
          <cell r="A131" t="str">
            <v>Speck</v>
          </cell>
          <cell r="B131">
            <v>840168523313</v>
          </cell>
          <cell r="C131" t="str">
            <v>150098-9984</v>
          </cell>
          <cell r="D131" t="str">
            <v>840168523313</v>
          </cell>
          <cell r="E131" t="str">
            <v>Speck Presidio Perfect Mist Case with MagSafe for iPhone 14 Pro Max - Obsidian/Obs</v>
          </cell>
          <cell r="F131" t="str">
            <v>Cases iPhone</v>
          </cell>
          <cell r="G131" t="str">
            <v>iPhone 14</v>
          </cell>
          <cell r="H131" t="str">
            <v>iPhone 14 Pro Max</v>
          </cell>
          <cell r="I131">
            <v>426.34</v>
          </cell>
          <cell r="J131">
            <v>0.5049505505505506</v>
          </cell>
          <cell r="K131">
            <v>999</v>
          </cell>
          <cell r="L131" t="str">
            <v>iShop</v>
          </cell>
          <cell r="M131" t="str">
            <v>Discontinued</v>
          </cell>
          <cell r="N131" t="str">
            <v>150098-9984-M</v>
          </cell>
        </row>
        <row r="132">
          <cell r="A132" t="str">
            <v>Speck</v>
          </cell>
          <cell r="B132">
            <v>840168523320</v>
          </cell>
          <cell r="C132" t="str">
            <v>150098-9985</v>
          </cell>
          <cell r="D132" t="str">
            <v>840168523320</v>
          </cell>
          <cell r="E132" t="str">
            <v>Speck Presidio Perfect Mist Case with MagSafe for iPhone 14 Pro Max - Coastal Blue</v>
          </cell>
          <cell r="F132" t="str">
            <v>Cases iPhone</v>
          </cell>
          <cell r="G132" t="str">
            <v>iPhone 14</v>
          </cell>
          <cell r="H132" t="str">
            <v>iPhone 14 Pro Max</v>
          </cell>
          <cell r="I132">
            <v>426.34</v>
          </cell>
          <cell r="J132">
            <v>0.5049505505505506</v>
          </cell>
          <cell r="K132">
            <v>999</v>
          </cell>
          <cell r="L132" t="str">
            <v>iShop</v>
          </cell>
          <cell r="M132" t="str">
            <v>Discontinued</v>
          </cell>
          <cell r="N132" t="str">
            <v>150098-9985-M</v>
          </cell>
        </row>
        <row r="133">
          <cell r="A133" t="str">
            <v>Speck</v>
          </cell>
          <cell r="B133">
            <v>840168533251</v>
          </cell>
          <cell r="C133" t="str">
            <v>150455-3205</v>
          </cell>
          <cell r="D133" t="str">
            <v>840168533251</v>
          </cell>
          <cell r="E133" t="str">
            <v>Speck Presidio®2 Grip Magsafe® Clicklock™ Black / Slate Grey iPhone 15 Plus</v>
          </cell>
          <cell r="F133" t="str">
            <v>Cases iPhone</v>
          </cell>
          <cell r="G133" t="str">
            <v>iPhone 15</v>
          </cell>
          <cell r="H133" t="str">
            <v>iPhone 15 Plus</v>
          </cell>
          <cell r="I133">
            <v>387.54</v>
          </cell>
          <cell r="J133">
            <v>0.55000360360360356</v>
          </cell>
          <cell r="K133">
            <v>999</v>
          </cell>
          <cell r="L133" t="str">
            <v>iShop</v>
          </cell>
          <cell r="M133" t="str">
            <v>Discontinued</v>
          </cell>
          <cell r="N133" t="str">
            <v>150455-3205-M</v>
          </cell>
        </row>
        <row r="134">
          <cell r="A134" t="str">
            <v>Speck</v>
          </cell>
          <cell r="B134">
            <v>840168533329</v>
          </cell>
          <cell r="C134" t="str">
            <v>150455-3212</v>
          </cell>
          <cell r="D134" t="str">
            <v>840168533329</v>
          </cell>
          <cell r="E134" t="str">
            <v>Speck Presidio®2 Grip Magsafe® Clicklock™ Charcoal Grey/ Cool Bronze iPhone 15 Plus</v>
          </cell>
          <cell r="F134" t="str">
            <v>Cases iPhone</v>
          </cell>
          <cell r="G134" t="str">
            <v>iPhone 15</v>
          </cell>
          <cell r="H134" t="str">
            <v>iPhone 15 Plus</v>
          </cell>
          <cell r="I134">
            <v>387.54</v>
          </cell>
          <cell r="J134">
            <v>0.55000360360360356</v>
          </cell>
          <cell r="K134">
            <v>999</v>
          </cell>
          <cell r="L134" t="str">
            <v>iShop</v>
          </cell>
          <cell r="M134" t="str">
            <v>Discontinued</v>
          </cell>
          <cell r="N134" t="str">
            <v>150455-3212-M</v>
          </cell>
        </row>
        <row r="135">
          <cell r="A135" t="str">
            <v>Speck</v>
          </cell>
          <cell r="B135">
            <v>840168533268</v>
          </cell>
          <cell r="C135" t="str">
            <v>150455-3206</v>
          </cell>
          <cell r="D135" t="str">
            <v>840168533268</v>
          </cell>
          <cell r="E135" t="str">
            <v>Speck Presidio®2 Grip Magsafe® Clicklock™ Costal Blue / Dust Grey iPhone 15 Plus</v>
          </cell>
          <cell r="F135" t="str">
            <v>Cases iPhone</v>
          </cell>
          <cell r="G135" t="str">
            <v>iPhone 15</v>
          </cell>
          <cell r="H135" t="str">
            <v>iPhone 15 Plus</v>
          </cell>
          <cell r="I135">
            <v>387.54</v>
          </cell>
          <cell r="J135">
            <v>0.55000360360360356</v>
          </cell>
          <cell r="K135">
            <v>999</v>
          </cell>
          <cell r="L135" t="str">
            <v>iShop</v>
          </cell>
          <cell r="M135" t="str">
            <v>Discontinued</v>
          </cell>
          <cell r="N135" t="str">
            <v>150455-3206-M</v>
          </cell>
        </row>
        <row r="136">
          <cell r="A136" t="str">
            <v>Speck</v>
          </cell>
          <cell r="B136">
            <v>840168533381</v>
          </cell>
          <cell r="C136" t="str">
            <v>150459-3199</v>
          </cell>
          <cell r="D136" t="str">
            <v>840168533381</v>
          </cell>
          <cell r="E136" t="str">
            <v>Speck Presidio® Perfect-Clear Grip Magsafe® Clicklock™ Clear/Clear/Chrome iPhone 15 Plus</v>
          </cell>
          <cell r="F136" t="str">
            <v>Cases iPhone</v>
          </cell>
          <cell r="G136" t="str">
            <v>iPhone 15</v>
          </cell>
          <cell r="H136" t="str">
            <v>iPhone 15 Plus</v>
          </cell>
          <cell r="I136">
            <v>387.54</v>
          </cell>
          <cell r="J136">
            <v>0.55000360360360356</v>
          </cell>
          <cell r="K136">
            <v>999</v>
          </cell>
          <cell r="L136" t="str">
            <v>iShop</v>
          </cell>
          <cell r="M136" t="str">
            <v>Discontinued</v>
          </cell>
          <cell r="N136" t="str">
            <v>150459-3199-M</v>
          </cell>
        </row>
        <row r="137">
          <cell r="A137" t="str">
            <v>Speck</v>
          </cell>
          <cell r="B137">
            <v>840168533121</v>
          </cell>
          <cell r="C137" t="str">
            <v>150451-3199</v>
          </cell>
          <cell r="D137" t="str">
            <v>840168533121</v>
          </cell>
          <cell r="E137" t="str">
            <v>Speck Presidio® Perfect-Clear Grip Magsafe® Clicklock™ Clear/Clear/Chrome iPhone 15 Pro</v>
          </cell>
          <cell r="F137" t="str">
            <v>Cases iPhone</v>
          </cell>
          <cell r="G137" t="str">
            <v>iPhone 15</v>
          </cell>
          <cell r="H137" t="str">
            <v>iPhone 15 Pro</v>
          </cell>
          <cell r="I137">
            <v>387.54</v>
          </cell>
          <cell r="J137">
            <v>0.55000360360360356</v>
          </cell>
          <cell r="K137">
            <v>999</v>
          </cell>
          <cell r="L137" t="str">
            <v>iShop</v>
          </cell>
          <cell r="M137" t="str">
            <v>Discontinued</v>
          </cell>
          <cell r="N137" t="str">
            <v>150451-3199-M</v>
          </cell>
        </row>
        <row r="138">
          <cell r="A138" t="str">
            <v>Speck</v>
          </cell>
          <cell r="B138">
            <v>840168532995</v>
          </cell>
          <cell r="C138" t="str">
            <v>150447-3205</v>
          </cell>
          <cell r="D138" t="str">
            <v>840168532995</v>
          </cell>
          <cell r="E138" t="str">
            <v>Speck Presidio®2 Grip Magsafe® Clicklock™ Black / Slate Grey iPhone 15 Pro</v>
          </cell>
          <cell r="F138" t="str">
            <v>Cases iPhone</v>
          </cell>
          <cell r="G138" t="str">
            <v>iPhone 15</v>
          </cell>
          <cell r="H138" t="str">
            <v>iPhone 15 Pro</v>
          </cell>
          <cell r="I138">
            <v>387.54</v>
          </cell>
          <cell r="J138">
            <v>0.55000360360360356</v>
          </cell>
          <cell r="K138">
            <v>999</v>
          </cell>
          <cell r="L138" t="str">
            <v>iShop</v>
          </cell>
          <cell r="M138" t="str">
            <v>Discontinued</v>
          </cell>
          <cell r="N138" t="str">
            <v>150447-3205-M</v>
          </cell>
        </row>
        <row r="139">
          <cell r="A139" t="str">
            <v>Speck</v>
          </cell>
          <cell r="B139">
            <v>840168533060</v>
          </cell>
          <cell r="C139" t="str">
            <v>150447-3212</v>
          </cell>
          <cell r="D139" t="str">
            <v>840168533060</v>
          </cell>
          <cell r="E139" t="str">
            <v>Speck Presidio®2 Grip Magsafe® Clicklock™ Charcoal Grey/ Cool Bronze iPhone 15 Pro</v>
          </cell>
          <cell r="F139" t="str">
            <v>Cases iPhone</v>
          </cell>
          <cell r="G139" t="str">
            <v>iPhone 15</v>
          </cell>
          <cell r="H139" t="str">
            <v>iPhone 15 Pro</v>
          </cell>
          <cell r="I139">
            <v>387.54</v>
          </cell>
          <cell r="J139">
            <v>0.55000360360360356</v>
          </cell>
          <cell r="K139">
            <v>999</v>
          </cell>
          <cell r="L139" t="str">
            <v>iShop</v>
          </cell>
          <cell r="M139" t="str">
            <v>Discontinued</v>
          </cell>
          <cell r="N139" t="str">
            <v>150447-3212-M</v>
          </cell>
        </row>
        <row r="140">
          <cell r="A140" t="str">
            <v>Speck</v>
          </cell>
          <cell r="B140">
            <v>840168533008</v>
          </cell>
          <cell r="C140" t="str">
            <v>150447-3206</v>
          </cell>
          <cell r="D140" t="str">
            <v>840168533008</v>
          </cell>
          <cell r="E140" t="str">
            <v>Speck Presidio®2 Grip Magsafe® Clicklock™ Costal Blue / Dust Grey iPhone 15 Pro</v>
          </cell>
          <cell r="F140" t="str">
            <v>Cases iPhone</v>
          </cell>
          <cell r="G140" t="str">
            <v>iPhone 15</v>
          </cell>
          <cell r="H140" t="str">
            <v>iPhone 15 Pro</v>
          </cell>
          <cell r="I140">
            <v>387.54</v>
          </cell>
          <cell r="J140">
            <v>0.55000360360360356</v>
          </cell>
          <cell r="K140">
            <v>999</v>
          </cell>
          <cell r="L140" t="str">
            <v>iShop</v>
          </cell>
          <cell r="M140" t="str">
            <v>Discontinued</v>
          </cell>
          <cell r="N140" t="str">
            <v>150447-3206-M</v>
          </cell>
        </row>
        <row r="141">
          <cell r="A141" t="str">
            <v>Speck</v>
          </cell>
          <cell r="B141">
            <v>840168533589</v>
          </cell>
          <cell r="C141" t="str">
            <v>150463-3212</v>
          </cell>
          <cell r="D141" t="str">
            <v>840168533589</v>
          </cell>
          <cell r="E141" t="str">
            <v>Speck Presidio®2 Grip Magsafe® Clicklock™ Charcoal Grey/ Cool Bronze iPhone 15 Pro Max</v>
          </cell>
          <cell r="F141" t="str">
            <v>Cases iPhone</v>
          </cell>
          <cell r="G141" t="str">
            <v>iPhone 15</v>
          </cell>
          <cell r="H141" t="str">
            <v>iPhone 15 Pro Max</v>
          </cell>
          <cell r="I141">
            <v>387.54</v>
          </cell>
          <cell r="J141">
            <v>0.55000360360360356</v>
          </cell>
          <cell r="K141">
            <v>999</v>
          </cell>
          <cell r="L141" t="str">
            <v>iShop</v>
          </cell>
          <cell r="M141" t="str">
            <v>Discontinued</v>
          </cell>
          <cell r="N141" t="str">
            <v>150463-3212-M</v>
          </cell>
        </row>
        <row r="142">
          <cell r="A142" t="str">
            <v>Speck</v>
          </cell>
          <cell r="B142">
            <v>840168533510</v>
          </cell>
          <cell r="C142" t="str">
            <v>150463-3205</v>
          </cell>
          <cell r="D142" t="str">
            <v>840168533510</v>
          </cell>
          <cell r="E142" t="str">
            <v>Speck Presidio®2 Grip Magsafe® Clicklock™ Black / Slate Grey iPhone 15 Pro Max</v>
          </cell>
          <cell r="F142" t="str">
            <v>Cases iPhone</v>
          </cell>
          <cell r="G142" t="str">
            <v>iPhone 15</v>
          </cell>
          <cell r="H142" t="str">
            <v>iPhone 15 Pro Max</v>
          </cell>
          <cell r="I142">
            <v>387.54</v>
          </cell>
          <cell r="J142">
            <v>0.55000360360360356</v>
          </cell>
          <cell r="K142">
            <v>999</v>
          </cell>
          <cell r="L142" t="str">
            <v>iShop</v>
          </cell>
          <cell r="M142" t="str">
            <v>Discontinued</v>
          </cell>
          <cell r="N142" t="str">
            <v>150463-3205-M</v>
          </cell>
        </row>
        <row r="143">
          <cell r="A143" t="str">
            <v>Speck</v>
          </cell>
          <cell r="B143">
            <v>840168533527</v>
          </cell>
          <cell r="C143" t="str">
            <v>150463-3206</v>
          </cell>
          <cell r="D143" t="str">
            <v>840168533527</v>
          </cell>
          <cell r="E143" t="str">
            <v>Speck Presidio®2 Grip Magsafe® Clicklock™ Costal Blue / Dust Grey iPhone 15 Pro Max</v>
          </cell>
          <cell r="F143" t="str">
            <v>Cases iPhone</v>
          </cell>
          <cell r="G143" t="str">
            <v>iPhone 15</v>
          </cell>
          <cell r="H143" t="str">
            <v>iPhone 15 Pro Max</v>
          </cell>
          <cell r="I143">
            <v>387.54</v>
          </cell>
          <cell r="J143">
            <v>0.55000360360360356</v>
          </cell>
          <cell r="K143">
            <v>999</v>
          </cell>
          <cell r="L143" t="str">
            <v>iShop</v>
          </cell>
          <cell r="M143" t="str">
            <v>Discontinued</v>
          </cell>
          <cell r="N143" t="str">
            <v>150463-3206-M</v>
          </cell>
        </row>
        <row r="144">
          <cell r="A144" t="str">
            <v>Speck</v>
          </cell>
          <cell r="B144">
            <v>840168533626</v>
          </cell>
          <cell r="C144" t="str">
            <v>150465-3199</v>
          </cell>
          <cell r="D144" t="str">
            <v>840168533626</v>
          </cell>
          <cell r="E144" t="str">
            <v>Speck Presidio® Perfect-Clear Magsafe® Clicklock™ Clear/Clear/ Chrome iPhone 15 Pro Max</v>
          </cell>
          <cell r="F144" t="str">
            <v>Cases iPhone</v>
          </cell>
          <cell r="G144" t="str">
            <v>iPhone 15</v>
          </cell>
          <cell r="H144" t="str">
            <v>iPhone 15 Pro Max</v>
          </cell>
          <cell r="I144">
            <v>387.54</v>
          </cell>
          <cell r="J144">
            <v>0.55000360360360356</v>
          </cell>
          <cell r="K144">
            <v>999</v>
          </cell>
          <cell r="L144" t="str">
            <v>iShop</v>
          </cell>
          <cell r="M144" t="str">
            <v>Discontinued</v>
          </cell>
          <cell r="N144" t="str">
            <v>150465-3199-M</v>
          </cell>
        </row>
        <row r="145">
          <cell r="A145" t="str">
            <v>Speck</v>
          </cell>
          <cell r="B145">
            <v>840168532865</v>
          </cell>
          <cell r="C145" t="str">
            <v>150443-3199</v>
          </cell>
          <cell r="D145" t="str">
            <v>840168532865</v>
          </cell>
          <cell r="E145" t="str">
            <v>Speck Presidio® Perfect-Clear Grip Magsafe® Clicklock™ Clear/Clear/Chrome iPhone 15</v>
          </cell>
          <cell r="F145" t="str">
            <v>Cases iPhone</v>
          </cell>
          <cell r="G145" t="str">
            <v>iPhone 15</v>
          </cell>
          <cell r="H145" t="str">
            <v>iPhone 16e / 15 / 14 / 13</v>
          </cell>
          <cell r="I145">
            <v>387.54</v>
          </cell>
          <cell r="J145">
            <v>0.55000360360360356</v>
          </cell>
          <cell r="K145">
            <v>999</v>
          </cell>
          <cell r="L145" t="str">
            <v>iShop</v>
          </cell>
          <cell r="M145" t="str">
            <v>Discontinued</v>
          </cell>
          <cell r="N145" t="str">
            <v>150443-3199-M</v>
          </cell>
        </row>
        <row r="146">
          <cell r="A146" t="str">
            <v>Speck</v>
          </cell>
          <cell r="B146">
            <v>840168532735</v>
          </cell>
          <cell r="C146" t="str">
            <v>150439-3205</v>
          </cell>
          <cell r="D146" t="str">
            <v>840168532735</v>
          </cell>
          <cell r="E146" t="str">
            <v>Speck Presidio®2 Grip Magsafe® Clicklock™ Black / Slate Grey iPhone 15</v>
          </cell>
          <cell r="F146" t="str">
            <v>Cases iPhone</v>
          </cell>
          <cell r="G146" t="str">
            <v>iPhone 15</v>
          </cell>
          <cell r="H146" t="str">
            <v>iPhone 16e / 15 / 14 / 13</v>
          </cell>
          <cell r="I146">
            <v>387.54</v>
          </cell>
          <cell r="J146">
            <v>0.55000360360360356</v>
          </cell>
          <cell r="K146">
            <v>999</v>
          </cell>
          <cell r="L146" t="str">
            <v>iShop</v>
          </cell>
          <cell r="M146" t="str">
            <v>Discontinued</v>
          </cell>
          <cell r="N146" t="str">
            <v>150439-3205-M</v>
          </cell>
        </row>
        <row r="147">
          <cell r="A147" t="str">
            <v>Speck</v>
          </cell>
          <cell r="B147">
            <v>840168532742</v>
          </cell>
          <cell r="C147" t="str">
            <v>150439-3206</v>
          </cell>
          <cell r="D147" t="str">
            <v>840168532742</v>
          </cell>
          <cell r="E147" t="str">
            <v>Speck Presidio®2 Grip Magsafe® Clicklock™ Costal Blue / Dust Grey iPhone 15</v>
          </cell>
          <cell r="F147" t="str">
            <v>Cases iPhone</v>
          </cell>
          <cell r="G147" t="str">
            <v>iPhone 15</v>
          </cell>
          <cell r="H147" t="str">
            <v>iPhone 16e / 15 / 14 / 13</v>
          </cell>
          <cell r="I147">
            <v>387.54</v>
          </cell>
          <cell r="J147">
            <v>0.55000360360360356</v>
          </cell>
          <cell r="K147">
            <v>999</v>
          </cell>
          <cell r="L147" t="str">
            <v>iShop</v>
          </cell>
          <cell r="M147" t="str">
            <v>Discontinued</v>
          </cell>
          <cell r="N147" t="str">
            <v>150439-3206-M</v>
          </cell>
        </row>
        <row r="148">
          <cell r="A148" t="str">
            <v>Speck</v>
          </cell>
          <cell r="B148">
            <v>840168532803</v>
          </cell>
          <cell r="C148" t="str">
            <v>150439-3212</v>
          </cell>
          <cell r="D148" t="str">
            <v>840168532803</v>
          </cell>
          <cell r="E148" t="str">
            <v>Speck Presidio®2 Grip Magsafe® Clicklock™ Charcoal Grey/ Cool Bronze iPhone 15</v>
          </cell>
          <cell r="F148" t="str">
            <v>Cases iPhone</v>
          </cell>
          <cell r="G148" t="str">
            <v>iPhone 15</v>
          </cell>
          <cell r="H148" t="str">
            <v>iPhone 16e / 15 / 14 / 13</v>
          </cell>
          <cell r="I148">
            <v>387.54</v>
          </cell>
          <cell r="J148">
            <v>0.55000360360360356</v>
          </cell>
          <cell r="K148">
            <v>999</v>
          </cell>
          <cell r="L148" t="str">
            <v>iShop</v>
          </cell>
          <cell r="M148" t="str">
            <v>Discontinued</v>
          </cell>
          <cell r="N148" t="str">
            <v>150439-3212-M</v>
          </cell>
        </row>
        <row r="149">
          <cell r="A149" t="str">
            <v>Speck</v>
          </cell>
          <cell r="B149">
            <v>840168532803</v>
          </cell>
          <cell r="C149" t="str">
            <v>150439-3212</v>
          </cell>
          <cell r="D149" t="str">
            <v>840168532803</v>
          </cell>
          <cell r="E149" t="str">
            <v>Speck Presidio®2 Grip Magsafe® Clicklock™ Charcoal Grey/ Cool Bronze iPhone 15</v>
          </cell>
          <cell r="F149" t="str">
            <v>Cases iPhone</v>
          </cell>
          <cell r="G149" t="str">
            <v>iPhone 15</v>
          </cell>
          <cell r="H149" t="str">
            <v>iPhone 16e / 15 / 14 / 13</v>
          </cell>
          <cell r="I149">
            <v>387.54</v>
          </cell>
          <cell r="J149">
            <v>0.55000360360360356</v>
          </cell>
          <cell r="K149">
            <v>999</v>
          </cell>
          <cell r="L149" t="str">
            <v>iShop</v>
          </cell>
          <cell r="M149" t="str">
            <v>Discontinued</v>
          </cell>
          <cell r="N149" t="str">
            <v>150439-3212-M</v>
          </cell>
        </row>
        <row r="150">
          <cell r="A150" t="str">
            <v>Speck</v>
          </cell>
          <cell r="B150">
            <v>840168540655</v>
          </cell>
          <cell r="C150" t="str">
            <v>150697-5085</v>
          </cell>
          <cell r="D150" t="str">
            <v>840168540655</v>
          </cell>
          <cell r="E150" t="str">
            <v>Speck iPhone 16 Gemshell Grip +Ms Clear/Clear</v>
          </cell>
          <cell r="F150" t="str">
            <v>Cases iPhone</v>
          </cell>
          <cell r="G150" t="str">
            <v>iPhone 16</v>
          </cell>
          <cell r="H150" t="str">
            <v>iPhone 16</v>
          </cell>
          <cell r="I150">
            <v>309.95999999999998</v>
          </cell>
          <cell r="J150">
            <v>0.54999549436796002</v>
          </cell>
          <cell r="K150">
            <v>799</v>
          </cell>
          <cell r="L150" t="str">
            <v>iShop</v>
          </cell>
          <cell r="M150" t="str">
            <v>Discontinued</v>
          </cell>
          <cell r="N150" t="str">
            <v>150697-5085-M</v>
          </cell>
        </row>
        <row r="151">
          <cell r="A151" t="str">
            <v>Speck</v>
          </cell>
          <cell r="B151">
            <v>840168544493</v>
          </cell>
          <cell r="C151" t="str">
            <v>150695-3205</v>
          </cell>
          <cell r="D151" t="str">
            <v>840168544493</v>
          </cell>
          <cell r="E151" t="str">
            <v>Speck iPhone 16 CandyShell Grip + MS Black Slate</v>
          </cell>
          <cell r="F151" t="str">
            <v>Cases iPhone</v>
          </cell>
          <cell r="G151" t="str">
            <v>iPhone 16</v>
          </cell>
          <cell r="H151" t="str">
            <v>iPhone 16</v>
          </cell>
          <cell r="I151">
            <v>348.75</v>
          </cell>
          <cell r="J151">
            <v>0.55000000000000004</v>
          </cell>
          <cell r="K151">
            <v>899</v>
          </cell>
          <cell r="L151" t="str">
            <v>iShop</v>
          </cell>
          <cell r="M151" t="str">
            <v>Discontinued</v>
          </cell>
          <cell r="N151" t="str">
            <v>150695-3205-M</v>
          </cell>
        </row>
        <row r="152">
          <cell r="A152" t="str">
            <v>Speck</v>
          </cell>
          <cell r="B152">
            <v>840168540396</v>
          </cell>
          <cell r="C152" t="str">
            <v>150689-3249</v>
          </cell>
          <cell r="D152" t="str">
            <v>840168540396</v>
          </cell>
          <cell r="E152" t="str">
            <v>Speck iPhone 16 Presidio2 Grip +Cl True Pink/Shocking Pink/White</v>
          </cell>
          <cell r="F152" t="str">
            <v>Cases iPhone</v>
          </cell>
          <cell r="G152" t="str">
            <v>iPhone 16</v>
          </cell>
          <cell r="H152" t="str">
            <v>iPhone 16</v>
          </cell>
          <cell r="I152">
            <v>387.54</v>
          </cell>
          <cell r="J152">
            <v>0.55000360360360356</v>
          </cell>
          <cell r="K152">
            <v>999</v>
          </cell>
          <cell r="L152" t="str">
            <v>iShop</v>
          </cell>
          <cell r="M152" t="str">
            <v>Discontinued</v>
          </cell>
          <cell r="N152" t="str">
            <v>150689-3249-M</v>
          </cell>
        </row>
        <row r="153">
          <cell r="A153" t="str">
            <v>Speck</v>
          </cell>
          <cell r="B153">
            <v>840168540365</v>
          </cell>
          <cell r="C153" t="str">
            <v>150689-3206</v>
          </cell>
          <cell r="D153" t="str">
            <v>840168540365</v>
          </cell>
          <cell r="E153" t="str">
            <v>Speck iPhone 16 Presidio2 Grip +Cl Coastal Blue/Dustgrey/White</v>
          </cell>
          <cell r="F153" t="str">
            <v>Cases iPhone</v>
          </cell>
          <cell r="G153" t="str">
            <v>iPhone 16</v>
          </cell>
          <cell r="H153" t="str">
            <v>iPhone 16</v>
          </cell>
          <cell r="I153">
            <v>387.54</v>
          </cell>
          <cell r="J153">
            <v>0.55000360360360356</v>
          </cell>
          <cell r="K153">
            <v>999</v>
          </cell>
          <cell r="L153" t="str">
            <v>iShop</v>
          </cell>
          <cell r="M153" t="str">
            <v>Discontinued</v>
          </cell>
          <cell r="N153" t="str">
            <v>150689-3206-M</v>
          </cell>
        </row>
        <row r="154">
          <cell r="A154" t="str">
            <v>Speck</v>
          </cell>
          <cell r="B154">
            <v>840168541478</v>
          </cell>
          <cell r="C154" t="str">
            <v>150721-5085</v>
          </cell>
          <cell r="D154" t="str">
            <v>840168541478</v>
          </cell>
          <cell r="E154" t="str">
            <v>Speck iPhone 16 Plus Gemshell Grip +Ms Clear/Clear</v>
          </cell>
          <cell r="F154" t="str">
            <v>Cases iPhone</v>
          </cell>
          <cell r="G154" t="str">
            <v>iPhone 16</v>
          </cell>
          <cell r="H154" t="str">
            <v>iPhone 16 Plus</v>
          </cell>
          <cell r="I154">
            <v>309.95999999999998</v>
          </cell>
          <cell r="J154">
            <v>0.54999549436796002</v>
          </cell>
          <cell r="K154">
            <v>799</v>
          </cell>
          <cell r="L154" t="str">
            <v>iShop</v>
          </cell>
          <cell r="M154" t="str">
            <v>Discontinued</v>
          </cell>
          <cell r="N154" t="str">
            <v>150721-5085-M</v>
          </cell>
        </row>
        <row r="155">
          <cell r="A155" t="str">
            <v>Speck</v>
          </cell>
          <cell r="B155">
            <v>840168541171</v>
          </cell>
          <cell r="C155" t="str">
            <v>150713-3205</v>
          </cell>
          <cell r="D155" t="str">
            <v>840168541171</v>
          </cell>
          <cell r="E155" t="str">
            <v>Speck iPhone 16 Plus Presidio2 Grip +Cl Black / Slate Grey / White</v>
          </cell>
          <cell r="F155" t="str">
            <v>Cases iPhone</v>
          </cell>
          <cell r="G155" t="str">
            <v>iPhone 16</v>
          </cell>
          <cell r="H155" t="str">
            <v>iPhone 16 Plus</v>
          </cell>
          <cell r="I155">
            <v>387.54</v>
          </cell>
          <cell r="J155">
            <v>0.55000360360360356</v>
          </cell>
          <cell r="K155">
            <v>999</v>
          </cell>
          <cell r="L155" t="str">
            <v>iShop</v>
          </cell>
          <cell r="M155" t="str">
            <v>Discontinued</v>
          </cell>
          <cell r="N155" t="str">
            <v>150713-3205-M</v>
          </cell>
        </row>
        <row r="156">
          <cell r="A156" t="str">
            <v>Speck</v>
          </cell>
          <cell r="B156">
            <v>840168540778</v>
          </cell>
          <cell r="C156" t="str">
            <v>150701-3206</v>
          </cell>
          <cell r="D156" t="str">
            <v>840168540778</v>
          </cell>
          <cell r="E156" t="str">
            <v>Speck iPhone 16 Pro Presidio2 Grip +Cl Coastal Blue/Dustgrey/White</v>
          </cell>
          <cell r="F156" t="str">
            <v>Cases iPhone</v>
          </cell>
          <cell r="G156" t="str">
            <v>iPhone 16</v>
          </cell>
          <cell r="H156" t="str">
            <v>iPhone 16 Pro</v>
          </cell>
          <cell r="I156">
            <v>387.54</v>
          </cell>
          <cell r="J156">
            <v>0.55000360360360356</v>
          </cell>
          <cell r="K156">
            <v>999</v>
          </cell>
          <cell r="L156" t="str">
            <v>iShop</v>
          </cell>
          <cell r="M156" t="str">
            <v>Discontinued</v>
          </cell>
          <cell r="N156" t="str">
            <v>150701-3206-M</v>
          </cell>
        </row>
        <row r="157">
          <cell r="A157" t="str">
            <v>Speck</v>
          </cell>
          <cell r="B157">
            <v>840168540846</v>
          </cell>
          <cell r="C157" t="str">
            <v>150703-3199</v>
          </cell>
          <cell r="D157" t="str">
            <v>840168540846</v>
          </cell>
          <cell r="E157" t="str">
            <v>Speck iPhone 16 Pro Presidio Perfect Clear +Cl Clear/Chrome Fini</v>
          </cell>
          <cell r="F157" t="str">
            <v>Cases iPhone</v>
          </cell>
          <cell r="G157" t="str">
            <v>iPhone 16</v>
          </cell>
          <cell r="H157" t="str">
            <v>iPhone 16 Pro / iPhone 17</v>
          </cell>
          <cell r="I157">
            <v>387.54</v>
          </cell>
          <cell r="J157">
            <v>0.55000360360360356</v>
          </cell>
          <cell r="K157">
            <v>999</v>
          </cell>
          <cell r="L157" t="str">
            <v>iShop</v>
          </cell>
          <cell r="M157" t="str">
            <v>Discontinued</v>
          </cell>
          <cell r="N157" t="str">
            <v>150703-3199-M</v>
          </cell>
        </row>
        <row r="158">
          <cell r="A158" t="str">
            <v>Speck</v>
          </cell>
          <cell r="B158">
            <v>840168540761</v>
          </cell>
          <cell r="C158" t="str">
            <v>150701-3205</v>
          </cell>
          <cell r="D158" t="str">
            <v>840168540761</v>
          </cell>
          <cell r="E158" t="str">
            <v>Speck iPhone 16 Pro Presidio2 Grip +Cl Black / Slate Grey /White</v>
          </cell>
          <cell r="F158" t="str">
            <v>Cases iPhone</v>
          </cell>
          <cell r="G158" t="str">
            <v>iPhone 16</v>
          </cell>
          <cell r="H158" t="str">
            <v>iPhone 16 Pro / iPhone 17</v>
          </cell>
          <cell r="I158">
            <v>387.54</v>
          </cell>
          <cell r="J158">
            <v>0.55000360360360356</v>
          </cell>
          <cell r="K158">
            <v>999</v>
          </cell>
          <cell r="L158" t="str">
            <v>iShop</v>
          </cell>
          <cell r="M158" t="str">
            <v>Discontinued</v>
          </cell>
          <cell r="N158" t="str">
            <v>150701-3205-M</v>
          </cell>
        </row>
        <row r="159">
          <cell r="A159" t="str">
            <v>Speck</v>
          </cell>
          <cell r="B159">
            <v>840168540808</v>
          </cell>
          <cell r="C159" t="str">
            <v>150701-3249</v>
          </cell>
          <cell r="D159" t="str">
            <v>840168540808</v>
          </cell>
          <cell r="E159" t="str">
            <v>Speck iPhone 16 Pro Presidio2 Grip +Cl True Pink/Shocking Pink/White</v>
          </cell>
          <cell r="F159" t="str">
            <v>Cases iPhone</v>
          </cell>
          <cell r="G159" t="str">
            <v>iPhone 16</v>
          </cell>
          <cell r="H159" t="str">
            <v>iPhone 16 Pro / iPhone 17</v>
          </cell>
          <cell r="I159">
            <v>387.54</v>
          </cell>
          <cell r="J159">
            <v>0.55000360360360356</v>
          </cell>
          <cell r="K159">
            <v>999</v>
          </cell>
          <cell r="L159" t="str">
            <v>iShop</v>
          </cell>
          <cell r="M159" t="str">
            <v>Discontinued</v>
          </cell>
          <cell r="N159" t="str">
            <v>150701-3249-M</v>
          </cell>
        </row>
        <row r="160">
          <cell r="A160" t="str">
            <v>Speck</v>
          </cell>
          <cell r="B160">
            <v>840168541659</v>
          </cell>
          <cell r="C160" t="str">
            <v>150727-3199</v>
          </cell>
          <cell r="D160" t="str">
            <v>840168544561</v>
          </cell>
          <cell r="E160" t="str">
            <v>Speck iPhone 16 Pro Max Presidio Perfect Clear +Cl Clear/Clear/Chrome Finish/Serene Silver</v>
          </cell>
          <cell r="F160" t="str">
            <v>Cases iPhone</v>
          </cell>
          <cell r="G160" t="str">
            <v>iPhone 16</v>
          </cell>
          <cell r="H160" t="str">
            <v>iPhone 16 Pro Max</v>
          </cell>
          <cell r="I160">
            <v>387.54</v>
          </cell>
          <cell r="J160">
            <v>0.55000360360360356</v>
          </cell>
          <cell r="K160">
            <v>999</v>
          </cell>
          <cell r="L160" t="str">
            <v>iShop</v>
          </cell>
          <cell r="M160" t="str">
            <v>Discontinued</v>
          </cell>
          <cell r="N160" t="str">
            <v>150727-3199-M</v>
          </cell>
        </row>
        <row r="161">
          <cell r="A161" t="str">
            <v>Speck</v>
          </cell>
          <cell r="B161">
            <v>840168544561</v>
          </cell>
          <cell r="C161" t="str">
            <v>150727-3199</v>
          </cell>
          <cell r="D161" t="str">
            <v>840168544561</v>
          </cell>
          <cell r="E161" t="str">
            <v>Speck iPhone 16 Pro Max Presidio Perfect Clear +Cl Clear/Clear/Chrome Finish/Serene Silver</v>
          </cell>
          <cell r="F161" t="str">
            <v>Cases iPhone</v>
          </cell>
          <cell r="G161" t="str">
            <v>iPhone 16</v>
          </cell>
          <cell r="H161" t="str">
            <v>iPhone 16 Pro Max</v>
          </cell>
          <cell r="I161">
            <v>387.54</v>
          </cell>
          <cell r="J161">
            <v>0.55000360360360356</v>
          </cell>
          <cell r="K161">
            <v>999</v>
          </cell>
          <cell r="L161" t="str">
            <v>iShop</v>
          </cell>
          <cell r="M161" t="str">
            <v>Discontinued</v>
          </cell>
          <cell r="N161" t="str">
            <v>150727-3199-M</v>
          </cell>
        </row>
        <row r="162">
          <cell r="A162" t="str">
            <v>Speck</v>
          </cell>
          <cell r="B162">
            <v>840168541621</v>
          </cell>
          <cell r="C162" t="str">
            <v>150725-3249</v>
          </cell>
          <cell r="D162" t="str">
            <v>840168541621</v>
          </cell>
          <cell r="E162" t="str">
            <v>Speck iPhone 16 Pro Max Presidio2 Grip +Cl True Pink/Shocking Pink/White</v>
          </cell>
          <cell r="F162" t="str">
            <v>Cases iPhone</v>
          </cell>
          <cell r="G162" t="str">
            <v>iPhone 16</v>
          </cell>
          <cell r="H162" t="str">
            <v>iPhone 16 Pro Max</v>
          </cell>
          <cell r="I162">
            <v>387.54</v>
          </cell>
          <cell r="J162">
            <v>0.55000360360360356</v>
          </cell>
          <cell r="K162">
            <v>999</v>
          </cell>
          <cell r="L162" t="str">
            <v>iShop</v>
          </cell>
          <cell r="M162" t="str">
            <v>Discontinued</v>
          </cell>
          <cell r="N162" t="str">
            <v>150725-3249-M</v>
          </cell>
        </row>
        <row r="163">
          <cell r="A163" t="str">
            <v>Speck</v>
          </cell>
          <cell r="B163">
            <v>840168541584</v>
          </cell>
          <cell r="C163" t="str">
            <v>150725-3205</v>
          </cell>
          <cell r="D163" t="str">
            <v>840168541584</v>
          </cell>
          <cell r="E163" t="str">
            <v>Speck iPhone 16 Pro Max Presidio2 Grip +Cl Black / Slate Grey</v>
          </cell>
          <cell r="F163" t="str">
            <v>Cases iPhone</v>
          </cell>
          <cell r="G163" t="str">
            <v>iPhone 16</v>
          </cell>
          <cell r="H163" t="str">
            <v>iPhone 16 Pro Max</v>
          </cell>
          <cell r="I163">
            <v>387.54</v>
          </cell>
          <cell r="J163">
            <v>0.55000360360360356</v>
          </cell>
          <cell r="K163">
            <v>999</v>
          </cell>
          <cell r="L163" t="str">
            <v>iShop</v>
          </cell>
          <cell r="M163" t="str">
            <v>Discontinued</v>
          </cell>
          <cell r="N163" t="str">
            <v>150725-3205-M</v>
          </cell>
        </row>
        <row r="164">
          <cell r="A164" t="str">
            <v>Speck</v>
          </cell>
          <cell r="B164">
            <v>840168541591</v>
          </cell>
          <cell r="C164" t="str">
            <v>150725-3206</v>
          </cell>
          <cell r="D164" t="str">
            <v>840168541591</v>
          </cell>
          <cell r="E164" t="str">
            <v>Speck iPhone 16 Pro Max Presidio2 Grip +Cl Coastal Blue/Dustgrey/White</v>
          </cell>
          <cell r="F164" t="str">
            <v>Cases iPhone</v>
          </cell>
          <cell r="G164" t="str">
            <v>iPhone 16</v>
          </cell>
          <cell r="H164" t="str">
            <v>iPhone 16 Pro Max</v>
          </cell>
          <cell r="I164">
            <v>387.54</v>
          </cell>
          <cell r="J164">
            <v>0.55000360360360356</v>
          </cell>
          <cell r="K164">
            <v>999</v>
          </cell>
          <cell r="L164" t="str">
            <v>iShop</v>
          </cell>
          <cell r="M164" t="str">
            <v>Discontinued</v>
          </cell>
          <cell r="N164" t="str">
            <v>150725-3206-M</v>
          </cell>
        </row>
        <row r="165">
          <cell r="A165" t="str">
            <v>Speck</v>
          </cell>
          <cell r="B165">
            <v>840168546800</v>
          </cell>
          <cell r="C165" t="str">
            <v>150994-5085</v>
          </cell>
          <cell r="D165" t="str">
            <v>840168546800</v>
          </cell>
          <cell r="E165" t="str">
            <v>Speck Gemshell Grip + MS iPhone 17 iPhone 17 Air Clear</v>
          </cell>
          <cell r="F165" t="str">
            <v>Cases iPhone</v>
          </cell>
          <cell r="G165" t="str">
            <v>iPhone 17</v>
          </cell>
          <cell r="H165" t="str">
            <v xml:space="preserve"> iPhone 17 Air</v>
          </cell>
          <cell r="I165">
            <v>309.95999999999998</v>
          </cell>
          <cell r="J165">
            <v>0.54999549436796002</v>
          </cell>
          <cell r="K165">
            <v>799</v>
          </cell>
          <cell r="L165" t="str">
            <v>iShop</v>
          </cell>
          <cell r="M165" t="str">
            <v>Discontinued</v>
          </cell>
          <cell r="N165" t="str">
            <v>150994-5085</v>
          </cell>
        </row>
        <row r="166">
          <cell r="A166" t="str">
            <v>Speck</v>
          </cell>
          <cell r="B166">
            <v>840168547135</v>
          </cell>
          <cell r="C166" t="str">
            <v>151008-3261</v>
          </cell>
          <cell r="D166" t="str">
            <v>840168547135</v>
          </cell>
          <cell r="E166" t="str">
            <v>Speck Presidio2 + MS iPhone 17 Deep Sea/Silver Metallic/Spell Blue</v>
          </cell>
          <cell r="F166" t="str">
            <v>Cases iPhone</v>
          </cell>
          <cell r="G166" t="str">
            <v>iPhone 17</v>
          </cell>
          <cell r="H166" t="str">
            <v>iPhone 17</v>
          </cell>
          <cell r="I166">
            <v>387.54</v>
          </cell>
          <cell r="J166">
            <v>0.55000360360360356</v>
          </cell>
          <cell r="K166">
            <v>999</v>
          </cell>
          <cell r="L166" t="str">
            <v>iShop</v>
          </cell>
          <cell r="M166" t="str">
            <v>Active</v>
          </cell>
          <cell r="N166" t="str">
            <v>151008-3261</v>
          </cell>
        </row>
        <row r="167">
          <cell r="A167" t="str">
            <v>Speck</v>
          </cell>
          <cell r="B167">
            <v>840168546145</v>
          </cell>
          <cell r="C167" t="str">
            <v>150958-D143</v>
          </cell>
          <cell r="D167" t="str">
            <v>840168546145</v>
          </cell>
          <cell r="E167" t="str">
            <v>Speck Presidio2 Grip + MS iPhone 17 Black</v>
          </cell>
          <cell r="F167" t="str">
            <v>Cases iPhone</v>
          </cell>
          <cell r="G167" t="str">
            <v>iPhone 17</v>
          </cell>
          <cell r="H167" t="str">
            <v>iPhone 17</v>
          </cell>
          <cell r="I167">
            <v>387.54</v>
          </cell>
          <cell r="J167">
            <v>0.55000360360360356</v>
          </cell>
          <cell r="K167">
            <v>999</v>
          </cell>
          <cell r="L167" t="str">
            <v>iShop</v>
          </cell>
          <cell r="M167" t="str">
            <v>Active</v>
          </cell>
          <cell r="N167" t="str">
            <v>150958-D143</v>
          </cell>
        </row>
        <row r="168">
          <cell r="A168" t="str">
            <v>Speck</v>
          </cell>
          <cell r="B168">
            <v>840168546138</v>
          </cell>
          <cell r="C168" t="str">
            <v>150957-D143</v>
          </cell>
          <cell r="D168" t="str">
            <v>840168546138</v>
          </cell>
          <cell r="E168" t="str">
            <v>Speck Presidio2 + MS iPhone 17 Black/Slate Grey/White</v>
          </cell>
          <cell r="F168" t="str">
            <v>Cases iPhone</v>
          </cell>
          <cell r="G168" t="str">
            <v>iPhone 17</v>
          </cell>
          <cell r="H168" t="str">
            <v>iPhone 17</v>
          </cell>
          <cell r="I168">
            <v>387.54</v>
          </cell>
          <cell r="J168">
            <v>0.55000360360360356</v>
          </cell>
          <cell r="K168">
            <v>999</v>
          </cell>
          <cell r="L168" t="str">
            <v>iShop</v>
          </cell>
          <cell r="M168" t="str">
            <v>Active</v>
          </cell>
          <cell r="N168" t="str">
            <v>150957-D143</v>
          </cell>
        </row>
        <row r="169">
          <cell r="A169" t="str">
            <v>Speck</v>
          </cell>
          <cell r="B169">
            <v>840168546732</v>
          </cell>
          <cell r="C169" t="str">
            <v>150992-5085</v>
          </cell>
          <cell r="D169" t="str">
            <v>840168546732</v>
          </cell>
          <cell r="E169" t="str">
            <v>Speck Gemshell Grip + MS iPhone 17 Clear</v>
          </cell>
          <cell r="F169" t="str">
            <v>Cases iPhone</v>
          </cell>
          <cell r="G169" t="str">
            <v>iPhone 17</v>
          </cell>
          <cell r="H169" t="str">
            <v>iPhone 17</v>
          </cell>
          <cell r="I169">
            <v>309.95999999999998</v>
          </cell>
          <cell r="J169">
            <v>0.54999549436796002</v>
          </cell>
          <cell r="K169">
            <v>799</v>
          </cell>
          <cell r="L169" t="str">
            <v>iShop</v>
          </cell>
          <cell r="M169" t="str">
            <v>Active</v>
          </cell>
          <cell r="N169" t="str">
            <v>150992-5085</v>
          </cell>
        </row>
        <row r="170">
          <cell r="A170" t="str">
            <v>Speck</v>
          </cell>
          <cell r="B170">
            <v>840168546107</v>
          </cell>
          <cell r="C170" t="str">
            <v>150954-3240</v>
          </cell>
          <cell r="D170" t="str">
            <v>840168546107</v>
          </cell>
          <cell r="E170" t="str">
            <v>Speck Presidio Perfect-Clear + MS iPhone 17 Clear</v>
          </cell>
          <cell r="F170" t="str">
            <v>Cases iPhone</v>
          </cell>
          <cell r="G170" t="str">
            <v>iPhone 17</v>
          </cell>
          <cell r="H170" t="str">
            <v>iPhone 17</v>
          </cell>
          <cell r="I170">
            <v>387.54</v>
          </cell>
          <cell r="J170">
            <v>0.55000360360360356</v>
          </cell>
          <cell r="K170">
            <v>999</v>
          </cell>
          <cell r="L170" t="str">
            <v>iShop</v>
          </cell>
          <cell r="M170" t="str">
            <v>Active</v>
          </cell>
          <cell r="N170" t="str">
            <v>150954-3240</v>
          </cell>
        </row>
        <row r="171">
          <cell r="A171" t="str">
            <v>Speck</v>
          </cell>
          <cell r="B171">
            <v>840168546282</v>
          </cell>
          <cell r="C171" t="str">
            <v>150967-D143</v>
          </cell>
          <cell r="D171" t="str">
            <v>840168546282</v>
          </cell>
          <cell r="E171" t="str">
            <v>Speck Presidio2 Grip + MS iPhone 17 iPhone 17 Air Black</v>
          </cell>
          <cell r="F171" t="str">
            <v>Cases iPhone</v>
          </cell>
          <cell r="G171" t="str">
            <v>iPhone 17</v>
          </cell>
          <cell r="H171" t="str">
            <v>iPhone 17 Air</v>
          </cell>
          <cell r="I171">
            <v>387.54</v>
          </cell>
          <cell r="J171">
            <v>0.55000360360360356</v>
          </cell>
          <cell r="K171">
            <v>999</v>
          </cell>
          <cell r="L171" t="str">
            <v>iShop</v>
          </cell>
          <cell r="M171" t="str">
            <v>Discontinued</v>
          </cell>
          <cell r="N171" t="str">
            <v>150967-D143</v>
          </cell>
        </row>
        <row r="172">
          <cell r="A172" t="str">
            <v>Speck</v>
          </cell>
          <cell r="B172">
            <v>840168546381</v>
          </cell>
          <cell r="C172" t="str">
            <v>150972-3240</v>
          </cell>
          <cell r="D172" t="str">
            <v>840168546381</v>
          </cell>
          <cell r="E172" t="str">
            <v>Speck Presidio Perfect-Clear + MS iPhone 17 Pro Clear</v>
          </cell>
          <cell r="F172" t="str">
            <v>Cases iPhone</v>
          </cell>
          <cell r="G172" t="str">
            <v>iPhone 17</v>
          </cell>
          <cell r="H172" t="str">
            <v>iPhone 17 Pro</v>
          </cell>
          <cell r="I172">
            <v>387.54</v>
          </cell>
          <cell r="J172">
            <v>0.55000360360360356</v>
          </cell>
          <cell r="K172">
            <v>999</v>
          </cell>
          <cell r="L172" t="str">
            <v>iShop</v>
          </cell>
          <cell r="M172" t="str">
            <v>Active</v>
          </cell>
          <cell r="N172" t="str">
            <v>150972-3240</v>
          </cell>
        </row>
        <row r="173">
          <cell r="A173" t="str">
            <v>Speck</v>
          </cell>
          <cell r="B173">
            <v>840168546428</v>
          </cell>
          <cell r="C173" t="str">
            <v>150976-D143</v>
          </cell>
          <cell r="D173" t="str">
            <v>840168546428</v>
          </cell>
          <cell r="E173" t="str">
            <v>Speck Presidio2 Grip + MS iPhone 17 Pro Black</v>
          </cell>
          <cell r="F173" t="str">
            <v>Cases iPhone</v>
          </cell>
          <cell r="G173" t="str">
            <v>iPhone 17</v>
          </cell>
          <cell r="H173" t="str">
            <v>iPhone 17 Pro</v>
          </cell>
          <cell r="I173">
            <v>387.54</v>
          </cell>
          <cell r="J173">
            <v>0.55000360360360356</v>
          </cell>
          <cell r="K173">
            <v>999</v>
          </cell>
          <cell r="L173" t="str">
            <v>iShop</v>
          </cell>
          <cell r="M173" t="str">
            <v>Active</v>
          </cell>
          <cell r="N173" t="str">
            <v>150976-D143</v>
          </cell>
        </row>
        <row r="174">
          <cell r="A174" t="str">
            <v>Speck</v>
          </cell>
          <cell r="B174">
            <v>840168546411</v>
          </cell>
          <cell r="C174" t="str">
            <v>150975-D143</v>
          </cell>
          <cell r="D174" t="str">
            <v>840168546411</v>
          </cell>
          <cell r="E174" t="str">
            <v>Speck Presidio2  + MS iPhone 17 Pro Black/Slate Grey/White</v>
          </cell>
          <cell r="F174" t="str">
            <v>Cases iPhone</v>
          </cell>
          <cell r="G174" t="str">
            <v>iPhone 17</v>
          </cell>
          <cell r="H174" t="str">
            <v>iPhone 17 Pro</v>
          </cell>
          <cell r="I174">
            <v>387.54</v>
          </cell>
          <cell r="J174">
            <v>0.55000360360360356</v>
          </cell>
          <cell r="K174">
            <v>999</v>
          </cell>
          <cell r="L174" t="str">
            <v>iShop</v>
          </cell>
          <cell r="M174" t="str">
            <v>Active</v>
          </cell>
          <cell r="N174" t="str">
            <v>150975-D143</v>
          </cell>
        </row>
        <row r="175">
          <cell r="A175" t="str">
            <v>Speck</v>
          </cell>
          <cell r="B175">
            <v>840168547302</v>
          </cell>
          <cell r="C175" t="str">
            <v>151020-3261</v>
          </cell>
          <cell r="D175" t="str">
            <v>840168547302</v>
          </cell>
          <cell r="E175" t="str">
            <v>Speck Presidio2  + MS iPhone 17 Pro Deep Sea/Silver Metallic/Spell Blue</v>
          </cell>
          <cell r="F175" t="str">
            <v>Cases iPhone</v>
          </cell>
          <cell r="G175" t="str">
            <v>iPhone 17</v>
          </cell>
          <cell r="H175" t="str">
            <v>iPhone 17 Pro</v>
          </cell>
          <cell r="I175">
            <v>387.54</v>
          </cell>
          <cell r="J175">
            <v>0.55000360360360356</v>
          </cell>
          <cell r="K175">
            <v>999</v>
          </cell>
          <cell r="L175" t="str">
            <v>iShop</v>
          </cell>
          <cell r="M175" t="str">
            <v>Active</v>
          </cell>
          <cell r="N175" t="str">
            <v>151020-3261</v>
          </cell>
        </row>
        <row r="176">
          <cell r="A176" t="str">
            <v>Speck</v>
          </cell>
          <cell r="B176">
            <v>840168546527</v>
          </cell>
          <cell r="C176" t="str">
            <v>150981-3240</v>
          </cell>
          <cell r="D176" t="str">
            <v>840168546527</v>
          </cell>
          <cell r="E176" t="str">
            <v>Speck Presidio Perfect-Clear  iPhone 17 Pro Max Clear</v>
          </cell>
          <cell r="F176" t="str">
            <v>Cases iPhone</v>
          </cell>
          <cell r="G176" t="str">
            <v>iPhone 17</v>
          </cell>
          <cell r="H176" t="str">
            <v>iPhone 17 Pro Max</v>
          </cell>
          <cell r="I176">
            <v>387.54</v>
          </cell>
          <cell r="J176">
            <v>0.55000360360360356</v>
          </cell>
          <cell r="K176">
            <v>999</v>
          </cell>
          <cell r="L176" t="str">
            <v>iShop</v>
          </cell>
          <cell r="M176" t="str">
            <v>Active</v>
          </cell>
          <cell r="N176" t="str">
            <v>150981-3240</v>
          </cell>
        </row>
        <row r="177">
          <cell r="A177" t="str">
            <v>Speck</v>
          </cell>
          <cell r="B177">
            <v>840168546565</v>
          </cell>
          <cell r="C177" t="str">
            <v>150985-D143</v>
          </cell>
          <cell r="D177" t="str">
            <v>840168546565</v>
          </cell>
          <cell r="E177" t="str">
            <v>Speck Presidio2 Grip + MS iPhone 17 Pro Max Black</v>
          </cell>
          <cell r="F177" t="str">
            <v>Cases iPhone</v>
          </cell>
          <cell r="G177" t="str">
            <v>iPhone 17</v>
          </cell>
          <cell r="H177" t="str">
            <v>iPhone 17 Pro Max</v>
          </cell>
          <cell r="I177">
            <v>387.54</v>
          </cell>
          <cell r="J177">
            <v>0.55000360360360356</v>
          </cell>
          <cell r="K177">
            <v>999</v>
          </cell>
          <cell r="L177" t="str">
            <v>iShop</v>
          </cell>
          <cell r="M177" t="str">
            <v>Discontinued</v>
          </cell>
          <cell r="N177" t="str">
            <v>150985-D143</v>
          </cell>
        </row>
        <row r="178">
          <cell r="A178" t="str">
            <v>Speck</v>
          </cell>
          <cell r="B178">
            <v>840168546558</v>
          </cell>
          <cell r="C178" t="str">
            <v>150984-D143</v>
          </cell>
          <cell r="D178" t="str">
            <v>840168546558</v>
          </cell>
          <cell r="E178" t="str">
            <v>Speck Presidio2 + MS iPhone 17 Pro Max Black/Slate Grey/White</v>
          </cell>
          <cell r="F178" t="str">
            <v>Cases iPhone</v>
          </cell>
          <cell r="G178" t="str">
            <v>iPhone 17</v>
          </cell>
          <cell r="H178" t="str">
            <v>iPhone 17 Pro Max</v>
          </cell>
          <cell r="I178">
            <v>387.54</v>
          </cell>
          <cell r="J178">
            <v>0.55000360360360356</v>
          </cell>
          <cell r="K178">
            <v>999</v>
          </cell>
          <cell r="L178" t="str">
            <v>iShop</v>
          </cell>
          <cell r="M178" t="str">
            <v>Active</v>
          </cell>
          <cell r="N178" t="str">
            <v>150984-D143</v>
          </cell>
        </row>
        <row r="179">
          <cell r="A179" t="str">
            <v>Speck</v>
          </cell>
          <cell r="B179">
            <v>840168547401</v>
          </cell>
          <cell r="C179" t="str">
            <v>151025-3261</v>
          </cell>
          <cell r="D179" t="str">
            <v>840168547401</v>
          </cell>
          <cell r="E179" t="str">
            <v>Speck Presidio2 + MS iPhone 17 Pro Max Deep Sea/Silver Metallic/Spell Blue</v>
          </cell>
          <cell r="F179" t="str">
            <v>Cases iPhone</v>
          </cell>
          <cell r="G179" t="str">
            <v>iPhone 17</v>
          </cell>
          <cell r="H179" t="str">
            <v>iPhone 17 Pro Max</v>
          </cell>
          <cell r="I179">
            <v>387.54</v>
          </cell>
          <cell r="J179">
            <v>0.55000360360360356</v>
          </cell>
          <cell r="K179">
            <v>999</v>
          </cell>
          <cell r="L179" t="str">
            <v>iShop</v>
          </cell>
          <cell r="M179" t="str">
            <v>Active</v>
          </cell>
          <cell r="N179" t="str">
            <v>151025-3261</v>
          </cell>
        </row>
        <row r="180">
          <cell r="A180" t="str">
            <v>Speck</v>
          </cell>
          <cell r="B180">
            <v>848709070142</v>
          </cell>
          <cell r="C180" t="str">
            <v>124747-C222</v>
          </cell>
          <cell r="D180" t="str">
            <v>848709070142</v>
          </cell>
          <cell r="E180" t="str">
            <v>Speck Candyshell Lite Case for iPhone 6/6s/7/8/SE 2/SE 3 - Quartz Pink</v>
          </cell>
          <cell r="F180" t="str">
            <v>Cases iPhone</v>
          </cell>
          <cell r="G180" t="str">
            <v>iPhone 6</v>
          </cell>
          <cell r="H180" t="str">
            <v>iPhone 6/6S/7/8/SE 2/SE 3 Cases</v>
          </cell>
          <cell r="I180">
            <v>232.24</v>
          </cell>
          <cell r="J180">
            <v>0.40000356347438759</v>
          </cell>
          <cell r="K180">
            <v>449</v>
          </cell>
          <cell r="L180" t="str">
            <v>iShop</v>
          </cell>
          <cell r="M180" t="str">
            <v>Discontinued</v>
          </cell>
          <cell r="N180" t="str">
            <v>124747-C222-M</v>
          </cell>
        </row>
        <row r="181">
          <cell r="A181" t="str">
            <v>Speck</v>
          </cell>
          <cell r="B181">
            <v>848709087416</v>
          </cell>
          <cell r="C181" t="str">
            <v>136812-7356</v>
          </cell>
          <cell r="D181" t="str">
            <v>848709087416</v>
          </cell>
          <cell r="E181" t="str">
            <v>Speck (Apple Excsluive) Presidio Perfect Clear with Grips for iPhone 7/8/SE 2/SE 3 - Bella Pink</v>
          </cell>
          <cell r="F181" t="str">
            <v>Cases iPhone</v>
          </cell>
          <cell r="G181" t="str">
            <v>iPhone 7</v>
          </cell>
          <cell r="H181" t="str">
            <v>iPhone 7/8/SE 2/SE 3 Cases</v>
          </cell>
          <cell r="I181">
            <v>387.54</v>
          </cell>
          <cell r="J181">
            <v>0.49994838709677414</v>
          </cell>
          <cell r="K181">
            <v>899</v>
          </cell>
          <cell r="L181" t="str">
            <v>iShop</v>
          </cell>
          <cell r="M181" t="str">
            <v>Discontinued</v>
          </cell>
          <cell r="N181" t="str">
            <v>136812-7356-M</v>
          </cell>
        </row>
        <row r="182">
          <cell r="A182" t="str">
            <v>Speck</v>
          </cell>
          <cell r="B182">
            <v>848709082992</v>
          </cell>
          <cell r="C182" t="str">
            <v>136212-5085</v>
          </cell>
          <cell r="D182" t="str">
            <v>848709082992</v>
          </cell>
          <cell r="E182" t="str">
            <v>Speck Presidio Perfect Clear Clear iPhone SE2</v>
          </cell>
          <cell r="F182" t="str">
            <v>Cases iPhone</v>
          </cell>
          <cell r="G182" t="str">
            <v>iPhone SE</v>
          </cell>
          <cell r="H182" t="str">
            <v>iPhone SE 2020 -2022</v>
          </cell>
          <cell r="I182">
            <v>516.72</v>
          </cell>
          <cell r="J182">
            <v>0.40000480480480471</v>
          </cell>
          <cell r="K182">
            <v>999</v>
          </cell>
          <cell r="L182" t="str">
            <v>iShop</v>
          </cell>
          <cell r="M182" t="str">
            <v>Discontinued</v>
          </cell>
          <cell r="N182" t="str">
            <v>136212-5085-M</v>
          </cell>
        </row>
        <row r="183">
          <cell r="A183" t="str">
            <v>Speck</v>
          </cell>
          <cell r="B183">
            <v>848709060709</v>
          </cell>
          <cell r="C183" t="str">
            <v>117577-5905</v>
          </cell>
          <cell r="D183" t="str">
            <v>848709060709</v>
          </cell>
          <cell r="E183" t="str">
            <v>Speck Presidio Show - Clear/Black iPhone SE2</v>
          </cell>
          <cell r="F183" t="str">
            <v>Cases iPhone</v>
          </cell>
          <cell r="G183" t="str">
            <v>iPhone SE</v>
          </cell>
          <cell r="H183" t="str">
            <v>iPhone SE 2020 -2022</v>
          </cell>
          <cell r="I183">
            <v>516.72</v>
          </cell>
          <cell r="J183">
            <v>0.40000480480480471</v>
          </cell>
          <cell r="K183">
            <v>999</v>
          </cell>
          <cell r="L183" t="str">
            <v>iShop</v>
          </cell>
          <cell r="M183" t="str">
            <v>Discontinued</v>
          </cell>
          <cell r="N183" t="str">
            <v>117577-5905-M</v>
          </cell>
        </row>
        <row r="184">
          <cell r="A184" t="str">
            <v>Speck</v>
          </cell>
          <cell r="B184">
            <v>848709070913</v>
          </cell>
          <cell r="C184" t="str">
            <v>124747-8198</v>
          </cell>
          <cell r="D184" t="str">
            <v>848709070913</v>
          </cell>
          <cell r="E184" t="str">
            <v>Speck Candyshell Lite - Blue iPhone SE2</v>
          </cell>
          <cell r="F184" t="str">
            <v>Cases iPhone</v>
          </cell>
          <cell r="G184" t="str">
            <v>iPhone SE</v>
          </cell>
          <cell r="H184" t="str">
            <v>iPhone SE 2020 -2022</v>
          </cell>
          <cell r="I184">
            <v>232.24</v>
          </cell>
          <cell r="J184">
            <v>0.40000356347438759</v>
          </cell>
          <cell r="K184">
            <v>449</v>
          </cell>
          <cell r="L184" t="str">
            <v>iShop</v>
          </cell>
          <cell r="M184" t="str">
            <v>Discontinued</v>
          </cell>
          <cell r="N184" t="str">
            <v>124747-8198-M</v>
          </cell>
        </row>
        <row r="185">
          <cell r="A185" t="str">
            <v>Speck</v>
          </cell>
          <cell r="B185">
            <v>848709082893</v>
          </cell>
          <cell r="C185" t="str">
            <v>136209-9136</v>
          </cell>
          <cell r="D185" t="str">
            <v>848709082893</v>
          </cell>
          <cell r="E185" t="str">
            <v>Speck Presidio 2 Pro Case - Purple iPhone hone SE2</v>
          </cell>
          <cell r="F185" t="str">
            <v>Cases iPhone</v>
          </cell>
          <cell r="G185" t="str">
            <v>iPhone SE</v>
          </cell>
          <cell r="H185" t="str">
            <v>iPhone SE 2020 -2022</v>
          </cell>
          <cell r="I185">
            <v>568.45000000000005</v>
          </cell>
          <cell r="J185">
            <v>0.39999818016378519</v>
          </cell>
          <cell r="K185">
            <v>1099</v>
          </cell>
          <cell r="L185" t="str">
            <v>iShop</v>
          </cell>
          <cell r="M185" t="str">
            <v>Discontinued</v>
          </cell>
          <cell r="N185" t="str">
            <v>136209-9136-M</v>
          </cell>
        </row>
        <row r="186">
          <cell r="A186" t="str">
            <v>Speck</v>
          </cell>
          <cell r="B186">
            <v>848709082916</v>
          </cell>
          <cell r="C186" t="str">
            <v>136209-D143</v>
          </cell>
          <cell r="D186" t="str">
            <v>848709082916</v>
          </cell>
          <cell r="E186" t="str">
            <v>Speck Presidio 2 Pro Case - Black iPhone hone SE2</v>
          </cell>
          <cell r="F186" t="str">
            <v>Cases iPhone</v>
          </cell>
          <cell r="G186" t="str">
            <v>iPhone SE</v>
          </cell>
          <cell r="H186" t="str">
            <v>iPhone SE 2020 -2022</v>
          </cell>
          <cell r="I186">
            <v>568.45000000000005</v>
          </cell>
          <cell r="J186">
            <v>0.39999818016378519</v>
          </cell>
          <cell r="K186">
            <v>1099</v>
          </cell>
          <cell r="L186" t="str">
            <v>iShop</v>
          </cell>
          <cell r="M186" t="str">
            <v>Discontinued</v>
          </cell>
          <cell r="N186" t="str">
            <v>136209-D143-M</v>
          </cell>
        </row>
        <row r="187">
          <cell r="A187" t="str">
            <v>Speck</v>
          </cell>
          <cell r="B187">
            <v>848709060693</v>
          </cell>
          <cell r="C187" t="str">
            <v>117576-6603</v>
          </cell>
          <cell r="D187" t="str">
            <v>848709060693</v>
          </cell>
          <cell r="E187" t="str">
            <v>Speck Presidio Clear +Glitter Pnk/G iPhone SE2</v>
          </cell>
          <cell r="F187" t="str">
            <v>Cases iPhone</v>
          </cell>
          <cell r="G187" t="str">
            <v>iPhone SE</v>
          </cell>
          <cell r="H187" t="str">
            <v>iPhone SE 2020 -2022</v>
          </cell>
          <cell r="I187">
            <v>387.41</v>
          </cell>
          <cell r="J187">
            <v>0.40000587449933245</v>
          </cell>
          <cell r="K187">
            <v>749</v>
          </cell>
          <cell r="L187" t="str">
            <v>iShop</v>
          </cell>
          <cell r="M187" t="str">
            <v>Discontinued</v>
          </cell>
          <cell r="N187" t="str">
            <v>117576-6603-M</v>
          </cell>
        </row>
        <row r="188">
          <cell r="A188" t="str">
            <v>Speck</v>
          </cell>
          <cell r="B188">
            <v>848709082862</v>
          </cell>
          <cell r="C188" t="str">
            <v>136209-9127</v>
          </cell>
          <cell r="D188" t="str">
            <v>848709082862</v>
          </cell>
          <cell r="E188" t="str">
            <v>Speck Presidio 2 Pro Case - Blue iPhone SE2</v>
          </cell>
          <cell r="F188" t="str">
            <v>Cases iPhone</v>
          </cell>
          <cell r="G188" t="str">
            <v>iPhone SE</v>
          </cell>
          <cell r="H188" t="str">
            <v>iPhone SE 2020 -2022</v>
          </cell>
          <cell r="I188">
            <v>568.45000000000005</v>
          </cell>
          <cell r="J188">
            <v>0.39999818016378519</v>
          </cell>
          <cell r="K188">
            <v>1099</v>
          </cell>
          <cell r="L188" t="str">
            <v>iShop</v>
          </cell>
          <cell r="M188" t="str">
            <v>Discontinued</v>
          </cell>
          <cell r="N188" t="str">
            <v>136209-9127-M</v>
          </cell>
        </row>
        <row r="189">
          <cell r="A189" t="str">
            <v>Speck</v>
          </cell>
          <cell r="B189">
            <v>848709082909</v>
          </cell>
          <cell r="C189" t="str">
            <v>136209-9145</v>
          </cell>
          <cell r="D189" t="str">
            <v>848709082909</v>
          </cell>
          <cell r="E189" t="str">
            <v>Speck Presidio 2 Pro Case - Green iPhone SE2</v>
          </cell>
          <cell r="F189" t="str">
            <v>Cases iPhone</v>
          </cell>
          <cell r="G189" t="str">
            <v>iPhone SE</v>
          </cell>
          <cell r="H189" t="str">
            <v>iPhone SE 2020 -2022</v>
          </cell>
          <cell r="I189">
            <v>568.45000000000005</v>
          </cell>
          <cell r="J189">
            <v>0.39999818016378519</v>
          </cell>
          <cell r="K189">
            <v>1099</v>
          </cell>
          <cell r="L189" t="str">
            <v>iShop</v>
          </cell>
          <cell r="M189" t="str">
            <v>Discontinued</v>
          </cell>
          <cell r="N189" t="str">
            <v>136209-9145-M</v>
          </cell>
        </row>
        <row r="190">
          <cell r="A190" t="str">
            <v>Speck</v>
          </cell>
          <cell r="B190">
            <v>848709047151</v>
          </cell>
          <cell r="C190" t="str">
            <v>103111-6244</v>
          </cell>
          <cell r="D190" t="str">
            <v>848709047151</v>
          </cell>
          <cell r="E190" t="str">
            <v>Speck Presidio Show - Clear/Rose Gold iPhone 8</v>
          </cell>
          <cell r="F190" t="str">
            <v>Cases iPhone</v>
          </cell>
          <cell r="G190" t="str">
            <v>iPhone SE</v>
          </cell>
          <cell r="H190" t="str">
            <v>iPhone SE 2020 -2022</v>
          </cell>
          <cell r="I190">
            <v>516.72</v>
          </cell>
          <cell r="J190">
            <v>0.40000480480480471</v>
          </cell>
          <cell r="K190">
            <v>999</v>
          </cell>
          <cell r="L190" t="str">
            <v>iShop</v>
          </cell>
          <cell r="M190" t="str">
            <v>Discontinued</v>
          </cell>
          <cell r="N190" t="str">
            <v>103111-6244-M</v>
          </cell>
        </row>
        <row r="191">
          <cell r="A191" t="str">
            <v>Speck</v>
          </cell>
          <cell r="B191">
            <v>848709001658</v>
          </cell>
          <cell r="C191" t="str">
            <v>71390-B681</v>
          </cell>
          <cell r="D191" t="str">
            <v>848709001658</v>
          </cell>
          <cell r="E191" t="str">
            <v>Speck Candyshell Fuchsia Pink iPad touch 6G</v>
          </cell>
          <cell r="F191" t="str">
            <v>Cases iPod</v>
          </cell>
          <cell r="G191" t="str">
            <v>iPod</v>
          </cell>
          <cell r="H191" t="str">
            <v>iPod Touch 6a</v>
          </cell>
          <cell r="I191">
            <v>154.66</v>
          </cell>
          <cell r="J191">
            <v>0.39998127090301006</v>
          </cell>
          <cell r="K191">
            <v>299</v>
          </cell>
          <cell r="L191" t="str">
            <v>iShop</v>
          </cell>
          <cell r="M191" t="str">
            <v>Discontinued</v>
          </cell>
          <cell r="N191" t="str">
            <v>71390-B681-M</v>
          </cell>
        </row>
        <row r="192">
          <cell r="A192" t="str">
            <v>Speck</v>
          </cell>
          <cell r="B192">
            <v>875912028806</v>
          </cell>
          <cell r="C192" t="str">
            <v>72143-B805</v>
          </cell>
          <cell r="D192" t="str">
            <v>875912028806</v>
          </cell>
          <cell r="E192" t="str">
            <v>Speck Candyshell GriPhone  Pink/Black iPod touch 6</v>
          </cell>
          <cell r="F192" t="str">
            <v>Cases iPod</v>
          </cell>
          <cell r="G192" t="str">
            <v>iPod</v>
          </cell>
          <cell r="H192" t="str">
            <v>iPod Touch 6a</v>
          </cell>
          <cell r="I192">
            <v>154.66</v>
          </cell>
          <cell r="J192">
            <v>0.39998127090301006</v>
          </cell>
          <cell r="K192">
            <v>299</v>
          </cell>
          <cell r="L192" t="str">
            <v>iShop</v>
          </cell>
          <cell r="M192" t="str">
            <v>Discontinued</v>
          </cell>
          <cell r="N192" t="str">
            <v>72143-B805-M</v>
          </cell>
        </row>
        <row r="193">
          <cell r="A193" t="str">
            <v>Speck</v>
          </cell>
          <cell r="B193">
            <v>875912028967</v>
          </cell>
          <cell r="C193" t="str">
            <v>72146-B155</v>
          </cell>
          <cell r="D193" t="str">
            <v>875912028967</v>
          </cell>
          <cell r="E193" t="str">
            <v>Speck Pixelskin Case - Green iPod touch 6G</v>
          </cell>
          <cell r="F193" t="str">
            <v>Cases iPod</v>
          </cell>
          <cell r="G193" t="str">
            <v>iPod</v>
          </cell>
          <cell r="H193" t="str">
            <v>iPod Touch 6a</v>
          </cell>
          <cell r="I193">
            <v>154.66</v>
          </cell>
          <cell r="J193">
            <v>0.39998127090301006</v>
          </cell>
          <cell r="K193">
            <v>299</v>
          </cell>
          <cell r="L193" t="str">
            <v>iShop</v>
          </cell>
          <cell r="M193" t="str">
            <v>Discontinued</v>
          </cell>
          <cell r="N193" t="str">
            <v>72146-B155-M</v>
          </cell>
        </row>
        <row r="194">
          <cell r="A194" t="str">
            <v>Speck</v>
          </cell>
          <cell r="B194">
            <v>848709095855</v>
          </cell>
          <cell r="C194" t="str">
            <v>138616-1212</v>
          </cell>
          <cell r="D194" t="str">
            <v>848709095855</v>
          </cell>
          <cell r="E194" t="str">
            <v>Speck Smartshell Case for Macbook Air 13" Retina 2020 - Clear</v>
          </cell>
          <cell r="F194" t="str">
            <v>Cases Macbook</v>
          </cell>
          <cell r="G194" t="str">
            <v>Macbook</v>
          </cell>
          <cell r="H194" t="str">
            <v>MacBook Air 13" M1 Cases</v>
          </cell>
          <cell r="I194">
            <v>430.6</v>
          </cell>
          <cell r="J194">
            <v>0.50000400400400402</v>
          </cell>
          <cell r="K194">
            <v>999</v>
          </cell>
          <cell r="L194" t="str">
            <v>iShop</v>
          </cell>
          <cell r="M194" t="str">
            <v>Discontinued</v>
          </cell>
          <cell r="N194" t="str">
            <v>138616-1212-M</v>
          </cell>
        </row>
        <row r="195">
          <cell r="A195" t="str">
            <v>Speck</v>
          </cell>
          <cell r="B195">
            <v>848709097941</v>
          </cell>
          <cell r="C195" t="str">
            <v>138970-9352</v>
          </cell>
          <cell r="D195" t="str">
            <v>848709097941</v>
          </cell>
          <cell r="E195" t="str">
            <v>Speck Smartshell Case for Macbook Air 13" Retina M1 2020 - Swell Blue</v>
          </cell>
          <cell r="F195" t="str">
            <v>Cases Macbook</v>
          </cell>
          <cell r="G195" t="str">
            <v>Macbook</v>
          </cell>
          <cell r="H195" t="str">
            <v>MacBook Air 13" M1 Cases</v>
          </cell>
          <cell r="I195">
            <v>697.76</v>
          </cell>
          <cell r="J195">
            <v>0.39999881393624914</v>
          </cell>
          <cell r="K195">
            <v>1349</v>
          </cell>
          <cell r="L195" t="str">
            <v>iShop</v>
          </cell>
          <cell r="M195" t="str">
            <v>Discontinued</v>
          </cell>
          <cell r="N195" t="str">
            <v>138970-9352-M</v>
          </cell>
        </row>
        <row r="196">
          <cell r="A196" t="str">
            <v>Speck</v>
          </cell>
          <cell r="B196">
            <v>848709095848</v>
          </cell>
          <cell r="C196" t="str">
            <v>138616-0581</v>
          </cell>
          <cell r="D196" t="str">
            <v>848709095848</v>
          </cell>
          <cell r="E196" t="str">
            <v>Speck Smartshell Onyx Black MacBook Air 13 Retina Display 2020</v>
          </cell>
          <cell r="F196" t="str">
            <v>Cases Macbook</v>
          </cell>
          <cell r="G196" t="str">
            <v>Macbook</v>
          </cell>
          <cell r="H196" t="str">
            <v>MacBook Air 13" M2 Cases</v>
          </cell>
          <cell r="I196">
            <v>697.76</v>
          </cell>
          <cell r="J196">
            <v>0.39999881393624914</v>
          </cell>
          <cell r="K196">
            <v>1349</v>
          </cell>
          <cell r="L196" t="str">
            <v>iShop</v>
          </cell>
          <cell r="M196" t="str">
            <v>Discontinued</v>
          </cell>
          <cell r="N196" t="str">
            <v>138616-0581-M</v>
          </cell>
        </row>
        <row r="197">
          <cell r="A197" t="str">
            <v>Speck</v>
          </cell>
          <cell r="B197">
            <v>848709071354</v>
          </cell>
          <cell r="C197" t="str">
            <v>126087-6010</v>
          </cell>
          <cell r="D197" t="str">
            <v>848709071354</v>
          </cell>
          <cell r="E197" t="str">
            <v>Speck Smartshell - Purple MacBook  Air 13 Rd</v>
          </cell>
          <cell r="F197" t="str">
            <v>Cases Macbook</v>
          </cell>
          <cell r="G197" t="str">
            <v>Macbook</v>
          </cell>
          <cell r="H197" t="str">
            <v>MacBook Air 13" M2 Cases</v>
          </cell>
          <cell r="I197">
            <v>568.45000000000005</v>
          </cell>
          <cell r="J197">
            <v>0.39999818016378519</v>
          </cell>
          <cell r="K197">
            <v>1099</v>
          </cell>
          <cell r="L197" t="str">
            <v>iShop</v>
          </cell>
          <cell r="M197" t="str">
            <v>Discontinued</v>
          </cell>
          <cell r="N197" t="str">
            <v>126087-6010-M</v>
          </cell>
        </row>
        <row r="198">
          <cell r="A198" t="str">
            <v>Speck</v>
          </cell>
          <cell r="B198">
            <v>848709071378</v>
          </cell>
          <cell r="C198" t="str">
            <v>126087-B189</v>
          </cell>
          <cell r="D198" t="str">
            <v>848709071378</v>
          </cell>
          <cell r="E198" t="str">
            <v>Speck Smartshell - Blue MacBook  Air 13 Rd</v>
          </cell>
          <cell r="F198" t="str">
            <v>Cases Macbook</v>
          </cell>
          <cell r="G198" t="str">
            <v>Macbook</v>
          </cell>
          <cell r="H198" t="str">
            <v>MacBook Air 13" M2 Cases</v>
          </cell>
          <cell r="I198">
            <v>568.45000000000005</v>
          </cell>
          <cell r="J198">
            <v>0.39999818016378519</v>
          </cell>
          <cell r="K198">
            <v>1099</v>
          </cell>
          <cell r="L198" t="str">
            <v>iShop</v>
          </cell>
          <cell r="M198" t="str">
            <v>Discontinued</v>
          </cell>
          <cell r="N198" t="str">
            <v>126087-B189-M</v>
          </cell>
        </row>
        <row r="199">
          <cell r="A199" t="str">
            <v>Speck</v>
          </cell>
          <cell r="B199">
            <v>848709071484</v>
          </cell>
          <cell r="C199" t="str">
            <v>126087-6011</v>
          </cell>
          <cell r="D199" t="str">
            <v>848709071484</v>
          </cell>
          <cell r="E199" t="str">
            <v>Speck Smartshell - Rose Pink MacBook  Air 13 Rd</v>
          </cell>
          <cell r="F199" t="str">
            <v>Cases Macbook</v>
          </cell>
          <cell r="G199" t="str">
            <v>Macbook</v>
          </cell>
          <cell r="H199" t="str">
            <v>MacBook Air 13" M2 Cases</v>
          </cell>
          <cell r="I199">
            <v>568.45000000000005</v>
          </cell>
          <cell r="J199">
            <v>0.39999818016378519</v>
          </cell>
          <cell r="K199">
            <v>1099</v>
          </cell>
          <cell r="L199" t="str">
            <v>iShop</v>
          </cell>
          <cell r="M199" t="str">
            <v>Discontinued</v>
          </cell>
          <cell r="N199" t="str">
            <v>126087-6011-M</v>
          </cell>
        </row>
        <row r="200">
          <cell r="A200" t="str">
            <v>Speck</v>
          </cell>
          <cell r="B200">
            <v>840168528141</v>
          </cell>
          <cell r="C200" t="str">
            <v>150225-3086</v>
          </cell>
          <cell r="D200" t="str">
            <v>840168528141</v>
          </cell>
          <cell r="E200" t="str">
            <v>Speck Smartshell Case for Macbook Air 13" M2 2022 - Cozy Pink</v>
          </cell>
          <cell r="F200" t="str">
            <v>Cases Macbook</v>
          </cell>
          <cell r="G200" t="str">
            <v>Macbook</v>
          </cell>
          <cell r="H200" t="str">
            <v>MacBook Air 13" M4/M3/M2</v>
          </cell>
          <cell r="I200">
            <v>538.36</v>
          </cell>
          <cell r="J200">
            <v>0.50000192153722978</v>
          </cell>
          <cell r="K200">
            <v>1249</v>
          </cell>
          <cell r="L200" t="str">
            <v>iShop</v>
          </cell>
          <cell r="M200" t="str">
            <v>Active</v>
          </cell>
          <cell r="N200" t="str">
            <v>150225-3086-M</v>
          </cell>
        </row>
        <row r="201">
          <cell r="A201" t="str">
            <v>Speck</v>
          </cell>
          <cell r="B201">
            <v>840168528127</v>
          </cell>
          <cell r="C201" t="str">
            <v>150225-9992</v>
          </cell>
          <cell r="D201" t="str">
            <v>840168528127</v>
          </cell>
          <cell r="E201" t="str">
            <v>Speck Smartshell Case for Macbook Air 13" M2 2022 - Clear</v>
          </cell>
          <cell r="F201" t="str">
            <v>Cases Macbook</v>
          </cell>
          <cell r="G201" t="str">
            <v>Macbook</v>
          </cell>
          <cell r="H201" t="str">
            <v>MacBook Air 13" M4/M3/M2</v>
          </cell>
          <cell r="I201">
            <v>430.6</v>
          </cell>
          <cell r="J201">
            <v>0.6000832666132907</v>
          </cell>
          <cell r="K201">
            <v>1249</v>
          </cell>
          <cell r="L201" t="str">
            <v>iShop</v>
          </cell>
          <cell r="M201" t="str">
            <v>Active</v>
          </cell>
          <cell r="N201" t="str">
            <v>150225-9992-M</v>
          </cell>
        </row>
        <row r="202">
          <cell r="A202" t="str">
            <v>Speck</v>
          </cell>
          <cell r="B202">
            <v>840168528134</v>
          </cell>
          <cell r="C202" t="str">
            <v>150225-3085</v>
          </cell>
          <cell r="D202" t="str">
            <v>840168528134</v>
          </cell>
          <cell r="E202" t="str">
            <v>Speck Smartshell Case for Macbook Air 13" M2 2022 - Obsidian</v>
          </cell>
          <cell r="F202" t="str">
            <v>Cases Macbook</v>
          </cell>
          <cell r="G202" t="str">
            <v>Macbook</v>
          </cell>
          <cell r="H202" t="str">
            <v>MacBook Air 13" M4/M3/M2</v>
          </cell>
          <cell r="I202">
            <v>430.6</v>
          </cell>
          <cell r="J202">
            <v>0.50000400400400402</v>
          </cell>
          <cell r="K202">
            <v>999</v>
          </cell>
          <cell r="L202" t="str">
            <v>iShop</v>
          </cell>
          <cell r="M202" t="str">
            <v>Active</v>
          </cell>
          <cell r="N202" t="str">
            <v>150225-3085-M</v>
          </cell>
        </row>
        <row r="203">
          <cell r="A203" t="str">
            <v>Speck</v>
          </cell>
          <cell r="B203">
            <v>840168538645</v>
          </cell>
          <cell r="C203" t="str">
            <v>150584-3085</v>
          </cell>
          <cell r="D203" t="str">
            <v>840168538645</v>
          </cell>
          <cell r="E203" t="str">
            <v>Speck Smartshell for Mackbook Air 15" - Obsidian/Sweater Grey</v>
          </cell>
          <cell r="F203" t="str">
            <v>Cases Macbook</v>
          </cell>
          <cell r="G203" t="str">
            <v>Macbook</v>
          </cell>
          <cell r="H203" t="str">
            <v>MacBook Air 15" M2/M3</v>
          </cell>
          <cell r="I203">
            <v>538.36</v>
          </cell>
          <cell r="J203">
            <v>0.50000192153722978</v>
          </cell>
          <cell r="K203">
            <v>1249</v>
          </cell>
          <cell r="L203" t="str">
            <v>iShop</v>
          </cell>
          <cell r="M203" t="str">
            <v>Active</v>
          </cell>
          <cell r="N203" t="str">
            <v>150584-3085-M</v>
          </cell>
        </row>
        <row r="204">
          <cell r="A204" t="str">
            <v>Speck</v>
          </cell>
          <cell r="B204">
            <v>840168538638</v>
          </cell>
          <cell r="C204" t="str">
            <v>150584-9992</v>
          </cell>
          <cell r="D204" t="str">
            <v>840168538638</v>
          </cell>
          <cell r="E204" t="str">
            <v>Speck Smartshell for Mackbook Air 15" - Clear/Sweater Grey</v>
          </cell>
          <cell r="F204" t="str">
            <v>Cases Macbook</v>
          </cell>
          <cell r="G204" t="str">
            <v>Macbook</v>
          </cell>
          <cell r="H204" t="str">
            <v>MacBook Air 15" M2/M3</v>
          </cell>
          <cell r="I204">
            <v>538.36</v>
          </cell>
          <cell r="J204">
            <v>0.50000192153722978</v>
          </cell>
          <cell r="K204">
            <v>1249</v>
          </cell>
          <cell r="L204" t="str">
            <v>iShop</v>
          </cell>
          <cell r="M204" t="str">
            <v>Active</v>
          </cell>
          <cell r="N204" t="str">
            <v>150584-9992-M</v>
          </cell>
        </row>
        <row r="205">
          <cell r="A205" t="str">
            <v>Speck</v>
          </cell>
          <cell r="B205">
            <v>840168538638</v>
          </cell>
          <cell r="C205" t="str">
            <v>150584-9992</v>
          </cell>
          <cell r="D205" t="str">
            <v>840168538638</v>
          </cell>
          <cell r="E205" t="str">
            <v>Speck Smartshell for Mackbook Air 15" - Clear/Sweater Grey</v>
          </cell>
          <cell r="F205" t="str">
            <v>Cases Macbook</v>
          </cell>
          <cell r="G205" t="str">
            <v>Macbook</v>
          </cell>
          <cell r="H205" t="str">
            <v>MacBook Air 15" M2/M3</v>
          </cell>
          <cell r="I205">
            <v>538.36</v>
          </cell>
          <cell r="J205">
            <v>0.50000192153722978</v>
          </cell>
          <cell r="K205">
            <v>1249</v>
          </cell>
          <cell r="L205" t="str">
            <v>iShop</v>
          </cell>
          <cell r="M205" t="str">
            <v>Active</v>
          </cell>
          <cell r="N205" t="str">
            <v>150584-9992-M</v>
          </cell>
        </row>
        <row r="206">
          <cell r="A206" t="str">
            <v>Speck</v>
          </cell>
          <cell r="B206">
            <v>840168538652</v>
          </cell>
          <cell r="C206" t="str">
            <v>150584-3086</v>
          </cell>
          <cell r="D206" t="str">
            <v>840168538652</v>
          </cell>
          <cell r="E206" t="str">
            <v>Speck Smartshell for Mackbook Air 15" - Cozy Pink/Sweater Grey</v>
          </cell>
          <cell r="F206" t="str">
            <v>Cases Macbook</v>
          </cell>
          <cell r="G206" t="str">
            <v>Macbook</v>
          </cell>
          <cell r="H206" t="str">
            <v>MacBook Air 15" M2/M3</v>
          </cell>
          <cell r="I206">
            <v>538.36</v>
          </cell>
          <cell r="J206">
            <v>0.50000192153722978</v>
          </cell>
          <cell r="K206">
            <v>1249</v>
          </cell>
          <cell r="L206" t="str">
            <v>iShop</v>
          </cell>
          <cell r="M206" t="str">
            <v>Discontinued</v>
          </cell>
          <cell r="N206" t="str">
            <v>150584-3086-M</v>
          </cell>
        </row>
        <row r="207">
          <cell r="A207" t="str">
            <v>Speck</v>
          </cell>
          <cell r="B207">
            <v>840168528110</v>
          </cell>
          <cell r="C207" t="str">
            <v>150224-3086</v>
          </cell>
          <cell r="D207" t="str">
            <v>840168528110</v>
          </cell>
          <cell r="E207" t="str">
            <v>Speck Smartshell Case for Macbook Pro 13" M2/M1 - Cozy Pink</v>
          </cell>
          <cell r="F207" t="str">
            <v>Cases Macbook</v>
          </cell>
          <cell r="G207" t="str">
            <v>Macbook</v>
          </cell>
          <cell r="H207" t="str">
            <v>MacBook Pro 13" M1/M2 Cases</v>
          </cell>
          <cell r="I207">
            <v>538.36</v>
          </cell>
          <cell r="J207">
            <v>0.50000192153722978</v>
          </cell>
          <cell r="K207">
            <v>1249</v>
          </cell>
          <cell r="L207" t="str">
            <v>iShop</v>
          </cell>
          <cell r="M207" t="str">
            <v>Discontinued</v>
          </cell>
          <cell r="N207" t="str">
            <v>150224-3086-M</v>
          </cell>
        </row>
        <row r="208">
          <cell r="A208" t="str">
            <v>Speck</v>
          </cell>
          <cell r="B208">
            <v>848709097910</v>
          </cell>
          <cell r="C208" t="str">
            <v>138969-9352</v>
          </cell>
          <cell r="D208" t="str">
            <v>848709097910</v>
          </cell>
          <cell r="E208" t="str">
            <v>Speck Smartshell Case Swell Blue MacBook Pro 13</v>
          </cell>
          <cell r="F208" t="str">
            <v>Cases Macbook</v>
          </cell>
          <cell r="G208" t="str">
            <v>Macbook</v>
          </cell>
          <cell r="H208" t="str">
            <v>MacBook Pro 13" M1/M2 Cases</v>
          </cell>
          <cell r="I208">
            <v>697.76</v>
          </cell>
          <cell r="J208">
            <v>0.39999881393624914</v>
          </cell>
          <cell r="K208">
            <v>1349</v>
          </cell>
          <cell r="L208" t="str">
            <v>iShop</v>
          </cell>
          <cell r="M208" t="str">
            <v>Discontinued</v>
          </cell>
          <cell r="N208" t="str">
            <v>138969-9352-M</v>
          </cell>
        </row>
        <row r="209">
          <cell r="A209" t="str">
            <v>Speck</v>
          </cell>
          <cell r="B209">
            <v>848709097934</v>
          </cell>
          <cell r="C209" t="str">
            <v>138969-9354</v>
          </cell>
          <cell r="D209" t="str">
            <v>848709097934</v>
          </cell>
          <cell r="E209" t="str">
            <v>Speck Smartshell Case Crystal Pink MacBook Pro  13</v>
          </cell>
          <cell r="F209" t="str">
            <v>Cases Macbook</v>
          </cell>
          <cell r="G209" t="str">
            <v>Macbook</v>
          </cell>
          <cell r="H209" t="str">
            <v>MacBook Pro 13" M1/M2 Cases</v>
          </cell>
          <cell r="I209">
            <v>697.76</v>
          </cell>
          <cell r="J209">
            <v>0.39999881393624914</v>
          </cell>
          <cell r="K209">
            <v>1349</v>
          </cell>
          <cell r="L209" t="str">
            <v>iShop</v>
          </cell>
          <cell r="M209" t="str">
            <v>Discontinued</v>
          </cell>
          <cell r="N209" t="str">
            <v>138969-9354-M</v>
          </cell>
        </row>
        <row r="210">
          <cell r="A210" t="str">
            <v>Speck</v>
          </cell>
          <cell r="B210">
            <v>848709040909</v>
          </cell>
          <cell r="C210" t="str">
            <v>90206-0581</v>
          </cell>
          <cell r="D210" t="str">
            <v>848709040909</v>
          </cell>
          <cell r="E210" t="str">
            <v>Speck Smartshell Case - Black MacBook Pro  13 T&amp;B</v>
          </cell>
          <cell r="F210" t="str">
            <v>Cases Macbook</v>
          </cell>
          <cell r="G210" t="str">
            <v>Macbook</v>
          </cell>
          <cell r="H210" t="str">
            <v>MacBook Pro 13" M1/M2 Cases</v>
          </cell>
          <cell r="I210">
            <v>542.59</v>
          </cell>
          <cell r="J210">
            <v>0.39999580552907532</v>
          </cell>
          <cell r="K210">
            <v>1049</v>
          </cell>
          <cell r="L210" t="str">
            <v>iShop</v>
          </cell>
          <cell r="M210" t="str">
            <v>Discontinued</v>
          </cell>
          <cell r="N210" t="str">
            <v>90206-0581-M</v>
          </cell>
        </row>
        <row r="211">
          <cell r="A211" t="str">
            <v>Speck</v>
          </cell>
          <cell r="B211">
            <v>848709040916</v>
          </cell>
          <cell r="C211" t="str">
            <v>90206-1212</v>
          </cell>
          <cell r="D211" t="str">
            <v>848709040916</v>
          </cell>
          <cell r="E211" t="str">
            <v>Speck Smartshell Case - Clear MacBook Pro  13 T&amp;B</v>
          </cell>
          <cell r="F211" t="str">
            <v>Cases Macbook</v>
          </cell>
          <cell r="G211" t="str">
            <v>Macbook</v>
          </cell>
          <cell r="H211" t="str">
            <v>MacBook Pro 13" M1/M2 Cases</v>
          </cell>
          <cell r="I211">
            <v>542.59</v>
          </cell>
          <cell r="J211">
            <v>0.39999580552907532</v>
          </cell>
          <cell r="K211">
            <v>1049</v>
          </cell>
          <cell r="L211" t="str">
            <v>iShop</v>
          </cell>
          <cell r="M211" t="str">
            <v>Discontinued</v>
          </cell>
          <cell r="N211" t="str">
            <v>90206-1212-M</v>
          </cell>
        </row>
        <row r="212">
          <cell r="A212" t="str">
            <v>Speck</v>
          </cell>
          <cell r="B212">
            <v>848709038135</v>
          </cell>
          <cell r="C212" t="str">
            <v>86400-5636</v>
          </cell>
          <cell r="D212" t="str">
            <v>848709038135</v>
          </cell>
          <cell r="E212" t="str">
            <v>Speck Smartshell - Clear For MacBook Pro 13 Rd</v>
          </cell>
          <cell r="F212" t="str">
            <v>Cases Macbook</v>
          </cell>
          <cell r="G212" t="str">
            <v>Macbook</v>
          </cell>
          <cell r="H212" t="str">
            <v>MacBook Pro 13" M1/M2 Cases</v>
          </cell>
          <cell r="I212">
            <v>651.21</v>
          </cell>
          <cell r="J212">
            <v>0.39999714058776803</v>
          </cell>
          <cell r="K212">
            <v>1259</v>
          </cell>
          <cell r="L212" t="str">
            <v>iShop</v>
          </cell>
          <cell r="M212" t="str">
            <v>Discontinued</v>
          </cell>
          <cell r="N212" t="str">
            <v>86400-5636-M</v>
          </cell>
        </row>
        <row r="213">
          <cell r="A213" t="str">
            <v>Speck</v>
          </cell>
          <cell r="B213">
            <v>840168505982</v>
          </cell>
          <cell r="C213" t="str">
            <v>141765-9356</v>
          </cell>
          <cell r="D213" t="str">
            <v>840168505982</v>
          </cell>
          <cell r="E213" t="str">
            <v>Speck Presidio Perfect Clr Geo Clr/Pnk 13</v>
          </cell>
          <cell r="F213" t="str">
            <v>Cases Macbook</v>
          </cell>
          <cell r="G213" t="str">
            <v>Macbook</v>
          </cell>
          <cell r="H213" t="str">
            <v>MacBook Pro 13" M1/M2 Cases</v>
          </cell>
          <cell r="I213">
            <v>620.16999999999996</v>
          </cell>
          <cell r="J213">
            <v>0.40000233527939955</v>
          </cell>
          <cell r="K213">
            <v>1199</v>
          </cell>
          <cell r="L213" t="str">
            <v>iShop</v>
          </cell>
          <cell r="M213" t="str">
            <v>Discontinued</v>
          </cell>
          <cell r="N213" t="str">
            <v>141765-9356-M</v>
          </cell>
        </row>
        <row r="214">
          <cell r="A214" t="str">
            <v>Speck</v>
          </cell>
          <cell r="B214">
            <v>848709040978</v>
          </cell>
          <cell r="C214" t="str">
            <v>90207-5636</v>
          </cell>
          <cell r="D214" t="str">
            <v>848709040978</v>
          </cell>
          <cell r="E214" t="str">
            <v>Speck Smartshell Clear Gld Glitter MacBook Pro 13</v>
          </cell>
          <cell r="F214" t="str">
            <v>Cases Macbook</v>
          </cell>
          <cell r="G214" t="str">
            <v>Macbook</v>
          </cell>
          <cell r="H214" t="str">
            <v>MacBook Pro 13" M1/M2 Cases</v>
          </cell>
          <cell r="I214">
            <v>651.21</v>
          </cell>
          <cell r="J214">
            <v>0.39999714058776803</v>
          </cell>
          <cell r="K214">
            <v>1259</v>
          </cell>
          <cell r="L214" t="str">
            <v>iShop</v>
          </cell>
          <cell r="M214" t="str">
            <v>Discontinued</v>
          </cell>
          <cell r="N214" t="str">
            <v>90207-5636-M</v>
          </cell>
        </row>
        <row r="215">
          <cell r="A215" t="str">
            <v>Speck</v>
          </cell>
          <cell r="B215">
            <v>840168516728</v>
          </cell>
          <cell r="C215" t="str">
            <v>144896-9352</v>
          </cell>
          <cell r="D215" t="str">
            <v>840168516728</v>
          </cell>
          <cell r="E215" t="str">
            <v>Speck Smartshell Case with Microban for Macbook Pro 14" M1/M2 - Swell Blue</v>
          </cell>
          <cell r="F215" t="str">
            <v>Cases Macbook</v>
          </cell>
          <cell r="G215" t="str">
            <v>Macbook</v>
          </cell>
          <cell r="H215" t="str">
            <v>MacBook Pro 14" M1/M2 Cases</v>
          </cell>
          <cell r="I215">
            <v>430.6</v>
          </cell>
          <cell r="J215">
            <v>0.50000400400400402</v>
          </cell>
          <cell r="K215">
            <v>999</v>
          </cell>
          <cell r="L215" t="str">
            <v>iShop</v>
          </cell>
          <cell r="M215" t="str">
            <v>Active</v>
          </cell>
          <cell r="N215" t="str">
            <v>144896-9352-M</v>
          </cell>
        </row>
        <row r="216">
          <cell r="A216" t="str">
            <v>Speck</v>
          </cell>
          <cell r="B216">
            <v>840168516001</v>
          </cell>
          <cell r="C216" t="str">
            <v>144896-1212</v>
          </cell>
          <cell r="D216" t="str">
            <v>840168516001</v>
          </cell>
          <cell r="E216" t="str">
            <v>Speck Smartshell Case with Microban for Macbook Pro 14" M1/M2 - Clear</v>
          </cell>
          <cell r="F216" t="str">
            <v>Cases Macbook</v>
          </cell>
          <cell r="G216" t="str">
            <v>Macbook</v>
          </cell>
          <cell r="H216" t="str">
            <v>MacBook Pro 14" M1/M2 Cases</v>
          </cell>
          <cell r="I216">
            <v>646.03</v>
          </cell>
          <cell r="J216">
            <v>0.40000416333066457</v>
          </cell>
          <cell r="K216">
            <v>1249</v>
          </cell>
          <cell r="L216" t="str">
            <v>iShop</v>
          </cell>
          <cell r="M216" t="str">
            <v>Discontinued</v>
          </cell>
          <cell r="N216" t="str">
            <v>144896-1212-M</v>
          </cell>
        </row>
        <row r="217">
          <cell r="A217" t="str">
            <v>Speck</v>
          </cell>
          <cell r="B217">
            <v>840168516735</v>
          </cell>
          <cell r="C217" t="str">
            <v>144896-9354</v>
          </cell>
          <cell r="D217" t="str">
            <v>840168516735</v>
          </cell>
          <cell r="E217" t="str">
            <v>Speck Smartshell Case with Microban for Macbook Pro 14" M1/M2 - Crystal Pink</v>
          </cell>
          <cell r="F217" t="str">
            <v>Cases Macbook</v>
          </cell>
          <cell r="G217" t="str">
            <v>Macbook</v>
          </cell>
          <cell r="H217" t="str">
            <v>MacBook Pro 14" M1/M2 Cases</v>
          </cell>
          <cell r="I217">
            <v>646.03</v>
          </cell>
          <cell r="J217">
            <v>0.40000416333066457</v>
          </cell>
          <cell r="K217">
            <v>1249</v>
          </cell>
          <cell r="L217" t="str">
            <v>iShop</v>
          </cell>
          <cell r="M217" t="str">
            <v>Discontinued</v>
          </cell>
          <cell r="N217" t="str">
            <v>144896-9354-M</v>
          </cell>
        </row>
        <row r="218">
          <cell r="A218" t="str">
            <v>Speck</v>
          </cell>
          <cell r="B218">
            <v>840168516711</v>
          </cell>
          <cell r="C218" t="str">
            <v>144896-0581</v>
          </cell>
          <cell r="D218" t="str">
            <v>840168516711</v>
          </cell>
          <cell r="E218" t="str">
            <v>Speck Smartshell Case with Microban for Macbook Pro 14" M1/M2 - Onix Black</v>
          </cell>
          <cell r="F218" t="str">
            <v>Cases Macbook</v>
          </cell>
          <cell r="G218" t="str">
            <v>Macbook</v>
          </cell>
          <cell r="H218" t="str">
            <v>MacBook Pro 14" M1/M2 Cases</v>
          </cell>
          <cell r="I218">
            <v>646.03</v>
          </cell>
          <cell r="J218">
            <v>0.40000416333066457</v>
          </cell>
          <cell r="K218">
            <v>1249</v>
          </cell>
          <cell r="L218" t="str">
            <v>iShop</v>
          </cell>
          <cell r="M218" t="str">
            <v>Discontinued</v>
          </cell>
          <cell r="N218" t="str">
            <v>144896-0581-M</v>
          </cell>
        </row>
        <row r="219">
          <cell r="A219" t="str">
            <v>Speck</v>
          </cell>
          <cell r="B219">
            <v>840168515981</v>
          </cell>
          <cell r="C219" t="str">
            <v>144895-9352</v>
          </cell>
          <cell r="D219" t="str">
            <v>840168515981</v>
          </cell>
          <cell r="E219" t="str">
            <v>Speck Smartshell Case with Microban for MacBook Pro 16" M1/M2 - Swell Blue</v>
          </cell>
          <cell r="F219" t="str">
            <v>Cases Macbook</v>
          </cell>
          <cell r="G219" t="str">
            <v>Macbook</v>
          </cell>
          <cell r="H219" t="str">
            <v>MacBook Pro 16" M1/M2 Cases</v>
          </cell>
          <cell r="I219">
            <v>538.37</v>
          </cell>
          <cell r="J219">
            <v>0.49999263410728589</v>
          </cell>
          <cell r="K219">
            <v>1249</v>
          </cell>
          <cell r="L219" t="str">
            <v>iShop</v>
          </cell>
          <cell r="M219" t="str">
            <v>Discontinued</v>
          </cell>
          <cell r="N219" t="str">
            <v>144895-9352-M</v>
          </cell>
        </row>
        <row r="220">
          <cell r="A220" t="str">
            <v>Speck</v>
          </cell>
          <cell r="B220">
            <v>840168515967</v>
          </cell>
          <cell r="C220" t="str">
            <v>144895-1212</v>
          </cell>
          <cell r="D220" t="str">
            <v>840168515967</v>
          </cell>
          <cell r="E220" t="str">
            <v>Speck Smartshell Case with Microban for MacBook Pro 16" M1/M2 - Clear</v>
          </cell>
          <cell r="F220" t="str">
            <v>Cases Macbook</v>
          </cell>
          <cell r="G220" t="str">
            <v>Macbook</v>
          </cell>
          <cell r="H220" t="str">
            <v>MacBook Pro 16" M1/M2 Cases</v>
          </cell>
          <cell r="I220">
            <v>538.37</v>
          </cell>
          <cell r="J220">
            <v>0.49999263410728589</v>
          </cell>
          <cell r="K220">
            <v>1249</v>
          </cell>
          <cell r="L220" t="str">
            <v>iShop</v>
          </cell>
          <cell r="M220" t="str">
            <v>Discontinued</v>
          </cell>
          <cell r="N220" t="str">
            <v>144895-1212-M</v>
          </cell>
        </row>
        <row r="221">
          <cell r="A221" t="str">
            <v>Speck</v>
          </cell>
          <cell r="B221">
            <v>848709089946</v>
          </cell>
          <cell r="C221" t="str">
            <v>137270-9246</v>
          </cell>
          <cell r="D221" t="str">
            <v>848709089946</v>
          </cell>
          <cell r="E221" t="str">
            <v>Speck Smartshell - Swell Blue Mb Pro 16</v>
          </cell>
          <cell r="F221" t="str">
            <v>Cases Macbook</v>
          </cell>
          <cell r="G221" t="str">
            <v>Macbook</v>
          </cell>
          <cell r="H221" t="str">
            <v>MacBook Pro 16" M1/M2 Cases</v>
          </cell>
          <cell r="I221">
            <v>697.76</v>
          </cell>
          <cell r="J221">
            <v>0.39999881393624914</v>
          </cell>
          <cell r="K221">
            <v>1349</v>
          </cell>
          <cell r="L221" t="str">
            <v>iShop</v>
          </cell>
          <cell r="M221" t="str">
            <v>Discontinued</v>
          </cell>
          <cell r="N221" t="str">
            <v>137270-9246-M</v>
          </cell>
        </row>
        <row r="222">
          <cell r="A222" t="str">
            <v>Speck</v>
          </cell>
          <cell r="B222">
            <v>840168515974</v>
          </cell>
          <cell r="C222" t="str">
            <v>144895-0581</v>
          </cell>
          <cell r="D222" t="str">
            <v>840168515974</v>
          </cell>
          <cell r="E222" t="str">
            <v>Speck Smartshell Case with Microban for Macbook Pro 16" M1 Pro/M1 Max - Onix Black</v>
          </cell>
          <cell r="F222" t="str">
            <v>Cases Macbook</v>
          </cell>
          <cell r="G222" t="str">
            <v>Macbook</v>
          </cell>
          <cell r="H222" t="str">
            <v>MacBook Pro 16" Touch Bar Cases</v>
          </cell>
          <cell r="I222">
            <v>538.37</v>
          </cell>
          <cell r="J222">
            <v>0.49999263410728589</v>
          </cell>
          <cell r="K222">
            <v>1249</v>
          </cell>
          <cell r="L222" t="str">
            <v>iShop</v>
          </cell>
          <cell r="M222" t="str">
            <v>Discontinued</v>
          </cell>
          <cell r="N222" t="str">
            <v>144895-0581-M</v>
          </cell>
        </row>
        <row r="223">
          <cell r="A223" t="str">
            <v>Speck</v>
          </cell>
          <cell r="B223">
            <v>840168515998</v>
          </cell>
          <cell r="C223" t="str">
            <v>144895-9354</v>
          </cell>
          <cell r="D223" t="str">
            <v>840168515998</v>
          </cell>
          <cell r="E223" t="str">
            <v>Speck Smartshell Case with Microban for Macbook Pro 16" M1 Pro/M1 Max - Crystal Pi</v>
          </cell>
          <cell r="F223" t="str">
            <v>Cases Macbook</v>
          </cell>
          <cell r="G223" t="str">
            <v>Macbook</v>
          </cell>
          <cell r="H223" t="str">
            <v>MacBook Pro 16" Touch Bar Cases</v>
          </cell>
          <cell r="I223">
            <v>538.37</v>
          </cell>
          <cell r="J223">
            <v>0.451703950834065</v>
          </cell>
          <cell r="K223">
            <v>1139</v>
          </cell>
          <cell r="L223" t="str">
            <v>iShop</v>
          </cell>
          <cell r="M223" t="str">
            <v>Discontinued</v>
          </cell>
          <cell r="N223" t="str">
            <v>144895-9354-M</v>
          </cell>
        </row>
        <row r="224">
          <cell r="A224" t="str">
            <v>Speck</v>
          </cell>
          <cell r="B224">
            <v>848709087171</v>
          </cell>
          <cell r="C224" t="str">
            <v>127573-9166</v>
          </cell>
          <cell r="D224" t="str">
            <v>848709087171</v>
          </cell>
          <cell r="E224" t="str">
            <v>Speck Transfer Pro Pocket Universal Sleeve 13"/14" - Sweater Grey/Coastal Blue</v>
          </cell>
          <cell r="F224" t="str">
            <v>Cases Sleeves</v>
          </cell>
          <cell r="G224" t="str">
            <v>Sleeves</v>
          </cell>
          <cell r="H224" t="str">
            <v>13" Sleeves</v>
          </cell>
          <cell r="I224">
            <v>430.6</v>
          </cell>
          <cell r="J224">
            <v>0.50000400400400402</v>
          </cell>
          <cell r="K224">
            <v>999</v>
          </cell>
          <cell r="L224" t="str">
            <v>iShop</v>
          </cell>
          <cell r="M224" t="str">
            <v>Discontinued</v>
          </cell>
          <cell r="N224" t="str">
            <v>127573-9166-M</v>
          </cell>
        </row>
        <row r="225">
          <cell r="A225" t="str">
            <v>Speck</v>
          </cell>
          <cell r="B225">
            <v>848709073143</v>
          </cell>
          <cell r="C225" t="str">
            <v>127573-8336</v>
          </cell>
          <cell r="D225" t="str">
            <v>848709073143</v>
          </cell>
          <cell r="E225" t="str">
            <v>Speck Transfer Pro Pocket Universal Sleeve 13"/14" - City Grey/Rose Gold Pink</v>
          </cell>
          <cell r="F225" t="str">
            <v>Cases Sleeves</v>
          </cell>
          <cell r="G225" t="str">
            <v>Sleeves</v>
          </cell>
          <cell r="H225" t="str">
            <v>13" Sleeves</v>
          </cell>
          <cell r="I225">
            <v>430.6</v>
          </cell>
          <cell r="J225">
            <v>0.50000400400400402</v>
          </cell>
          <cell r="K225">
            <v>999</v>
          </cell>
          <cell r="L225" t="str">
            <v>iShop</v>
          </cell>
          <cell r="M225" t="str">
            <v>Discontinued</v>
          </cell>
          <cell r="N225" t="str">
            <v>127573-8336-M</v>
          </cell>
        </row>
        <row r="226">
          <cell r="A226" t="str">
            <v>Speck</v>
          </cell>
          <cell r="B226">
            <v>848709087164</v>
          </cell>
          <cell r="C226" t="str">
            <v>127573-9166</v>
          </cell>
          <cell r="D226" t="str">
            <v>848709087164</v>
          </cell>
          <cell r="E226" t="str">
            <v>Speck Transfer Pro Pocket Universal Sleeve 13"/14" - Sweater Grey/Coastal Blue</v>
          </cell>
          <cell r="F226" t="str">
            <v>Cases Sleeves</v>
          </cell>
          <cell r="G226" t="str">
            <v>Sleeves</v>
          </cell>
          <cell r="H226" t="str">
            <v>13" Sleeves</v>
          </cell>
          <cell r="I226">
            <v>430.6</v>
          </cell>
          <cell r="J226">
            <v>0.50000400400400402</v>
          </cell>
          <cell r="K226">
            <v>999</v>
          </cell>
          <cell r="L226" t="str">
            <v>iShop</v>
          </cell>
          <cell r="M226" t="str">
            <v>Active</v>
          </cell>
          <cell r="N226" t="str">
            <v>127573-9166-M</v>
          </cell>
        </row>
        <row r="227">
          <cell r="A227" t="str">
            <v>Tech21</v>
          </cell>
          <cell r="B227">
            <v>5056586746745</v>
          </cell>
          <cell r="C227" t="str">
            <v>T21-11240</v>
          </cell>
          <cell r="D227" t="str">
            <v>5056586746745</v>
          </cell>
          <cell r="E227" t="str">
            <v>Tech21 EvoLite for AirPods 4 - Clear</v>
          </cell>
          <cell r="F227" t="str">
            <v>Cases Airpods</v>
          </cell>
          <cell r="G227" t="str">
            <v>Airpods</v>
          </cell>
          <cell r="H227" t="str">
            <v>Airpods 4</v>
          </cell>
          <cell r="I227">
            <v>174.18</v>
          </cell>
          <cell r="J227">
            <v>0.74712290362953693</v>
          </cell>
          <cell r="K227">
            <v>799</v>
          </cell>
          <cell r="L227" t="str">
            <v>iShop</v>
          </cell>
          <cell r="M227" t="str">
            <v>Active</v>
          </cell>
          <cell r="N227" t="str">
            <v>T21-11240</v>
          </cell>
        </row>
        <row r="228">
          <cell r="A228" t="str">
            <v>Tech21</v>
          </cell>
          <cell r="B228">
            <v>5056586724309</v>
          </cell>
          <cell r="C228" t="str">
            <v>T21-10441</v>
          </cell>
          <cell r="D228" t="str">
            <v>5056586724309</v>
          </cell>
          <cell r="E228" t="str">
            <v>Tech21 EvoLite for iPhone 15 - Lavender</v>
          </cell>
          <cell r="F228" t="str">
            <v>Cases iPhone</v>
          </cell>
          <cell r="G228" t="str">
            <v>iPhone 15</v>
          </cell>
          <cell r="H228" t="str">
            <v>iPhone 16e / 15 / 14 / 13</v>
          </cell>
          <cell r="I228">
            <v>215.09</v>
          </cell>
          <cell r="J228">
            <v>0.4999911823647295</v>
          </cell>
          <cell r="K228">
            <v>499</v>
          </cell>
          <cell r="L228" t="str">
            <v>iShop</v>
          </cell>
          <cell r="M228" t="str">
            <v>Discontinued</v>
          </cell>
          <cell r="N228" t="str">
            <v>T21-10441</v>
          </cell>
        </row>
        <row r="229">
          <cell r="A229" t="str">
            <v>Tech21</v>
          </cell>
          <cell r="B229">
            <v>5056586721094</v>
          </cell>
          <cell r="C229" t="str">
            <v>T21-10260</v>
          </cell>
          <cell r="D229" t="str">
            <v>5056586721094</v>
          </cell>
          <cell r="E229" t="str">
            <v>Tech21 EvoLite for iPhone 15 - Clear</v>
          </cell>
          <cell r="F229" t="str">
            <v>Cases iPhone</v>
          </cell>
          <cell r="G229" t="str">
            <v>iPhone 15</v>
          </cell>
          <cell r="H229" t="str">
            <v>iPhone 16e / 15 / 14 / 13</v>
          </cell>
          <cell r="I229">
            <v>215.09</v>
          </cell>
          <cell r="J229">
            <v>0.4999911823647295</v>
          </cell>
          <cell r="K229">
            <v>499</v>
          </cell>
          <cell r="L229" t="str">
            <v>iShop</v>
          </cell>
          <cell r="M229" t="str">
            <v>Discontinued</v>
          </cell>
          <cell r="N229" t="str">
            <v>T21-10260</v>
          </cell>
        </row>
        <row r="230">
          <cell r="A230" t="str">
            <v>Tech21</v>
          </cell>
          <cell r="B230">
            <v>5056586721032</v>
          </cell>
          <cell r="C230" t="str">
            <v>T21-10258</v>
          </cell>
          <cell r="D230" t="str">
            <v>5056586721032</v>
          </cell>
          <cell r="E230" t="str">
            <v>Tech21 EvoClear for iPhone 15 - Clear</v>
          </cell>
          <cell r="F230" t="str">
            <v>Cases iPhone</v>
          </cell>
          <cell r="G230" t="str">
            <v>iPhone 15</v>
          </cell>
          <cell r="H230" t="str">
            <v>iPhone 16e / 15 / 14 / 13</v>
          </cell>
          <cell r="I230">
            <v>279.74</v>
          </cell>
          <cell r="J230">
            <v>0.5000024653312789</v>
          </cell>
          <cell r="K230">
            <v>649</v>
          </cell>
          <cell r="L230" t="str">
            <v>iShop</v>
          </cell>
          <cell r="M230" t="str">
            <v>Discontinued</v>
          </cell>
          <cell r="N230" t="str">
            <v>T21-10258</v>
          </cell>
        </row>
        <row r="231">
          <cell r="A231" t="str">
            <v>Tech21</v>
          </cell>
          <cell r="B231">
            <v>5056586724217</v>
          </cell>
          <cell r="C231" t="str">
            <v>T21-10438</v>
          </cell>
          <cell r="D231" t="str">
            <v>5056586724217</v>
          </cell>
          <cell r="E231" t="str">
            <v>Tech21 EvoLite for iPhone 15 - Soft Pink</v>
          </cell>
          <cell r="F231" t="str">
            <v>Cases iPhone</v>
          </cell>
          <cell r="G231" t="str">
            <v>iPhone 15</v>
          </cell>
          <cell r="H231" t="str">
            <v>iPhone 16e / 15 / 14 / 13</v>
          </cell>
          <cell r="I231">
            <v>215.09</v>
          </cell>
          <cell r="J231">
            <v>0.4999911823647295</v>
          </cell>
          <cell r="K231">
            <v>499</v>
          </cell>
          <cell r="L231" t="str">
            <v>iShop</v>
          </cell>
          <cell r="M231" t="str">
            <v>Discontinued</v>
          </cell>
          <cell r="N231" t="str">
            <v>T21-10438</v>
          </cell>
        </row>
        <row r="232">
          <cell r="A232" t="str">
            <v>Tech21</v>
          </cell>
          <cell r="B232">
            <v>5056586735251</v>
          </cell>
          <cell r="C232" t="str">
            <v>T21-10857</v>
          </cell>
          <cell r="D232" t="str">
            <v>5056586735251</v>
          </cell>
          <cell r="E232" t="str">
            <v>Tech21 EvoCrystal w/MagSafe for iPhone 16  - Black</v>
          </cell>
          <cell r="F232" t="str">
            <v>Cases iPhone</v>
          </cell>
          <cell r="G232" t="str">
            <v>iPhone 16</v>
          </cell>
          <cell r="H232" t="str">
            <v>iPhone 16</v>
          </cell>
          <cell r="I232">
            <v>430.6</v>
          </cell>
          <cell r="J232">
            <v>0.50000400400400402</v>
          </cell>
          <cell r="K232">
            <v>999</v>
          </cell>
          <cell r="L232" t="str">
            <v>iShop</v>
          </cell>
          <cell r="M232" t="str">
            <v>Active</v>
          </cell>
          <cell r="N232" t="str">
            <v>T21-10857</v>
          </cell>
        </row>
        <row r="233">
          <cell r="A233" t="str">
            <v>Tech21</v>
          </cell>
          <cell r="B233">
            <v>5056586735282</v>
          </cell>
          <cell r="C233" t="str">
            <v>T21-10858</v>
          </cell>
          <cell r="D233" t="str">
            <v>5056586735282</v>
          </cell>
          <cell r="E233" t="str">
            <v>Tech21 EvoCrystal w/MagSafe for iPhone 16 - Blue</v>
          </cell>
          <cell r="F233" t="str">
            <v>Cases iPhone</v>
          </cell>
          <cell r="G233" t="str">
            <v>iPhone 16</v>
          </cell>
          <cell r="H233" t="str">
            <v>iPhone 16</v>
          </cell>
          <cell r="I233">
            <v>430.6</v>
          </cell>
          <cell r="J233">
            <v>0.50000400400400402</v>
          </cell>
          <cell r="K233">
            <v>999</v>
          </cell>
          <cell r="L233" t="str">
            <v>iShop</v>
          </cell>
          <cell r="M233" t="str">
            <v>Discontinued</v>
          </cell>
          <cell r="N233" t="str">
            <v>T21-10858</v>
          </cell>
        </row>
        <row r="234">
          <cell r="A234" t="str">
            <v>Tech21</v>
          </cell>
          <cell r="B234">
            <v>5056586735343</v>
          </cell>
          <cell r="C234" t="str">
            <v>T21-10860</v>
          </cell>
          <cell r="D234" t="str">
            <v>5056586735343</v>
          </cell>
          <cell r="E234" t="str">
            <v>Tech21 EvoCrystal w/MagSafe for iPhone 16 - Pink</v>
          </cell>
          <cell r="F234" t="str">
            <v>Cases iPhone</v>
          </cell>
          <cell r="G234" t="str">
            <v>iPhone 16</v>
          </cell>
          <cell r="H234" t="str">
            <v>iPhone 16</v>
          </cell>
          <cell r="I234">
            <v>430.6</v>
          </cell>
          <cell r="J234">
            <v>0.50000400400400402</v>
          </cell>
          <cell r="K234">
            <v>999</v>
          </cell>
          <cell r="L234" t="str">
            <v>iShop</v>
          </cell>
          <cell r="M234" t="str">
            <v>Discontinued</v>
          </cell>
          <cell r="N234" t="str">
            <v>T21-10860</v>
          </cell>
        </row>
        <row r="235">
          <cell r="A235" t="str">
            <v>Tech21</v>
          </cell>
          <cell r="B235">
            <v>5056586736814</v>
          </cell>
          <cell r="C235" t="str">
            <v>T21-10909</v>
          </cell>
          <cell r="D235" t="str">
            <v>5056586736814</v>
          </cell>
          <cell r="E235" t="str">
            <v>Tech21 EvoClear w/MagSafe for iPhone 16 Plus - Clear</v>
          </cell>
          <cell r="F235" t="str">
            <v>Cases iPhone</v>
          </cell>
          <cell r="G235" t="str">
            <v>iPhone 16</v>
          </cell>
          <cell r="H235" t="str">
            <v>iPhone 16 Plus</v>
          </cell>
          <cell r="I235">
            <v>430.6</v>
          </cell>
          <cell r="J235">
            <v>0.50000400400400402</v>
          </cell>
          <cell r="K235">
            <v>999</v>
          </cell>
          <cell r="L235" t="str">
            <v>iShop</v>
          </cell>
          <cell r="M235" t="str">
            <v>Discontinued</v>
          </cell>
          <cell r="N235" t="str">
            <v>T21-10909-M</v>
          </cell>
        </row>
        <row r="236">
          <cell r="A236" t="str">
            <v>Tech21</v>
          </cell>
          <cell r="B236">
            <v>5056586738825</v>
          </cell>
          <cell r="C236" t="str">
            <v>T21-10976</v>
          </cell>
          <cell r="D236" t="str">
            <v>5056586738825</v>
          </cell>
          <cell r="E236" t="str">
            <v>Tech21 EvoCrystal w/MagSafe for iPhone 16 Pro - Blue</v>
          </cell>
          <cell r="F236" t="str">
            <v>Cases iPhone</v>
          </cell>
          <cell r="G236" t="str">
            <v>iPhone 16</v>
          </cell>
          <cell r="H236" t="str">
            <v>iPhone 16 Pro / iPhone 17</v>
          </cell>
          <cell r="I236">
            <v>430.6</v>
          </cell>
          <cell r="J236">
            <v>0.50000400400400402</v>
          </cell>
          <cell r="K236">
            <v>999</v>
          </cell>
          <cell r="L236" t="str">
            <v>iShop</v>
          </cell>
          <cell r="M236" t="str">
            <v>Discontinued</v>
          </cell>
          <cell r="N236" t="str">
            <v>T21-10976</v>
          </cell>
        </row>
        <row r="237">
          <cell r="A237" t="str">
            <v>Tech21</v>
          </cell>
          <cell r="B237">
            <v>5056586738795</v>
          </cell>
          <cell r="C237" t="str">
            <v>T21-10975</v>
          </cell>
          <cell r="D237" t="str">
            <v>5056586738795</v>
          </cell>
          <cell r="E237" t="str">
            <v>Tech21 EvoCrystal w/MagSafe for iPhone 16 Pro  - Black</v>
          </cell>
          <cell r="F237" t="str">
            <v>Cases iPhone</v>
          </cell>
          <cell r="G237" t="str">
            <v>iPhone 16</v>
          </cell>
          <cell r="H237" t="str">
            <v>iPhone 16 Pro / iPhone 17</v>
          </cell>
          <cell r="I237">
            <v>430.6</v>
          </cell>
          <cell r="J237">
            <v>0.50000400400400402</v>
          </cell>
          <cell r="K237">
            <v>999</v>
          </cell>
          <cell r="L237" t="str">
            <v>iShop</v>
          </cell>
          <cell r="M237" t="str">
            <v>Discontinued</v>
          </cell>
          <cell r="N237" t="str">
            <v>T21-10975</v>
          </cell>
        </row>
        <row r="238">
          <cell r="A238" t="str">
            <v>Tech21</v>
          </cell>
          <cell r="B238">
            <v>5056586738894</v>
          </cell>
          <cell r="C238" t="str">
            <v>T21-10978</v>
          </cell>
          <cell r="D238" t="str">
            <v>0</v>
          </cell>
          <cell r="E238" t="str">
            <v>Tech21 EvoCrystal w/MagSafe for iPhone 16 Pro  - Pink</v>
          </cell>
          <cell r="F238" t="str">
            <v>Cases iPhone</v>
          </cell>
          <cell r="G238" t="str">
            <v>iPhone 16</v>
          </cell>
          <cell r="H238" t="str">
            <v>iPhone 16 Pro / iPhone 17</v>
          </cell>
          <cell r="I238">
            <v>430.6</v>
          </cell>
          <cell r="J238">
            <v>0.50000400400400402</v>
          </cell>
          <cell r="K238">
            <v>999</v>
          </cell>
          <cell r="L238" t="str">
            <v>iShop</v>
          </cell>
          <cell r="M238" t="str">
            <v>Discontinued</v>
          </cell>
          <cell r="N238" t="str">
            <v>T21-10978</v>
          </cell>
        </row>
        <row r="239">
          <cell r="A239" t="str">
            <v>Tech21</v>
          </cell>
          <cell r="B239">
            <v>5056586740590</v>
          </cell>
          <cell r="C239" t="str">
            <v>T21-11035</v>
          </cell>
          <cell r="D239" t="str">
            <v>5056586740590</v>
          </cell>
          <cell r="E239" t="str">
            <v>Tech21 EvoCrystal w/MagSafe for iPhone 16 Pro Max - Blue</v>
          </cell>
          <cell r="F239" t="str">
            <v>Cases iPhone</v>
          </cell>
          <cell r="G239" t="str">
            <v>iPhone 16</v>
          </cell>
          <cell r="H239" t="str">
            <v>iPhone 16 Pro Max</v>
          </cell>
          <cell r="I239">
            <v>430.6</v>
          </cell>
          <cell r="J239">
            <v>0.50000400400400402</v>
          </cell>
          <cell r="K239">
            <v>999</v>
          </cell>
          <cell r="L239" t="str">
            <v>iShop</v>
          </cell>
          <cell r="M239" t="str">
            <v>Discontinued</v>
          </cell>
          <cell r="N239" t="str">
            <v>T21-11035</v>
          </cell>
        </row>
        <row r="240">
          <cell r="A240" t="str">
            <v>Tech21</v>
          </cell>
          <cell r="B240">
            <v>5056586740569</v>
          </cell>
          <cell r="C240" t="str">
            <v>T21-11034</v>
          </cell>
          <cell r="D240" t="str">
            <v>5056586740569</v>
          </cell>
          <cell r="E240" t="str">
            <v>Tech21 EvoCrystal w/MagSafe for iPhone 16 Pro Max - Black</v>
          </cell>
          <cell r="F240" t="str">
            <v>Cases iPhone</v>
          </cell>
          <cell r="G240" t="str">
            <v>iPhone 16</v>
          </cell>
          <cell r="H240" t="str">
            <v>iPhone 16 Pro Max</v>
          </cell>
          <cell r="I240">
            <v>430.6</v>
          </cell>
          <cell r="J240">
            <v>0.50000400400400402</v>
          </cell>
          <cell r="K240">
            <v>999</v>
          </cell>
          <cell r="L240" t="str">
            <v>iShop</v>
          </cell>
          <cell r="M240" t="str">
            <v>Discontinued</v>
          </cell>
          <cell r="N240" t="str">
            <v>T21-11034</v>
          </cell>
        </row>
        <row r="241">
          <cell r="A241" t="str">
            <v>Tech21</v>
          </cell>
          <cell r="B241">
            <v>5056586740668</v>
          </cell>
          <cell r="C241" t="str">
            <v>T21-11037</v>
          </cell>
          <cell r="D241" t="str">
            <v>0</v>
          </cell>
          <cell r="E241" t="str">
            <v>Tech21 EvoCrystal w/MagSafe for iPhone 16 Pro Max - Pink</v>
          </cell>
          <cell r="F241" t="str">
            <v>Cases iPhone</v>
          </cell>
          <cell r="G241" t="str">
            <v>iPhone 16</v>
          </cell>
          <cell r="H241" t="str">
            <v>iPhone 16 Pro Max</v>
          </cell>
          <cell r="I241">
            <v>430.6</v>
          </cell>
          <cell r="J241">
            <v>0.50000400400400402</v>
          </cell>
          <cell r="K241">
            <v>999</v>
          </cell>
          <cell r="L241" t="str">
            <v>iShop</v>
          </cell>
          <cell r="M241" t="str">
            <v>Discontinued</v>
          </cell>
          <cell r="N241" t="str">
            <v>T21-11037</v>
          </cell>
        </row>
        <row r="242">
          <cell r="A242" t="str">
            <v>Tech21</v>
          </cell>
          <cell r="B242">
            <v>840459607043</v>
          </cell>
          <cell r="C242" t="str">
            <v>T21-11304</v>
          </cell>
          <cell r="D242" t="str">
            <v>840459607043</v>
          </cell>
          <cell r="E242" t="str">
            <v>Tech21 EvoCrystal iPhone 17 Black</v>
          </cell>
          <cell r="F242" t="str">
            <v>Cases iPhone</v>
          </cell>
          <cell r="G242" t="str">
            <v>iPhone 17</v>
          </cell>
          <cell r="H242" t="str">
            <v>iPhone 17</v>
          </cell>
          <cell r="I242">
            <v>387.5</v>
          </cell>
          <cell r="J242">
            <v>0.55005005005005003</v>
          </cell>
          <cell r="K242">
            <v>999</v>
          </cell>
          <cell r="L242" t="str">
            <v>iShop</v>
          </cell>
          <cell r="M242" t="str">
            <v>Active</v>
          </cell>
          <cell r="N242" t="str">
            <v>T21-11304</v>
          </cell>
        </row>
        <row r="243">
          <cell r="A243" t="str">
            <v>Tech21</v>
          </cell>
          <cell r="B243">
            <v>840459607845</v>
          </cell>
          <cell r="C243" t="str">
            <v>T21-11371</v>
          </cell>
          <cell r="D243" t="str">
            <v>840459607845</v>
          </cell>
          <cell r="E243" t="str">
            <v>Tech21 EvoSparkle iPhone 17 Lunar</v>
          </cell>
          <cell r="F243" t="str">
            <v>Cases iPhone</v>
          </cell>
          <cell r="G243" t="str">
            <v>iPhone 17</v>
          </cell>
          <cell r="H243" t="str">
            <v>iPhone 17</v>
          </cell>
          <cell r="I243">
            <v>387.5</v>
          </cell>
          <cell r="J243">
            <v>0.55005005005005003</v>
          </cell>
          <cell r="K243">
            <v>999</v>
          </cell>
          <cell r="L243" t="str">
            <v>iShop</v>
          </cell>
          <cell r="M243" t="str">
            <v>Active</v>
          </cell>
          <cell r="N243" t="str">
            <v>T21-11371</v>
          </cell>
        </row>
        <row r="244">
          <cell r="A244" t="str">
            <v>Tech21</v>
          </cell>
          <cell r="B244">
            <v>840459607715</v>
          </cell>
          <cell r="C244" t="str">
            <v>T21-11360</v>
          </cell>
          <cell r="D244" t="str">
            <v>840459607715</v>
          </cell>
          <cell r="E244" t="str">
            <v>Tech21 EvoSparkle iPhone 17 Focus</v>
          </cell>
          <cell r="F244" t="str">
            <v>Cases iPhone</v>
          </cell>
          <cell r="G244" t="str">
            <v>iPhone 17</v>
          </cell>
          <cell r="H244" t="str">
            <v>iPhone 17</v>
          </cell>
          <cell r="I244">
            <v>387.5</v>
          </cell>
          <cell r="J244">
            <v>0.55005005005005003</v>
          </cell>
          <cell r="K244">
            <v>999</v>
          </cell>
          <cell r="L244" t="str">
            <v>iShop</v>
          </cell>
          <cell r="M244" t="str">
            <v>Active</v>
          </cell>
          <cell r="N244" t="str">
            <v>T21-11360</v>
          </cell>
        </row>
        <row r="245">
          <cell r="A245" t="str">
            <v>Tech21</v>
          </cell>
          <cell r="B245">
            <v>840459607036</v>
          </cell>
          <cell r="C245" t="str">
            <v>T21-11303</v>
          </cell>
          <cell r="D245" t="str">
            <v>840459607036</v>
          </cell>
          <cell r="E245" t="str">
            <v>Tech21 EvoClear + MS iPhone 17 Clear</v>
          </cell>
          <cell r="F245" t="str">
            <v>Cases iPhone</v>
          </cell>
          <cell r="G245" t="str">
            <v>iPhone 17</v>
          </cell>
          <cell r="H245" t="str">
            <v>iPhone 17</v>
          </cell>
          <cell r="I245">
            <v>387.5</v>
          </cell>
          <cell r="J245">
            <v>0.55005005005005003</v>
          </cell>
          <cell r="K245">
            <v>999</v>
          </cell>
          <cell r="L245" t="str">
            <v>iShop</v>
          </cell>
          <cell r="M245" t="str">
            <v>Active</v>
          </cell>
          <cell r="N245" t="str">
            <v>T21-11303</v>
          </cell>
        </row>
        <row r="246">
          <cell r="A246" t="str">
            <v>Tech21</v>
          </cell>
          <cell r="B246">
            <v>840459607524</v>
          </cell>
          <cell r="C246" t="str">
            <v>T21-11348</v>
          </cell>
          <cell r="D246" t="str">
            <v>840459607524</v>
          </cell>
          <cell r="E246" t="str">
            <v>Tech21 EvoCrystal iPhone 17 iPhone 17 Air Black</v>
          </cell>
          <cell r="F246" t="str">
            <v>Cases iPhone</v>
          </cell>
          <cell r="G246" t="str">
            <v>iPhone 17</v>
          </cell>
          <cell r="H246" t="str">
            <v>iPhone 17 Air</v>
          </cell>
          <cell r="I246">
            <v>430.6</v>
          </cell>
          <cell r="J246">
            <v>0.50000400400400402</v>
          </cell>
          <cell r="K246">
            <v>999</v>
          </cell>
          <cell r="L246" t="str">
            <v>iShop</v>
          </cell>
          <cell r="M246" t="str">
            <v>Discontinued</v>
          </cell>
          <cell r="N246" t="str">
            <v>T21-11348</v>
          </cell>
        </row>
        <row r="247">
          <cell r="A247" t="str">
            <v>Tech21</v>
          </cell>
          <cell r="B247">
            <v>840459607159</v>
          </cell>
          <cell r="C247" t="str">
            <v>T21-11314</v>
          </cell>
          <cell r="D247" t="str">
            <v>840459607159</v>
          </cell>
          <cell r="E247" t="str">
            <v>Tech21 EvoClear + MS iPhone 17 iPhone 17 Air Clear</v>
          </cell>
          <cell r="F247" t="str">
            <v>Cases iPhone</v>
          </cell>
          <cell r="G247" t="str">
            <v>iPhone 17</v>
          </cell>
          <cell r="H247" t="str">
            <v>iPhone 17 Air</v>
          </cell>
          <cell r="I247">
            <v>430.6</v>
          </cell>
          <cell r="J247">
            <v>0.50000400400400402</v>
          </cell>
          <cell r="K247">
            <v>999</v>
          </cell>
          <cell r="L247" t="str">
            <v>iShop</v>
          </cell>
          <cell r="M247" t="str">
            <v>Discontinued</v>
          </cell>
          <cell r="N247" t="str">
            <v>T21-11314</v>
          </cell>
        </row>
        <row r="248">
          <cell r="A248" t="str">
            <v>Tech21</v>
          </cell>
          <cell r="B248">
            <v>840459607265</v>
          </cell>
          <cell r="C248" t="str">
            <v>T21-11324</v>
          </cell>
          <cell r="D248" t="str">
            <v>840459607265</v>
          </cell>
          <cell r="E248" t="str">
            <v>Tech21 EvoCrystal iPhone 17 Pro Black</v>
          </cell>
          <cell r="F248" t="str">
            <v>Cases iPhone</v>
          </cell>
          <cell r="G248" t="str">
            <v>iPhone 17</v>
          </cell>
          <cell r="H248" t="str">
            <v>iPhone 17 Pro</v>
          </cell>
          <cell r="I248">
            <v>387.5</v>
          </cell>
          <cell r="J248">
            <v>0.55005005005005003</v>
          </cell>
          <cell r="K248">
            <v>999</v>
          </cell>
          <cell r="L248" t="str">
            <v>iShop</v>
          </cell>
          <cell r="M248" t="str">
            <v>Active</v>
          </cell>
          <cell r="N248" t="str">
            <v>T21-11324</v>
          </cell>
        </row>
        <row r="249">
          <cell r="A249" t="str">
            <v>Tech21</v>
          </cell>
          <cell r="B249">
            <v>840459607869</v>
          </cell>
          <cell r="C249" t="str">
            <v>T21-11373</v>
          </cell>
          <cell r="D249" t="str">
            <v>840459607869</v>
          </cell>
          <cell r="E249" t="str">
            <v>Tech21 EvoSparkle iPhone 17 Pro Lunar</v>
          </cell>
          <cell r="F249" t="str">
            <v>Cases iPhone</v>
          </cell>
          <cell r="G249" t="str">
            <v>iPhone 17</v>
          </cell>
          <cell r="H249" t="str">
            <v>iPhone 17 Pro</v>
          </cell>
          <cell r="I249">
            <v>387.5</v>
          </cell>
          <cell r="J249">
            <v>0.55005005005005003</v>
          </cell>
          <cell r="K249">
            <v>999</v>
          </cell>
          <cell r="L249" t="str">
            <v>iShop</v>
          </cell>
          <cell r="M249" t="str">
            <v>Active</v>
          </cell>
          <cell r="N249" t="str">
            <v>T21-11373</v>
          </cell>
        </row>
        <row r="250">
          <cell r="A250" t="str">
            <v>Tech21</v>
          </cell>
          <cell r="B250">
            <v>840459607258</v>
          </cell>
          <cell r="C250" t="str">
            <v>T21-11323</v>
          </cell>
          <cell r="D250" t="str">
            <v>840459607258</v>
          </cell>
          <cell r="E250" t="str">
            <v>Tech21 EvoClear + MS iPhone 17 Pro Clear</v>
          </cell>
          <cell r="F250" t="str">
            <v>Cases iPhone</v>
          </cell>
          <cell r="G250" t="str">
            <v>iPhone 17</v>
          </cell>
          <cell r="H250" t="str">
            <v>iPhone 17 Pro</v>
          </cell>
          <cell r="I250">
            <v>387.5</v>
          </cell>
          <cell r="J250">
            <v>0.55005005005005003</v>
          </cell>
          <cell r="K250">
            <v>999</v>
          </cell>
          <cell r="L250" t="str">
            <v>iShop</v>
          </cell>
          <cell r="M250" t="str">
            <v>Active</v>
          </cell>
          <cell r="N250" t="str">
            <v>T21-11323</v>
          </cell>
        </row>
        <row r="251">
          <cell r="A251" t="str">
            <v>Tech21</v>
          </cell>
          <cell r="B251">
            <v>840459607753</v>
          </cell>
          <cell r="C251" t="str">
            <v>T21-11364</v>
          </cell>
          <cell r="D251" t="str">
            <v>840459607753</v>
          </cell>
          <cell r="E251" t="str">
            <v>Tech21 EvoSparkle iPhone 17 Pro Focus</v>
          </cell>
          <cell r="F251" t="str">
            <v>Cases iPhone</v>
          </cell>
          <cell r="G251" t="str">
            <v>iPhone 17</v>
          </cell>
          <cell r="H251" t="str">
            <v>iPhone 17 Pro</v>
          </cell>
          <cell r="I251">
            <v>387.5</v>
          </cell>
          <cell r="J251">
            <v>0.55005005005005003</v>
          </cell>
          <cell r="K251">
            <v>999</v>
          </cell>
          <cell r="L251" t="str">
            <v>iShop</v>
          </cell>
          <cell r="M251" t="str">
            <v>Active</v>
          </cell>
          <cell r="N251" t="str">
            <v>T21-11364</v>
          </cell>
        </row>
        <row r="252">
          <cell r="A252" t="str">
            <v>Tech21</v>
          </cell>
          <cell r="B252">
            <v>840459607777</v>
          </cell>
          <cell r="C252" t="str">
            <v>T21-11366</v>
          </cell>
          <cell r="D252" t="str">
            <v>840459607777</v>
          </cell>
          <cell r="E252" t="str">
            <v>Tech21 EvoSparkle iPhone 17 Pro Max Focus</v>
          </cell>
          <cell r="F252" t="str">
            <v>Cases iPhone</v>
          </cell>
          <cell r="G252" t="str">
            <v>iPhone 17</v>
          </cell>
          <cell r="H252" t="str">
            <v>iPhone 17 Pro Max</v>
          </cell>
          <cell r="I252">
            <v>387.5</v>
          </cell>
          <cell r="J252">
            <v>0.55005005005005003</v>
          </cell>
          <cell r="K252">
            <v>999</v>
          </cell>
          <cell r="L252" t="str">
            <v>iShop</v>
          </cell>
          <cell r="M252" t="str">
            <v>Active</v>
          </cell>
          <cell r="N252" t="str">
            <v>T21-11366</v>
          </cell>
        </row>
        <row r="253">
          <cell r="A253" t="str">
            <v>Tech21</v>
          </cell>
          <cell r="B253">
            <v>840459607371</v>
          </cell>
          <cell r="C253" t="str">
            <v>T21-11334</v>
          </cell>
          <cell r="D253" t="str">
            <v>840459607371</v>
          </cell>
          <cell r="E253" t="str">
            <v>Tech21 EvoClear +MS  iPhone 17 Pro Max Clear</v>
          </cell>
          <cell r="F253" t="str">
            <v>Cases iPhone</v>
          </cell>
          <cell r="G253" t="str">
            <v>iPhone 17</v>
          </cell>
          <cell r="H253" t="str">
            <v>iPhone 17 Pro Max</v>
          </cell>
          <cell r="I253">
            <v>387.5</v>
          </cell>
          <cell r="J253">
            <v>0.55005005005005003</v>
          </cell>
          <cell r="K253">
            <v>999</v>
          </cell>
          <cell r="L253" t="str">
            <v>iShop</v>
          </cell>
          <cell r="M253" t="str">
            <v>Active</v>
          </cell>
          <cell r="N253" t="str">
            <v>T21-11334</v>
          </cell>
        </row>
        <row r="254">
          <cell r="A254" t="str">
            <v>Tech21</v>
          </cell>
          <cell r="B254">
            <v>840459607388</v>
          </cell>
          <cell r="C254" t="str">
            <v>T21-11335</v>
          </cell>
          <cell r="D254" t="str">
            <v>840459607388</v>
          </cell>
          <cell r="E254" t="str">
            <v>Tech21 EvoCrystal iPhone 17 Pro Max Black</v>
          </cell>
          <cell r="F254" t="str">
            <v>Cases iPhone</v>
          </cell>
          <cell r="G254" t="str">
            <v>iPhone 17</v>
          </cell>
          <cell r="H254" t="str">
            <v>iPhone 17 Pro Max</v>
          </cell>
          <cell r="I254">
            <v>387.5</v>
          </cell>
          <cell r="J254">
            <v>0.55005005005005003</v>
          </cell>
          <cell r="K254">
            <v>999</v>
          </cell>
          <cell r="L254" t="str">
            <v>iShop</v>
          </cell>
          <cell r="M254" t="str">
            <v>Active</v>
          </cell>
          <cell r="N254" t="str">
            <v>T21-11335</v>
          </cell>
        </row>
        <row r="255">
          <cell r="A255" t="str">
            <v>Tech21</v>
          </cell>
          <cell r="B255">
            <v>840459607890</v>
          </cell>
          <cell r="C255" t="str">
            <v>T21-11376</v>
          </cell>
          <cell r="D255" t="str">
            <v>840459607890</v>
          </cell>
          <cell r="E255" t="str">
            <v>Tech21 EvoSparkle iPhone 17 Pro Max Lunar</v>
          </cell>
          <cell r="F255" t="str">
            <v>Cases iPhone</v>
          </cell>
          <cell r="G255" t="str">
            <v>iPhone 17</v>
          </cell>
          <cell r="H255" t="str">
            <v>iPhone 17 Pro Max</v>
          </cell>
          <cell r="I255">
            <v>387.5</v>
          </cell>
          <cell r="J255">
            <v>0.55005005005005003</v>
          </cell>
          <cell r="K255">
            <v>999</v>
          </cell>
          <cell r="L255" t="str">
            <v>iShop</v>
          </cell>
          <cell r="M255" t="str">
            <v>Active</v>
          </cell>
          <cell r="N255" t="str">
            <v>T21-11376</v>
          </cell>
        </row>
        <row r="256">
          <cell r="A256" t="str">
            <v>Tech21</v>
          </cell>
          <cell r="B256">
            <v>840459609283</v>
          </cell>
          <cell r="C256" t="str">
            <v>T21-11515</v>
          </cell>
          <cell r="D256" t="str">
            <v>840459609283</v>
          </cell>
          <cell r="E256" t="str">
            <v>Tech21 FlexFolio - Apple iPad Air 10.9-11-inch (2020-2025) / iPad Pro 11-inch (2018-2021) Case - Clear</v>
          </cell>
          <cell r="F256" t="str">
            <v>Cases iPad</v>
          </cell>
          <cell r="G256" t="str">
            <v>iPad</v>
          </cell>
          <cell r="H256" t="str">
            <v>iPad Pro 11" 2/3/4/Air 4/5</v>
          </cell>
          <cell r="I256">
            <v>603.02</v>
          </cell>
          <cell r="J256">
            <v>0.4999977126518943</v>
          </cell>
          <cell r="K256">
            <v>1399</v>
          </cell>
          <cell r="L256" t="str">
            <v>iShop</v>
          </cell>
          <cell r="M256" t="str">
            <v>Active</v>
          </cell>
          <cell r="N256" t="str">
            <v>T21-11515</v>
          </cell>
        </row>
        <row r="257">
          <cell r="A257" t="str">
            <v>Tech21</v>
          </cell>
          <cell r="B257">
            <v>840459609290</v>
          </cell>
          <cell r="C257" t="str">
            <v>T21-11516</v>
          </cell>
          <cell r="D257" t="str">
            <v>840459609290</v>
          </cell>
          <cell r="E257" t="str">
            <v>Tech21 FlexFolio - Apple iPad Air 10.9-11-inch (2020-2025) / iPad Pro 11-inch (2018-2021) Case - Tint</v>
          </cell>
          <cell r="F257" t="str">
            <v>Cases iPad</v>
          </cell>
          <cell r="G257" t="str">
            <v>iPad</v>
          </cell>
          <cell r="H257" t="str">
            <v>iPad Pro 11" 2/3/4/Air 4/5</v>
          </cell>
          <cell r="I257">
            <v>603.02</v>
          </cell>
          <cell r="J257">
            <v>0.4999977126518943</v>
          </cell>
          <cell r="K257">
            <v>1399</v>
          </cell>
          <cell r="L257" t="str">
            <v>iShop</v>
          </cell>
          <cell r="M257" t="str">
            <v>Active</v>
          </cell>
          <cell r="N257" t="str">
            <v>T21-11516</v>
          </cell>
        </row>
        <row r="258">
          <cell r="A258" t="str">
            <v>Tech21</v>
          </cell>
          <cell r="B258">
            <v>840459607456</v>
          </cell>
          <cell r="C258" t="str">
            <v>T21-11342</v>
          </cell>
          <cell r="D258" t="str">
            <v>840459607456</v>
          </cell>
          <cell r="E258" t="str">
            <v>Tech21 EvoPro w/MagSafe Clear/Black iPhone 17 Pro Max</v>
          </cell>
          <cell r="F258" t="str">
            <v>Cases iPhone</v>
          </cell>
          <cell r="G258" t="str">
            <v>iPhone 17</v>
          </cell>
          <cell r="H258" t="str">
            <v>iPhone 17 Pro Max</v>
          </cell>
          <cell r="I258">
            <v>516.80999999999995</v>
          </cell>
          <cell r="J258">
            <v>0.50000033361134288</v>
          </cell>
          <cell r="K258">
            <v>1199</v>
          </cell>
          <cell r="L258" t="str">
            <v>iShop</v>
          </cell>
          <cell r="M258" t="str">
            <v>Active</v>
          </cell>
          <cell r="N258" t="str">
            <v>T21-11342</v>
          </cell>
        </row>
        <row r="259">
          <cell r="A259" t="str">
            <v>Tech21</v>
          </cell>
          <cell r="B259">
            <v>840459607333</v>
          </cell>
          <cell r="C259" t="str">
            <v>T21-11331</v>
          </cell>
          <cell r="D259" t="str">
            <v>840459607333</v>
          </cell>
          <cell r="E259" t="str">
            <v>Tech21 EvoPro w/MagSafe Clear/Black iPhone 17 Pro</v>
          </cell>
          <cell r="F259" t="str">
            <v>Cases iPhone</v>
          </cell>
          <cell r="G259" t="str">
            <v>iPhone 17</v>
          </cell>
          <cell r="H259" t="str">
            <v>iPhone 17 Pro</v>
          </cell>
          <cell r="I259">
            <v>516.80999999999995</v>
          </cell>
          <cell r="J259">
            <v>0.50000033361134288</v>
          </cell>
          <cell r="K259">
            <v>1199</v>
          </cell>
          <cell r="L259" t="str">
            <v>iShop</v>
          </cell>
          <cell r="M259" t="str">
            <v>Active</v>
          </cell>
          <cell r="N259" t="str">
            <v>T21-11331</v>
          </cell>
        </row>
        <row r="260">
          <cell r="A260" t="str">
            <v>Speck</v>
          </cell>
          <cell r="B260">
            <v>840168546589</v>
          </cell>
          <cell r="C260" t="str">
            <v>150986-D143</v>
          </cell>
          <cell r="D260">
            <v>840168546589</v>
          </cell>
          <cell r="E260" t="str">
            <v>Speck Presidio2 Grip iPhone 17 Pro Max Black</v>
          </cell>
          <cell r="F260" t="str">
            <v>Cases iPhone</v>
          </cell>
          <cell r="G260" t="str">
            <v>iPhone 17</v>
          </cell>
          <cell r="H260" t="str">
            <v>iPhone 17 Pro Max</v>
          </cell>
          <cell r="I260">
            <v>387.54</v>
          </cell>
          <cell r="J260">
            <v>0.55000360360360356</v>
          </cell>
          <cell r="K260">
            <v>999</v>
          </cell>
          <cell r="L260" t="str">
            <v>iShop</v>
          </cell>
          <cell r="M260" t="str">
            <v>Active</v>
          </cell>
          <cell r="N260" t="str">
            <v>150986-D143</v>
          </cell>
        </row>
        <row r="261">
          <cell r="A261" t="str">
            <v>Nomad</v>
          </cell>
          <cell r="B261">
            <v>856504014803</v>
          </cell>
          <cell r="C261" t="str">
            <v>NM014803858</v>
          </cell>
          <cell r="D261" t="str">
            <v>856504014803</v>
          </cell>
          <cell r="E261" t="str">
            <v>Nomad Rocky Point Band - 46mm/49mm | Storm | Black Hardware</v>
          </cell>
          <cell r="F261" t="str">
            <v>Straps</v>
          </cell>
          <cell r="G261" t="str">
            <v>APPLE WATCH</v>
          </cell>
          <cell r="H261" t="str">
            <v>49/45/44/42 mm</v>
          </cell>
          <cell r="I261">
            <v>775.43</v>
          </cell>
          <cell r="J261">
            <v>0.5</v>
          </cell>
          <cell r="K261">
            <v>1799</v>
          </cell>
          <cell r="L261" t="str">
            <v>iShop</v>
          </cell>
          <cell r="M261" t="str">
            <v>Active</v>
          </cell>
          <cell r="N261" t="str">
            <v>NM014803858</v>
          </cell>
        </row>
        <row r="262">
          <cell r="A262" t="str">
            <v>Cubitt</v>
          </cell>
          <cell r="B262" t="str">
            <v>ELECUB004</v>
          </cell>
          <cell r="C262" t="str">
            <v>CTE-1</v>
          </cell>
          <cell r="D262" t="str">
            <v>715834798510</v>
          </cell>
          <cell r="E262" t="str">
            <v>CTE Headphones Obsidian Black</v>
          </cell>
          <cell r="F262" t="str">
            <v>Audio</v>
          </cell>
          <cell r="G262" t="str">
            <v>Headphones Wireless</v>
          </cell>
          <cell r="H262" t="str">
            <v>CTE</v>
          </cell>
          <cell r="I262">
            <v>503.75</v>
          </cell>
          <cell r="J262">
            <v>0.35000000000000009</v>
          </cell>
          <cell r="K262">
            <v>899</v>
          </cell>
          <cell r="L262" t="str">
            <v>MacStore</v>
          </cell>
          <cell r="M262" t="str">
            <v>Discontinued</v>
          </cell>
          <cell r="N262" t="str">
            <v>CTE-1</v>
          </cell>
        </row>
        <row r="263">
          <cell r="A263" t="str">
            <v>Cubitt</v>
          </cell>
          <cell r="B263" t="str">
            <v>BOCCUB000</v>
          </cell>
          <cell r="C263" t="str">
            <v>CT-SOUND1</v>
          </cell>
          <cell r="D263" t="str">
            <v>608011863241</v>
          </cell>
          <cell r="E263" t="str">
            <v>Cubitt Waterproof Speakers Black</v>
          </cell>
          <cell r="F263" t="str">
            <v>Audio</v>
          </cell>
          <cell r="G263" t="str">
            <v>Speakers</v>
          </cell>
          <cell r="H263" t="str">
            <v>Cubitt</v>
          </cell>
          <cell r="I263">
            <v>559.78</v>
          </cell>
          <cell r="J263">
            <v>0.35000520520520528</v>
          </cell>
          <cell r="K263">
            <v>999</v>
          </cell>
          <cell r="L263" t="str">
            <v>MacStore</v>
          </cell>
          <cell r="M263" t="str">
            <v>Discontinued</v>
          </cell>
          <cell r="N263" t="str">
            <v>CT-SOUND1</v>
          </cell>
        </row>
        <row r="264">
          <cell r="A264" t="str">
            <v>Cubitt</v>
          </cell>
          <cell r="B264" t="str">
            <v>BOCCUB001</v>
          </cell>
          <cell r="C264" t="str">
            <v>CT-SOUND8</v>
          </cell>
          <cell r="D264" t="str">
            <v>608011863272</v>
          </cell>
          <cell r="E264" t="str">
            <v>Cubitt Waterproof Speakers White</v>
          </cell>
          <cell r="F264" t="str">
            <v>Audio</v>
          </cell>
          <cell r="G264" t="str">
            <v>Speakers</v>
          </cell>
          <cell r="H264" t="str">
            <v>Cubitt</v>
          </cell>
          <cell r="I264">
            <v>671.85</v>
          </cell>
          <cell r="J264">
            <v>0.35000333611342782</v>
          </cell>
          <cell r="K264">
            <v>1199</v>
          </cell>
          <cell r="L264" t="str">
            <v>MacStore</v>
          </cell>
          <cell r="M264" t="str">
            <v>Discontinued</v>
          </cell>
          <cell r="N264" t="str">
            <v>CT-SOUND8</v>
          </cell>
        </row>
        <row r="265">
          <cell r="A265" t="str">
            <v>Cubitt</v>
          </cell>
          <cell r="B265" t="str">
            <v>EXHCUB000</v>
          </cell>
          <cell r="C265" t="str">
            <v>CT-SOUND8</v>
          </cell>
          <cell r="D265" t="str">
            <v>608011863272</v>
          </cell>
          <cell r="E265" t="str">
            <v>Cubitt Waterproof Speakers White</v>
          </cell>
          <cell r="F265" t="str">
            <v>Audio</v>
          </cell>
          <cell r="G265" t="str">
            <v>Speakers</v>
          </cell>
          <cell r="H265" t="str">
            <v>Cubitt</v>
          </cell>
          <cell r="I265">
            <v>0.01</v>
          </cell>
          <cell r="J265">
            <v>0.27500000000000002</v>
          </cell>
          <cell r="K265">
            <v>1.6E-2</v>
          </cell>
          <cell r="L265" t="str">
            <v>MacStore</v>
          </cell>
          <cell r="M265" t="str">
            <v>Exhibición</v>
          </cell>
          <cell r="N265" t="str">
            <v>CT-SOUND8</v>
          </cell>
        </row>
        <row r="266">
          <cell r="A266" t="str">
            <v>Cubitt</v>
          </cell>
          <cell r="B266" t="str">
            <v>ACCCUB002</v>
          </cell>
          <cell r="C266" t="str">
            <v>CT-SCALE7</v>
          </cell>
          <cell r="D266" t="str">
            <v>715834798534</v>
          </cell>
          <cell r="E266" t="str">
            <v>Cubitt Scale Alpine White</v>
          </cell>
          <cell r="F266" t="str">
            <v>Wearable</v>
          </cell>
          <cell r="G266" t="str">
            <v>Scale</v>
          </cell>
          <cell r="H266" t="str">
            <v>CT-SCALE</v>
          </cell>
          <cell r="I266">
            <v>559.78</v>
          </cell>
          <cell r="J266">
            <v>0.35000520520520528</v>
          </cell>
          <cell r="K266">
            <v>999</v>
          </cell>
          <cell r="L266" t="str">
            <v>MacStore</v>
          </cell>
          <cell r="M266" t="str">
            <v>Discontinued</v>
          </cell>
          <cell r="N266" t="str">
            <v>CT-SCALE7</v>
          </cell>
        </row>
        <row r="267">
          <cell r="A267" t="str">
            <v>Cubitt</v>
          </cell>
          <cell r="B267" t="str">
            <v>IACCCUB000</v>
          </cell>
          <cell r="C267" t="str">
            <v>CT-SCALE7</v>
          </cell>
          <cell r="D267" t="str">
            <v>715834798534</v>
          </cell>
          <cell r="E267" t="str">
            <v>Cubitt Scale Alpine White</v>
          </cell>
          <cell r="F267" t="str">
            <v>Wearable</v>
          </cell>
          <cell r="G267" t="str">
            <v>Scale</v>
          </cell>
          <cell r="H267" t="str">
            <v>CT-SCALE</v>
          </cell>
          <cell r="I267">
            <v>559.78</v>
          </cell>
          <cell r="J267">
            <v>0.35000520520520528</v>
          </cell>
          <cell r="K267">
            <v>999</v>
          </cell>
          <cell r="L267" t="str">
            <v>MacStore</v>
          </cell>
          <cell r="M267" t="str">
            <v>Discontinued</v>
          </cell>
          <cell r="N267" t="str">
            <v>CT-SCALE7</v>
          </cell>
        </row>
        <row r="268">
          <cell r="A268" t="str">
            <v>Cubitt</v>
          </cell>
          <cell r="B268" t="str">
            <v>ACCCUB000</v>
          </cell>
          <cell r="C268" t="str">
            <v>CT-SCALE</v>
          </cell>
          <cell r="D268" t="str">
            <v>725330927543</v>
          </cell>
          <cell r="E268" t="str">
            <v>Cubitt Scale Obsidian Black</v>
          </cell>
          <cell r="F268" t="str">
            <v>Wearable</v>
          </cell>
          <cell r="G268" t="str">
            <v>Scale</v>
          </cell>
          <cell r="H268" t="str">
            <v>CT-SCALE</v>
          </cell>
          <cell r="I268">
            <v>559.78</v>
          </cell>
          <cell r="J268">
            <v>0.35000520520520528</v>
          </cell>
          <cell r="K268">
            <v>999</v>
          </cell>
          <cell r="L268" t="str">
            <v>MacStore</v>
          </cell>
          <cell r="M268" t="str">
            <v>Discontinued</v>
          </cell>
          <cell r="N268" t="str">
            <v>CT-SCALE</v>
          </cell>
        </row>
        <row r="269">
          <cell r="A269" t="str">
            <v>Cubitt</v>
          </cell>
          <cell r="B269" t="str">
            <v>EXHCUB001</v>
          </cell>
          <cell r="C269" t="str">
            <v>CT-SCALE</v>
          </cell>
          <cell r="D269" t="str">
            <v>725330927543</v>
          </cell>
          <cell r="E269" t="str">
            <v>Cubitt Scale Obsidian Black</v>
          </cell>
          <cell r="F269" t="str">
            <v>Wearable</v>
          </cell>
          <cell r="G269" t="str">
            <v>Scale</v>
          </cell>
          <cell r="H269" t="str">
            <v>CT-SCALE</v>
          </cell>
          <cell r="I269">
            <v>0.01</v>
          </cell>
          <cell r="J269">
            <v>0.27500000000000002</v>
          </cell>
          <cell r="K269">
            <v>1.6E-2</v>
          </cell>
          <cell r="L269" t="str">
            <v>MacStore</v>
          </cell>
          <cell r="M269" t="str">
            <v>Exhibición</v>
          </cell>
          <cell r="N269" t="str">
            <v>CT-SCALE</v>
          </cell>
        </row>
        <row r="270">
          <cell r="A270" t="str">
            <v>Cubitt</v>
          </cell>
          <cell r="B270" t="str">
            <v>ACCCUB001</v>
          </cell>
          <cell r="C270" t="str">
            <v>CTK-1</v>
          </cell>
          <cell r="D270" t="str">
            <v>719284923645</v>
          </cell>
          <cell r="E270" t="str">
            <v>Cubitt Scale Mini Obsidian Black</v>
          </cell>
          <cell r="F270" t="str">
            <v>Wearable</v>
          </cell>
          <cell r="G270" t="str">
            <v>Scale</v>
          </cell>
          <cell r="H270" t="str">
            <v>CTK</v>
          </cell>
          <cell r="I270">
            <v>447.72</v>
          </cell>
          <cell r="J270">
            <v>0.34999349186483109</v>
          </cell>
          <cell r="K270">
            <v>799</v>
          </cell>
          <cell r="L270" t="str">
            <v>MacStore</v>
          </cell>
          <cell r="M270" t="str">
            <v>Discontinued</v>
          </cell>
          <cell r="N270" t="str">
            <v>CTK-1</v>
          </cell>
        </row>
        <row r="271">
          <cell r="A271" t="str">
            <v>Cubitt</v>
          </cell>
          <cell r="B271" t="str">
            <v>ACCCUB003</v>
          </cell>
          <cell r="C271" t="str">
            <v>CTK-7</v>
          </cell>
          <cell r="D271" t="str">
            <v>719284923652</v>
          </cell>
          <cell r="E271" t="str">
            <v>Cubitt Scale Mini Alpine White</v>
          </cell>
          <cell r="F271" t="str">
            <v>Wearable</v>
          </cell>
          <cell r="G271" t="str">
            <v>Scale</v>
          </cell>
          <cell r="H271" t="str">
            <v>CTK</v>
          </cell>
          <cell r="I271">
            <v>447.72</v>
          </cell>
          <cell r="J271">
            <v>0.34999349186483109</v>
          </cell>
          <cell r="K271">
            <v>799</v>
          </cell>
          <cell r="L271" t="str">
            <v>MacStore</v>
          </cell>
          <cell r="M271" t="str">
            <v>Discontinued</v>
          </cell>
          <cell r="N271" t="str">
            <v>CTK-7</v>
          </cell>
        </row>
        <row r="272">
          <cell r="A272" t="str">
            <v>Cubitt</v>
          </cell>
          <cell r="B272" t="str">
            <v>IACCCUB001</v>
          </cell>
          <cell r="C272" t="str">
            <v>CTK-7</v>
          </cell>
          <cell r="D272" t="str">
            <v>719284923652</v>
          </cell>
          <cell r="E272" t="str">
            <v>Cubitt Scale Mini Alpine White</v>
          </cell>
          <cell r="F272" t="str">
            <v>Wearable</v>
          </cell>
          <cell r="G272" t="str">
            <v>Scale</v>
          </cell>
          <cell r="H272" t="str">
            <v>CTK</v>
          </cell>
          <cell r="I272">
            <v>447.72</v>
          </cell>
          <cell r="J272">
            <v>0.34999349186483109</v>
          </cell>
          <cell r="K272">
            <v>799</v>
          </cell>
          <cell r="L272" t="str">
            <v>MacStore</v>
          </cell>
          <cell r="M272" t="str">
            <v>Discontinued</v>
          </cell>
          <cell r="N272" t="str">
            <v>CTK-7</v>
          </cell>
        </row>
        <row r="273">
          <cell r="A273" t="str">
            <v>Cubitt</v>
          </cell>
          <cell r="B273" t="str">
            <v>ELECUB000</v>
          </cell>
          <cell r="C273" t="str">
            <v>CT1S2-11</v>
          </cell>
          <cell r="D273" t="str">
            <v>719284923812</v>
          </cell>
          <cell r="E273" t="str">
            <v>Cubitt CT1 Black</v>
          </cell>
          <cell r="F273" t="str">
            <v>Wearable</v>
          </cell>
          <cell r="G273" t="str">
            <v>Smartwatch</v>
          </cell>
          <cell r="H273" t="str">
            <v>CT1S2</v>
          </cell>
          <cell r="I273">
            <v>839.96</v>
          </cell>
          <cell r="J273">
            <v>0.34999759839893263</v>
          </cell>
          <cell r="K273">
            <v>1499</v>
          </cell>
          <cell r="L273" t="str">
            <v>MacStore</v>
          </cell>
          <cell r="M273" t="str">
            <v>Discontinued</v>
          </cell>
          <cell r="N273" t="str">
            <v>CT1S2-11</v>
          </cell>
        </row>
        <row r="274">
          <cell r="A274" t="str">
            <v>Cubitt</v>
          </cell>
          <cell r="B274" t="str">
            <v>ELECUB001</v>
          </cell>
          <cell r="C274" t="str">
            <v>CT2P2-11</v>
          </cell>
          <cell r="D274" t="str">
            <v>719284924284</v>
          </cell>
          <cell r="E274" t="str">
            <v>Cubitt CT2P Obsidian Black</v>
          </cell>
          <cell r="F274" t="str">
            <v>Wearable</v>
          </cell>
          <cell r="G274" t="str">
            <v>Smartwatch</v>
          </cell>
          <cell r="H274" t="str">
            <v>CT2P2</v>
          </cell>
          <cell r="I274">
            <v>1344.27</v>
          </cell>
          <cell r="J274">
            <v>0.3499986661108796</v>
          </cell>
          <cell r="K274">
            <v>2399</v>
          </cell>
          <cell r="L274" t="str">
            <v>MacStore</v>
          </cell>
          <cell r="M274" t="str">
            <v>Discontinued</v>
          </cell>
          <cell r="N274" t="str">
            <v>CT2P2-11</v>
          </cell>
        </row>
        <row r="275">
          <cell r="A275" t="str">
            <v>Cubitt</v>
          </cell>
          <cell r="B275" t="str">
            <v>ELECUB002</v>
          </cell>
          <cell r="C275" t="str">
            <v>CT4-11</v>
          </cell>
          <cell r="D275" t="str">
            <v>719284923867</v>
          </cell>
          <cell r="E275" t="str">
            <v>Cubitt CT4 Black</v>
          </cell>
          <cell r="F275" t="str">
            <v>Wearable</v>
          </cell>
          <cell r="G275" t="str">
            <v>Smartwatch</v>
          </cell>
          <cell r="H275" t="str">
            <v>CT4</v>
          </cell>
          <cell r="I275">
            <v>1344.27</v>
          </cell>
          <cell r="J275">
            <v>0.3499986661108796</v>
          </cell>
          <cell r="K275">
            <v>2399</v>
          </cell>
          <cell r="L275" t="str">
            <v>MacStore</v>
          </cell>
          <cell r="M275" t="str">
            <v>Discontinued</v>
          </cell>
          <cell r="N275" t="str">
            <v>CT4-11</v>
          </cell>
        </row>
        <row r="276">
          <cell r="A276" t="str">
            <v>Cubitt</v>
          </cell>
          <cell r="B276" t="str">
            <v>ELECUB003</v>
          </cell>
          <cell r="C276" t="str">
            <v>CT4G-11</v>
          </cell>
          <cell r="D276" t="str">
            <v>719284923928</v>
          </cell>
          <cell r="E276" t="str">
            <v>Cubitt CT4P Black</v>
          </cell>
          <cell r="F276" t="str">
            <v>Wearable</v>
          </cell>
          <cell r="G276" t="str">
            <v>Smartwatch</v>
          </cell>
          <cell r="H276" t="str">
            <v>CT4GPS</v>
          </cell>
          <cell r="I276">
            <v>1680.47</v>
          </cell>
          <cell r="J276">
            <v>0.35000160053351115</v>
          </cell>
          <cell r="K276">
            <v>2999</v>
          </cell>
          <cell r="L276" t="str">
            <v>MacStore</v>
          </cell>
          <cell r="M276" t="str">
            <v>Discontinued</v>
          </cell>
          <cell r="N276" t="str">
            <v>CT4G-11</v>
          </cell>
        </row>
        <row r="277">
          <cell r="A277" t="str">
            <v>Hypergear</v>
          </cell>
          <cell r="B277" t="str">
            <v>ACCHPG000</v>
          </cell>
          <cell r="C277">
            <v>15559</v>
          </cell>
          <cell r="D277" t="str">
            <v>633755155598</v>
          </cell>
          <cell r="E277" t="str">
            <v>7-in-1 Complete Tech Cleaning Kit</v>
          </cell>
          <cell r="F277" t="str">
            <v>Accesories</v>
          </cell>
          <cell r="G277" t="str">
            <v>Clean</v>
          </cell>
          <cell r="H277" t="str">
            <v>7-1</v>
          </cell>
          <cell r="I277">
            <v>258.11</v>
          </cell>
          <cell r="J277">
            <v>0.39998476953907813</v>
          </cell>
          <cell r="K277">
            <v>499</v>
          </cell>
          <cell r="L277" t="str">
            <v>MacStore</v>
          </cell>
          <cell r="M277" t="str">
            <v>Discontinued</v>
          </cell>
          <cell r="N277" t="str">
            <v>15559-M</v>
          </cell>
        </row>
        <row r="278">
          <cell r="A278" t="str">
            <v>Hypergear</v>
          </cell>
          <cell r="B278" t="str">
            <v>IACCNAZ000</v>
          </cell>
          <cell r="C278">
            <v>15351</v>
          </cell>
          <cell r="D278" t="str">
            <v>633755153518</v>
          </cell>
          <cell r="E278" t="str">
            <v xml:space="preserve">Naztech Xpods Pro TWS with Wireless Charging Case Black
</v>
          </cell>
          <cell r="F278" t="str">
            <v>Audio</v>
          </cell>
          <cell r="G278" t="str">
            <v>Headphones</v>
          </cell>
          <cell r="H278" t="str">
            <v>In Ear</v>
          </cell>
          <cell r="I278">
            <v>982.24</v>
          </cell>
          <cell r="J278">
            <v>0.40000084254870982</v>
          </cell>
          <cell r="K278">
            <v>1899</v>
          </cell>
          <cell r="L278" t="str">
            <v>MacStore</v>
          </cell>
          <cell r="M278" t="str">
            <v>Discontinued</v>
          </cell>
          <cell r="N278" t="str">
            <v>15351-M</v>
          </cell>
        </row>
        <row r="279">
          <cell r="A279" t="str">
            <v>Hypergear</v>
          </cell>
          <cell r="B279" t="str">
            <v>IACCNAZ001</v>
          </cell>
          <cell r="C279">
            <v>15352</v>
          </cell>
          <cell r="D279" t="str">
            <v>633755153525</v>
          </cell>
          <cell r="E279" t="str">
            <v>Naztech Xpods Pro TWS with Wireless Charging Case Red</v>
          </cell>
          <cell r="F279" t="str">
            <v>Audio</v>
          </cell>
          <cell r="G279" t="str">
            <v>Headphones</v>
          </cell>
          <cell r="H279" t="str">
            <v>In Ear</v>
          </cell>
          <cell r="I279">
            <v>982.24</v>
          </cell>
          <cell r="J279">
            <v>0.40000084254870982</v>
          </cell>
          <cell r="K279">
            <v>1899</v>
          </cell>
          <cell r="L279" t="str">
            <v>MacStore</v>
          </cell>
          <cell r="M279" t="str">
            <v>Discontinued</v>
          </cell>
          <cell r="N279" t="str">
            <v>15352-M</v>
          </cell>
        </row>
        <row r="280">
          <cell r="A280" t="str">
            <v>Hypergear</v>
          </cell>
          <cell r="B280" t="str">
            <v>IACCNAZ002</v>
          </cell>
          <cell r="C280">
            <v>15432</v>
          </cell>
          <cell r="D280" t="str">
            <v>633755154324</v>
          </cell>
          <cell r="E280" t="str">
            <v xml:space="preserve">Naztech Xpods Pro TWS with Wireless Charging Case Blue
</v>
          </cell>
          <cell r="F280" t="str">
            <v>Audio</v>
          </cell>
          <cell r="G280" t="str">
            <v>Headphones</v>
          </cell>
          <cell r="H280" t="str">
            <v>In Ear</v>
          </cell>
          <cell r="I280">
            <v>982.24</v>
          </cell>
          <cell r="J280">
            <v>0.40000084254870982</v>
          </cell>
          <cell r="K280">
            <v>1899</v>
          </cell>
          <cell r="L280" t="str">
            <v>MacStore</v>
          </cell>
          <cell r="M280" t="str">
            <v>Discontinued</v>
          </cell>
          <cell r="N280" t="str">
            <v>15432-M</v>
          </cell>
        </row>
        <row r="281">
          <cell r="A281" t="str">
            <v>Hypergear</v>
          </cell>
          <cell r="B281" t="str">
            <v>ICABNAZ000</v>
          </cell>
          <cell r="C281" t="str">
            <v>13621</v>
          </cell>
          <cell r="D281" t="str">
            <v>633755136214</v>
          </cell>
          <cell r="E281" t="str">
            <v>Naztech Braided MFI Lightning Charge &amp; Sync Cable Black</v>
          </cell>
          <cell r="F281" t="str">
            <v>Cables</v>
          </cell>
          <cell r="G281" t="str">
            <v>Lightning</v>
          </cell>
          <cell r="H281" t="str">
            <v>4 ft</v>
          </cell>
          <cell r="I281">
            <v>309.83</v>
          </cell>
          <cell r="J281">
            <v>0.399995325542571</v>
          </cell>
          <cell r="K281">
            <v>599</v>
          </cell>
          <cell r="L281" t="str">
            <v>MacStore</v>
          </cell>
          <cell r="M281" t="str">
            <v>Discontinued</v>
          </cell>
          <cell r="N281" t="str">
            <v>13621-M</v>
          </cell>
        </row>
        <row r="282">
          <cell r="A282" t="str">
            <v>Hypergear</v>
          </cell>
          <cell r="B282" t="str">
            <v>IACCHPG001</v>
          </cell>
          <cell r="C282">
            <v>15597</v>
          </cell>
          <cell r="D282" t="str">
            <v>633755155970</v>
          </cell>
          <cell r="E282" t="str">
            <v>HyperGear HyperNova LED Strip Lights 10ft Multi-Color Multicolors</v>
          </cell>
          <cell r="F282" t="str">
            <v>Gaming</v>
          </cell>
          <cell r="G282" t="str">
            <v>Led Strip</v>
          </cell>
          <cell r="H282" t="str">
            <v>10 ft</v>
          </cell>
          <cell r="I282">
            <v>309.83</v>
          </cell>
          <cell r="J282">
            <v>0.399995325542571</v>
          </cell>
          <cell r="K282">
            <v>599</v>
          </cell>
          <cell r="L282" t="str">
            <v>MacStore</v>
          </cell>
          <cell r="M282" t="str">
            <v>Discontinued</v>
          </cell>
          <cell r="N282" t="str">
            <v>15597-M</v>
          </cell>
        </row>
        <row r="283">
          <cell r="A283" t="str">
            <v>Hypergear</v>
          </cell>
          <cell r="B283" t="str">
            <v>IACCHPG000</v>
          </cell>
          <cell r="C283">
            <v>15437</v>
          </cell>
          <cell r="D283" t="str">
            <v>633755154379</v>
          </cell>
          <cell r="E283" t="str">
            <v xml:space="preserve">HyperGear SnapShot Wireless Selfie Stick + Tripod Black
</v>
          </cell>
          <cell r="F283" t="str">
            <v>Hardware</v>
          </cell>
          <cell r="G283" t="str">
            <v>Tripod</v>
          </cell>
          <cell r="H283" t="str">
            <v>Selfie + Tripod</v>
          </cell>
          <cell r="I283">
            <v>387.41</v>
          </cell>
          <cell r="J283">
            <v>0.40000587449933245</v>
          </cell>
          <cell r="K283">
            <v>749</v>
          </cell>
          <cell r="L283" t="str">
            <v>MacStore</v>
          </cell>
          <cell r="M283" t="str">
            <v>Discontinued</v>
          </cell>
          <cell r="N283" t="str">
            <v>15437-M</v>
          </cell>
        </row>
        <row r="284">
          <cell r="A284" t="str">
            <v>Moment</v>
          </cell>
          <cell r="B284" t="str">
            <v>FUNMOM003</v>
          </cell>
          <cell r="C284" t="str">
            <v>310-197</v>
          </cell>
          <cell r="D284" t="str">
            <v>846537077333</v>
          </cell>
          <cell r="E284" t="str">
            <v>Moment Case for iPhone 14 - Compatible with MagSafe - Black</v>
          </cell>
          <cell r="F284" t="str">
            <v>Cases iPhone</v>
          </cell>
          <cell r="G284" t="str">
            <v>iPhone 14</v>
          </cell>
          <cell r="H284" t="str">
            <v>iPhone 14</v>
          </cell>
          <cell r="I284">
            <v>602.84</v>
          </cell>
          <cell r="J284">
            <v>0.30000560560560563</v>
          </cell>
          <cell r="K284">
            <v>999</v>
          </cell>
          <cell r="L284" t="str">
            <v>MacStore</v>
          </cell>
          <cell r="M284" t="str">
            <v>Discontinued</v>
          </cell>
          <cell r="N284" t="str">
            <v>310-197-M</v>
          </cell>
        </row>
        <row r="285">
          <cell r="A285" t="str">
            <v>Moment</v>
          </cell>
          <cell r="B285" t="str">
            <v>FUNMOM002</v>
          </cell>
          <cell r="C285" t="str">
            <v>310-191</v>
          </cell>
          <cell r="D285" t="str">
            <v>846537067464</v>
          </cell>
          <cell r="E285" t="str">
            <v>Moment Case for iPhone 14 Max - Compatible with MagSafe - Black</v>
          </cell>
          <cell r="F285" t="str">
            <v>Cases iPhone</v>
          </cell>
          <cell r="G285" t="str">
            <v>iPhone 14</v>
          </cell>
          <cell r="H285" t="str">
            <v>iPhone 14 Max</v>
          </cell>
          <cell r="I285">
            <v>602.84</v>
          </cell>
          <cell r="J285">
            <v>0.30000560560560563</v>
          </cell>
          <cell r="K285">
            <v>999</v>
          </cell>
          <cell r="L285" t="str">
            <v>MacStore</v>
          </cell>
          <cell r="M285" t="str">
            <v>Discontinued</v>
          </cell>
          <cell r="N285" t="str">
            <v>310-191-M</v>
          </cell>
        </row>
        <row r="286">
          <cell r="A286" t="str">
            <v>Moment</v>
          </cell>
          <cell r="B286" t="str">
            <v>FUNMOM001</v>
          </cell>
          <cell r="C286" t="str">
            <v>310-185</v>
          </cell>
          <cell r="D286" t="str">
            <v>846537070501</v>
          </cell>
          <cell r="E286" t="str">
            <v>Moment Case for iPhone 14 Pro - Compatible with MagSafe - Black</v>
          </cell>
          <cell r="F286" t="str">
            <v>Cases iPhone</v>
          </cell>
          <cell r="G286" t="str">
            <v>iPhone 14</v>
          </cell>
          <cell r="H286" t="str">
            <v>iPhone 14 Pro</v>
          </cell>
          <cell r="I286">
            <v>602.84</v>
          </cell>
          <cell r="J286">
            <v>0.30000560560560563</v>
          </cell>
          <cell r="K286">
            <v>999</v>
          </cell>
          <cell r="L286" t="str">
            <v>MacStore</v>
          </cell>
          <cell r="M286" t="str">
            <v>Discontinued</v>
          </cell>
          <cell r="N286" t="str">
            <v>310-185-M</v>
          </cell>
        </row>
        <row r="287">
          <cell r="A287" t="str">
            <v>Moment</v>
          </cell>
          <cell r="B287" t="str">
            <v>FUNMOM007</v>
          </cell>
          <cell r="C287" t="str">
            <v>310-187</v>
          </cell>
          <cell r="D287" t="str">
            <v>846537067440</v>
          </cell>
          <cell r="E287" t="str">
            <v>Moment Case for iPhone 14 Pro - Compatible with MagSafe - Indigo</v>
          </cell>
          <cell r="F287" t="str">
            <v>Cases iPhone</v>
          </cell>
          <cell r="G287" t="str">
            <v>iPhone 14</v>
          </cell>
          <cell r="H287" t="str">
            <v>iPhone 14 Pro</v>
          </cell>
          <cell r="I287">
            <v>602.84</v>
          </cell>
          <cell r="J287">
            <v>0.30000560560560563</v>
          </cell>
          <cell r="K287">
            <v>999</v>
          </cell>
          <cell r="L287" t="str">
            <v>MacStore</v>
          </cell>
          <cell r="M287" t="str">
            <v>Discontinued</v>
          </cell>
          <cell r="N287" t="str">
            <v>310-187-M</v>
          </cell>
        </row>
        <row r="288">
          <cell r="A288" t="str">
            <v>Moment</v>
          </cell>
          <cell r="B288" t="str">
            <v>FUNMOM000</v>
          </cell>
          <cell r="C288" t="str">
            <v>310-179</v>
          </cell>
          <cell r="D288" t="str">
            <v>846537067174</v>
          </cell>
          <cell r="E288" t="str">
            <v>Moment Case for iPhone 14 Pro Max - Compatible with MagSafe - Black</v>
          </cell>
          <cell r="F288" t="str">
            <v>Cases iPhone</v>
          </cell>
          <cell r="G288" t="str">
            <v>iPhone 14</v>
          </cell>
          <cell r="H288" t="str">
            <v>iPhone 14 Pro Max</v>
          </cell>
          <cell r="I288">
            <v>602.84</v>
          </cell>
          <cell r="J288">
            <v>0.30000560560560563</v>
          </cell>
          <cell r="K288">
            <v>999</v>
          </cell>
          <cell r="L288" t="str">
            <v>MacStore</v>
          </cell>
          <cell r="M288" t="str">
            <v>Discontinued</v>
          </cell>
          <cell r="N288" t="str">
            <v>310-179-M</v>
          </cell>
        </row>
        <row r="289">
          <cell r="A289" t="str">
            <v>Moment</v>
          </cell>
          <cell r="B289" t="str">
            <v>FUNMOM006</v>
          </cell>
          <cell r="C289" t="str">
            <v>310-181</v>
          </cell>
          <cell r="D289" t="str">
            <v>846537067211</v>
          </cell>
          <cell r="E289" t="str">
            <v>Moment Case for iPhone 14 Pro Max - Compatible with MagSafe - Indigo</v>
          </cell>
          <cell r="F289" t="str">
            <v>Cases iPhone</v>
          </cell>
          <cell r="G289" t="str">
            <v>iPhone 14</v>
          </cell>
          <cell r="H289" t="str">
            <v>iPhone 14 Pro Max</v>
          </cell>
          <cell r="I289">
            <v>602.84</v>
          </cell>
          <cell r="J289">
            <v>0.30000560560560563</v>
          </cell>
          <cell r="K289">
            <v>999</v>
          </cell>
          <cell r="L289" t="str">
            <v>MacStore</v>
          </cell>
          <cell r="M289" t="str">
            <v>Discontinued</v>
          </cell>
          <cell r="N289" t="str">
            <v>310-181-M</v>
          </cell>
        </row>
        <row r="290">
          <cell r="A290" t="str">
            <v>Mophie</v>
          </cell>
          <cell r="B290" t="str">
            <v>ACCMOP052</v>
          </cell>
          <cell r="C290">
            <v>401101662</v>
          </cell>
          <cell r="D290" t="str">
            <v>848467073980</v>
          </cell>
          <cell r="E290" t="str">
            <v>Mophie POWERSTATION PLUS (6,000mAh) with Built-in Micro USB &amp; Lightning Cable + Extra USB-A Charging Port - Black</v>
          </cell>
          <cell r="F290" t="str">
            <v>Charger</v>
          </cell>
          <cell r="G290" t="str">
            <v>Power Bank</v>
          </cell>
          <cell r="H290" t="str">
            <v>6,000 mAh</v>
          </cell>
          <cell r="I290">
            <v>206.38</v>
          </cell>
          <cell r="J290">
            <v>0.39999799498746869</v>
          </cell>
          <cell r="K290">
            <v>399</v>
          </cell>
          <cell r="L290" t="str">
            <v>MacStore</v>
          </cell>
          <cell r="M290" t="str">
            <v>Discontinued</v>
          </cell>
          <cell r="N290" t="str">
            <v>401101662-M</v>
          </cell>
        </row>
        <row r="291">
          <cell r="A291" t="str">
            <v>Naztech</v>
          </cell>
          <cell r="B291" t="str">
            <v xml:space="preserve">
REFQIC005</v>
          </cell>
          <cell r="C291" t="str">
            <v>NZTGlasspcKit</v>
          </cell>
          <cell r="D291" t="str">
            <v>20633755153468</v>
          </cell>
          <cell r="E291" t="str">
            <v>Mica Naztech iPhone 12 Pro Max</v>
          </cell>
          <cell r="F291" t="str">
            <v>Micas</v>
          </cell>
          <cell r="G291" t="str">
            <v>Centro Servicio</v>
          </cell>
          <cell r="H291" t="str">
            <v>iPhone 12 Pro Max</v>
          </cell>
          <cell r="I291">
            <v>100</v>
          </cell>
          <cell r="J291">
            <v>0</v>
          </cell>
          <cell r="K291">
            <v>116</v>
          </cell>
          <cell r="L291" t="str">
            <v>MacStore</v>
          </cell>
          <cell r="M291" t="str">
            <v>Discontinued</v>
          </cell>
          <cell r="N291" t="str">
            <v>NZTGlasspcKit</v>
          </cell>
        </row>
        <row r="292">
          <cell r="A292" t="str">
            <v>Naztech</v>
          </cell>
          <cell r="B292" t="str">
            <v xml:space="preserve">
REFQIC005</v>
          </cell>
          <cell r="C292" t="str">
            <v>15346-M</v>
          </cell>
          <cell r="D292" t="str">
            <v>20633755153468</v>
          </cell>
          <cell r="E292" t="str">
            <v>Mica Naztech iPhone 12 Pro Max</v>
          </cell>
          <cell r="F292" t="str">
            <v>Micas</v>
          </cell>
          <cell r="G292" t="str">
            <v>Centro Servicio</v>
          </cell>
          <cell r="H292" t="str">
            <v>iPhone 12 Pro Max</v>
          </cell>
          <cell r="I292">
            <v>100</v>
          </cell>
          <cell r="J292">
            <v>0</v>
          </cell>
          <cell r="K292">
            <v>116</v>
          </cell>
          <cell r="L292" t="str">
            <v>MacStore</v>
          </cell>
          <cell r="M292" t="str">
            <v>Discontinued</v>
          </cell>
          <cell r="N292" t="str">
            <v>15346-M</v>
          </cell>
        </row>
        <row r="293">
          <cell r="A293" t="str">
            <v>Nomad</v>
          </cell>
          <cell r="B293" t="str">
            <v>CABNOM007</v>
          </cell>
          <cell r="C293" t="str">
            <v>NM01912B00</v>
          </cell>
          <cell r="D293" t="str">
            <v>856504015497</v>
          </cell>
          <cell r="E293" t="str">
            <v>Nomad Lightning Cable - 1.5M | USB C | Rugged</v>
          </cell>
          <cell r="F293" t="str">
            <v>Cables</v>
          </cell>
          <cell r="G293" t="str">
            <v>Lightning - Type C</v>
          </cell>
          <cell r="H293" t="str">
            <v>6 ft</v>
          </cell>
          <cell r="I293">
            <v>301.12</v>
          </cell>
          <cell r="J293">
            <v>0.30000160320641289</v>
          </cell>
          <cell r="K293">
            <v>499</v>
          </cell>
          <cell r="L293" t="str">
            <v>MacStore</v>
          </cell>
          <cell r="M293" t="str">
            <v>Discontinued</v>
          </cell>
          <cell r="N293" t="str">
            <v>NM01912B00-M</v>
          </cell>
        </row>
        <row r="294">
          <cell r="A294" t="str">
            <v>Nomad</v>
          </cell>
          <cell r="B294" t="str">
            <v>CABNOM008</v>
          </cell>
          <cell r="C294" t="str">
            <v>NM01022985</v>
          </cell>
          <cell r="D294" t="str">
            <v>856500010229</v>
          </cell>
          <cell r="E294" t="str">
            <v>Nomad Sport Cable - 2.0M | USB C | Lightning</v>
          </cell>
          <cell r="F294" t="str">
            <v>Cables</v>
          </cell>
          <cell r="G294" t="str">
            <v>Lightning - Type C</v>
          </cell>
          <cell r="H294" t="str">
            <v>6 ft</v>
          </cell>
          <cell r="I294">
            <v>391.64</v>
          </cell>
          <cell r="J294">
            <v>0.29999630200308169</v>
          </cell>
          <cell r="K294">
            <v>649</v>
          </cell>
          <cell r="L294" t="str">
            <v>MacStore</v>
          </cell>
          <cell r="M294" t="str">
            <v>Discontinued</v>
          </cell>
          <cell r="N294" t="str">
            <v>NM01022985-M</v>
          </cell>
        </row>
        <row r="295">
          <cell r="A295" t="str">
            <v>Nomad</v>
          </cell>
          <cell r="B295" t="str">
            <v>FUNNOM021</v>
          </cell>
          <cell r="C295" t="str">
            <v>NM01314585</v>
          </cell>
          <cell r="D295" t="str">
            <v>856500013145</v>
          </cell>
          <cell r="E295" t="str">
            <v>Nomad Sport Case - AirPods 3rd Generation | Ash Green</v>
          </cell>
          <cell r="F295" t="str">
            <v>Cases Airpods</v>
          </cell>
          <cell r="G295" t="str">
            <v>Airpods</v>
          </cell>
          <cell r="H295" t="str">
            <v>3rd G</v>
          </cell>
          <cell r="I295">
            <v>421.81</v>
          </cell>
          <cell r="J295">
            <v>0.30000057224606591</v>
          </cell>
          <cell r="K295">
            <v>699</v>
          </cell>
          <cell r="L295" t="str">
            <v>MacStore</v>
          </cell>
          <cell r="M295" t="str">
            <v>Discontinued</v>
          </cell>
          <cell r="N295" t="str">
            <v>NM01314585-M</v>
          </cell>
        </row>
        <row r="296">
          <cell r="A296" t="str">
            <v>Nomad</v>
          </cell>
          <cell r="B296" t="str">
            <v>FUNNOM022</v>
          </cell>
          <cell r="C296" t="str">
            <v>NM01312185</v>
          </cell>
          <cell r="D296" t="str">
            <v>856500013121</v>
          </cell>
          <cell r="E296" t="str">
            <v>Nomad Sport Case - AirPods 3rd Generation | Marine Blue</v>
          </cell>
          <cell r="F296" t="str">
            <v>Cases Airpods</v>
          </cell>
          <cell r="G296" t="str">
            <v>Airpods</v>
          </cell>
          <cell r="H296" t="str">
            <v>3rd G</v>
          </cell>
          <cell r="I296">
            <v>301.12</v>
          </cell>
          <cell r="J296">
            <v>0.30000160320641289</v>
          </cell>
          <cell r="K296">
            <v>499</v>
          </cell>
          <cell r="L296" t="str">
            <v>MacStore</v>
          </cell>
          <cell r="M296" t="str">
            <v>Discontinued</v>
          </cell>
          <cell r="N296" t="str">
            <v>NM01312185-M</v>
          </cell>
        </row>
        <row r="297">
          <cell r="A297" t="str">
            <v>Nomad</v>
          </cell>
          <cell r="B297" t="str">
            <v>IFUNNOM001</v>
          </cell>
          <cell r="C297" t="str">
            <v>NM01313885</v>
          </cell>
          <cell r="D297" t="str">
            <v>856500013138</v>
          </cell>
          <cell r="E297" t="str">
            <v>Nomad Sport Case - AirPods 3rd Generation | Lunar Gray</v>
          </cell>
          <cell r="F297" t="str">
            <v>Cases Airpods</v>
          </cell>
          <cell r="G297" t="str">
            <v>Airpods</v>
          </cell>
          <cell r="H297" t="str">
            <v>3rd G</v>
          </cell>
          <cell r="I297">
            <v>421.81</v>
          </cell>
          <cell r="J297">
            <v>0.30000057224606591</v>
          </cell>
          <cell r="K297">
            <v>699</v>
          </cell>
          <cell r="L297" t="str">
            <v>MacStore</v>
          </cell>
          <cell r="M297" t="str">
            <v>Discontinued</v>
          </cell>
          <cell r="N297" t="str">
            <v>NM01313885-M</v>
          </cell>
        </row>
        <row r="298">
          <cell r="A298" t="str">
            <v>Nomad</v>
          </cell>
          <cell r="B298" t="str">
            <v>FUNNOM043</v>
          </cell>
          <cell r="C298" t="str">
            <v>NM011291858</v>
          </cell>
          <cell r="D298" t="str">
            <v>856504011291</v>
          </cell>
          <cell r="E298" t="str">
            <v>Modern Leather Case - Airpods Pro 3 | Black | Horween</v>
          </cell>
          <cell r="F298" t="str">
            <v>Cases Airpods</v>
          </cell>
          <cell r="G298" t="str">
            <v>Airpods</v>
          </cell>
          <cell r="H298" t="str">
            <v>Airpods Pro 3</v>
          </cell>
          <cell r="I298">
            <v>482.16</v>
          </cell>
          <cell r="J298">
            <v>0.3</v>
          </cell>
          <cell r="K298">
            <v>799</v>
          </cell>
          <cell r="L298" t="str">
            <v>MacStore</v>
          </cell>
          <cell r="M298" t="str">
            <v>Active</v>
          </cell>
          <cell r="N298" t="str">
            <v>NM011291858</v>
          </cell>
        </row>
        <row r="299">
          <cell r="A299" t="str">
            <v>Nomad</v>
          </cell>
          <cell r="B299" t="str">
            <v>FUNNOM044</v>
          </cell>
          <cell r="C299" t="str">
            <v>NM011284858</v>
          </cell>
          <cell r="D299" t="str">
            <v>856504011284</v>
          </cell>
          <cell r="E299" t="str">
            <v>Modern Leather Case - Airpods Pro 3 | Rustic Brown | Horween</v>
          </cell>
          <cell r="F299" t="str">
            <v>Cases Airpods</v>
          </cell>
          <cell r="G299" t="str">
            <v>Airpods</v>
          </cell>
          <cell r="H299" t="str">
            <v>Airpods Pro 3</v>
          </cell>
          <cell r="I299">
            <v>482.16</v>
          </cell>
          <cell r="J299">
            <v>0.3</v>
          </cell>
          <cell r="K299">
            <v>799</v>
          </cell>
          <cell r="L299" t="str">
            <v>MacStore</v>
          </cell>
          <cell r="M299" t="str">
            <v>Active</v>
          </cell>
          <cell r="N299" t="str">
            <v>NM011284858</v>
          </cell>
        </row>
        <row r="300">
          <cell r="A300" t="str">
            <v>Nomad</v>
          </cell>
          <cell r="B300" t="str">
            <v>FUNNOM003</v>
          </cell>
          <cell r="C300" t="str">
            <v>NM220R0O00</v>
          </cell>
          <cell r="D300" t="str">
            <v>856500018539</v>
          </cell>
          <cell r="E300" t="str">
            <v>Nomad Airpods Case - Pro | Rustic Brown | Leather</v>
          </cell>
          <cell r="F300" t="str">
            <v>Cases Airpods</v>
          </cell>
          <cell r="G300" t="str">
            <v>Airpods</v>
          </cell>
          <cell r="H300" t="str">
            <v>Pro</v>
          </cell>
          <cell r="I300">
            <v>482.16</v>
          </cell>
          <cell r="J300">
            <v>0.29999299123904877</v>
          </cell>
          <cell r="K300">
            <v>799</v>
          </cell>
          <cell r="L300" t="str">
            <v>MacStore</v>
          </cell>
          <cell r="M300" t="str">
            <v>Discontinued</v>
          </cell>
          <cell r="N300" t="str">
            <v>NM220R0O00-M</v>
          </cell>
        </row>
        <row r="301">
          <cell r="A301" t="str">
            <v>Nomad</v>
          </cell>
          <cell r="B301" t="str">
            <v>FUNNOM032</v>
          </cell>
          <cell r="C301" t="str">
            <v>NM01836285</v>
          </cell>
          <cell r="D301" t="str">
            <v>856500018362</v>
          </cell>
          <cell r="E301" t="str">
            <v>Nomad Modern Leather Case - Airpods Pro (2nd gen) | Brown | Nomad Leather</v>
          </cell>
          <cell r="F301" t="str">
            <v>Cases Airpods</v>
          </cell>
          <cell r="G301" t="str">
            <v>Airpods</v>
          </cell>
          <cell r="H301" t="str">
            <v>Pro 2</v>
          </cell>
          <cell r="I301">
            <v>361.47</v>
          </cell>
          <cell r="J301">
            <v>0.29999131886477459</v>
          </cell>
          <cell r="K301">
            <v>599</v>
          </cell>
          <cell r="L301" t="str">
            <v>MacStore</v>
          </cell>
          <cell r="M301" t="str">
            <v>Discontinued</v>
          </cell>
          <cell r="N301" t="str">
            <v>NM01836285-M</v>
          </cell>
        </row>
        <row r="302">
          <cell r="A302" t="str">
            <v>Nomad</v>
          </cell>
          <cell r="B302" t="str">
            <v>FUNNOM031</v>
          </cell>
          <cell r="C302" t="str">
            <v>NM01806585</v>
          </cell>
          <cell r="D302" t="str">
            <v>856500018065</v>
          </cell>
          <cell r="E302" t="str">
            <v>Nomad Modern Leather Case - Airpods Pro (2nd gen) | Black | Nomad Leather</v>
          </cell>
          <cell r="F302" t="str">
            <v>Cases Airpods</v>
          </cell>
          <cell r="G302" t="str">
            <v>Airpods</v>
          </cell>
          <cell r="H302" t="str">
            <v>Pro 2</v>
          </cell>
          <cell r="I302">
            <v>361.47</v>
          </cell>
          <cell r="J302">
            <v>0.29999131886477459</v>
          </cell>
          <cell r="K302">
            <v>599</v>
          </cell>
          <cell r="L302" t="str">
            <v>MacStore</v>
          </cell>
          <cell r="M302" t="str">
            <v>Discontinued</v>
          </cell>
          <cell r="N302" t="str">
            <v>NM01806585-M</v>
          </cell>
        </row>
        <row r="303">
          <cell r="A303" t="str">
            <v>Nomad</v>
          </cell>
          <cell r="B303" t="str">
            <v>FUNNOM017</v>
          </cell>
          <cell r="C303" t="str">
            <v>NM01996385</v>
          </cell>
          <cell r="D303" t="str">
            <v>856500019963</v>
          </cell>
          <cell r="E303" t="str">
            <v>Nomad Airpods Case - Pro 2 | Black | Horween Leather</v>
          </cell>
          <cell r="F303" t="str">
            <v>Cases Airpods</v>
          </cell>
          <cell r="G303" t="str">
            <v>Airpods</v>
          </cell>
          <cell r="H303" t="str">
            <v>Pro 2</v>
          </cell>
          <cell r="I303">
            <v>482.16</v>
          </cell>
          <cell r="J303">
            <v>0.29999299123904877</v>
          </cell>
          <cell r="K303">
            <v>799</v>
          </cell>
          <cell r="L303" t="str">
            <v>MacStore</v>
          </cell>
          <cell r="M303" t="str">
            <v>Discontinued</v>
          </cell>
          <cell r="N303" t="str">
            <v>NM01996385-M</v>
          </cell>
        </row>
        <row r="304">
          <cell r="A304" t="str">
            <v>Nomad</v>
          </cell>
          <cell r="B304" t="str">
            <v>FUNNOM018</v>
          </cell>
          <cell r="C304" t="str">
            <v>NM01997085</v>
          </cell>
          <cell r="D304" t="str">
            <v>856500019970</v>
          </cell>
          <cell r="E304" t="str">
            <v>Nomad Airpods Case - Pro 2 | Rustic Brown | Horween Leather</v>
          </cell>
          <cell r="F304" t="str">
            <v>Cases Airpods</v>
          </cell>
          <cell r="G304" t="str">
            <v>Airpods</v>
          </cell>
          <cell r="H304" t="str">
            <v>Pro 2</v>
          </cell>
          <cell r="I304">
            <v>482.16</v>
          </cell>
          <cell r="J304">
            <v>0.29999299123904877</v>
          </cell>
          <cell r="K304">
            <v>799</v>
          </cell>
          <cell r="L304" t="str">
            <v>MacStore</v>
          </cell>
          <cell r="M304" t="str">
            <v>Discontinued</v>
          </cell>
          <cell r="N304" t="str">
            <v>NM01997085-M</v>
          </cell>
        </row>
        <row r="305">
          <cell r="A305" t="str">
            <v>Nomad</v>
          </cell>
          <cell r="B305" t="str">
            <v>FUNNOM004</v>
          </cell>
          <cell r="C305" t="str">
            <v>NM01011385</v>
          </cell>
          <cell r="D305" t="str">
            <v>856500010113</v>
          </cell>
          <cell r="E305" t="str">
            <v>Nomad Keychain - AirTag | Rustic Brown | Horween Leather</v>
          </cell>
          <cell r="F305" t="str">
            <v>Cases AirTag</v>
          </cell>
          <cell r="G305" t="str">
            <v>AirTag</v>
          </cell>
          <cell r="H305" t="str">
            <v>AirTag</v>
          </cell>
          <cell r="I305">
            <v>482.15</v>
          </cell>
          <cell r="J305">
            <v>0.30000750938673348</v>
          </cell>
          <cell r="K305">
            <v>799</v>
          </cell>
          <cell r="L305" t="str">
            <v>MacStore</v>
          </cell>
          <cell r="M305" t="str">
            <v>Discontinued</v>
          </cell>
          <cell r="N305" t="str">
            <v>NM01011385-M</v>
          </cell>
        </row>
        <row r="306">
          <cell r="A306" t="str">
            <v>Nomad</v>
          </cell>
          <cell r="B306" t="str">
            <v>FUNNOM000</v>
          </cell>
          <cell r="C306" t="str">
            <v>NM01056485</v>
          </cell>
          <cell r="D306" t="str">
            <v>856500010564</v>
          </cell>
          <cell r="E306" t="str">
            <v>Nomad Modern Leather Case - Rustic Brown | Horween Leather | MagSafe | iPhone 13</v>
          </cell>
          <cell r="F306" t="str">
            <v>Cases iPhone</v>
          </cell>
          <cell r="G306" t="str">
            <v>iPhone 13</v>
          </cell>
          <cell r="H306" t="str">
            <v>iPhone 13</v>
          </cell>
          <cell r="I306">
            <v>421.81</v>
          </cell>
          <cell r="J306">
            <v>0.30000057224606591</v>
          </cell>
          <cell r="K306">
            <v>699</v>
          </cell>
          <cell r="L306" t="str">
            <v>MacStore</v>
          </cell>
          <cell r="M306" t="str">
            <v>Discontinued</v>
          </cell>
          <cell r="N306" t="str">
            <v>NM01056485-M</v>
          </cell>
        </row>
        <row r="307">
          <cell r="A307" t="str">
            <v>Nomad</v>
          </cell>
          <cell r="B307" t="str">
            <v>FUNNOM001</v>
          </cell>
          <cell r="C307" t="str">
            <v>NM01058885</v>
          </cell>
          <cell r="D307" t="str">
            <v>856500010588</v>
          </cell>
          <cell r="E307" t="str">
            <v>Nomad Modern Leather Case - Rustic Brown | Horween Leather | MagSafe | iPhone 13 Pro</v>
          </cell>
          <cell r="F307" t="str">
            <v>Cases iPhone</v>
          </cell>
          <cell r="G307" t="str">
            <v>iPhone 13</v>
          </cell>
          <cell r="H307" t="str">
            <v>iPhone 13 Pro</v>
          </cell>
          <cell r="I307">
            <v>602.84</v>
          </cell>
          <cell r="J307">
            <v>0.30000560560560563</v>
          </cell>
          <cell r="K307">
            <v>999</v>
          </cell>
          <cell r="L307" t="str">
            <v>MacStore</v>
          </cell>
          <cell r="M307" t="str">
            <v>Discontinued</v>
          </cell>
          <cell r="N307" t="str">
            <v>NM01058885-M</v>
          </cell>
        </row>
        <row r="308">
          <cell r="A308" t="str">
            <v>Nomad</v>
          </cell>
          <cell r="B308" t="str">
            <v>FUNNOM002</v>
          </cell>
          <cell r="C308" t="str">
            <v>NM01063285</v>
          </cell>
          <cell r="D308" t="str">
            <v>856500010632</v>
          </cell>
          <cell r="E308" t="str">
            <v>Nomad Modern Leather Case - Black | Horween Leather | MagSafe | iPhone 13 Pro Max</v>
          </cell>
          <cell r="F308" t="str">
            <v>Cases iPhone</v>
          </cell>
          <cell r="G308" t="str">
            <v>iPhone 13</v>
          </cell>
          <cell r="H308" t="str">
            <v>iPhone 13 Pro Max</v>
          </cell>
          <cell r="I308">
            <v>602.84</v>
          </cell>
          <cell r="J308">
            <v>0.30000560560560563</v>
          </cell>
          <cell r="K308">
            <v>999</v>
          </cell>
          <cell r="L308" t="str">
            <v>MacStore</v>
          </cell>
          <cell r="M308" t="str">
            <v>Discontinued</v>
          </cell>
          <cell r="N308" t="str">
            <v>NM01063285-M</v>
          </cell>
        </row>
        <row r="309">
          <cell r="A309" t="str">
            <v>Nomad</v>
          </cell>
          <cell r="B309" t="str">
            <v>FUNNOM009</v>
          </cell>
          <cell r="C309" t="str">
            <v>NM01205685</v>
          </cell>
          <cell r="D309" t="str">
            <v>856500012056</v>
          </cell>
          <cell r="E309" t="str">
            <v>Nomad Sport Case - iPhone 14 | Carbide</v>
          </cell>
          <cell r="F309" t="str">
            <v>Cases iPhone</v>
          </cell>
          <cell r="G309" t="str">
            <v>iPhone 14</v>
          </cell>
          <cell r="H309" t="str">
            <v>iPhone 14</v>
          </cell>
          <cell r="I309">
            <v>542.5</v>
          </cell>
          <cell r="J309">
            <v>0.30000000000000004</v>
          </cell>
          <cell r="K309">
            <v>899</v>
          </cell>
          <cell r="L309" t="str">
            <v>MacStore</v>
          </cell>
          <cell r="M309" t="str">
            <v>Discontinued</v>
          </cell>
          <cell r="N309" t="str">
            <v>NM01205685-M</v>
          </cell>
        </row>
        <row r="310">
          <cell r="A310" t="str">
            <v>Nomad</v>
          </cell>
          <cell r="B310" t="str">
            <v>FUNNOM010</v>
          </cell>
          <cell r="C310" t="str">
            <v>NM01209485</v>
          </cell>
          <cell r="D310" t="str">
            <v>856500012094</v>
          </cell>
          <cell r="E310" t="str">
            <v>Nomad Sport Case - iPhone 14 Pro Max | Ash Green</v>
          </cell>
          <cell r="F310" t="str">
            <v>Cases iPhone</v>
          </cell>
          <cell r="G310" t="str">
            <v>iPhone 14</v>
          </cell>
          <cell r="H310" t="str">
            <v>iPhone 14 Max</v>
          </cell>
          <cell r="I310">
            <v>542.5</v>
          </cell>
          <cell r="J310">
            <v>0.30000000000000004</v>
          </cell>
          <cell r="K310">
            <v>899</v>
          </cell>
          <cell r="L310" t="str">
            <v>MacStore</v>
          </cell>
          <cell r="M310" t="str">
            <v>Discontinued</v>
          </cell>
          <cell r="N310" t="str">
            <v>NM01209485-M</v>
          </cell>
        </row>
        <row r="311">
          <cell r="A311" t="str">
            <v>Nomad</v>
          </cell>
          <cell r="B311" t="str">
            <v>FUNNOM011</v>
          </cell>
          <cell r="C311" t="str">
            <v>NM01206385</v>
          </cell>
          <cell r="D311" t="str">
            <v>856500012063</v>
          </cell>
          <cell r="E311" t="str">
            <v>Nomad Sport Case - iPhone 14 Pro Max | Marine Blue</v>
          </cell>
          <cell r="F311" t="str">
            <v>Cases iPhone</v>
          </cell>
          <cell r="G311" t="str">
            <v>iPhone 14</v>
          </cell>
          <cell r="H311" t="str">
            <v>iPhone 14 Max</v>
          </cell>
          <cell r="I311">
            <v>542.5</v>
          </cell>
          <cell r="J311">
            <v>0.30000000000000004</v>
          </cell>
          <cell r="K311">
            <v>899</v>
          </cell>
          <cell r="L311" t="str">
            <v>MacStore</v>
          </cell>
          <cell r="M311" t="str">
            <v>Discontinued</v>
          </cell>
          <cell r="N311" t="str">
            <v>NM01206385-M</v>
          </cell>
        </row>
        <row r="312">
          <cell r="A312" t="str">
            <v>Nomad</v>
          </cell>
          <cell r="B312" t="str">
            <v>FUNNOM012</v>
          </cell>
          <cell r="C312" t="str">
            <v>NM01289685</v>
          </cell>
          <cell r="D312" t="str">
            <v>856500012896</v>
          </cell>
          <cell r="E312" t="str">
            <v>Nomad Sport Case - iPhone 14 Max | Carbide</v>
          </cell>
          <cell r="F312" t="str">
            <v>Cases iPhone</v>
          </cell>
          <cell r="G312" t="str">
            <v>iPhone 14</v>
          </cell>
          <cell r="H312" t="str">
            <v>iPhone 14 Max</v>
          </cell>
          <cell r="I312">
            <v>542.5</v>
          </cell>
          <cell r="J312">
            <v>0.30000000000000004</v>
          </cell>
          <cell r="K312">
            <v>899</v>
          </cell>
          <cell r="L312" t="str">
            <v>MacStore</v>
          </cell>
          <cell r="M312" t="str">
            <v>Discontinued</v>
          </cell>
          <cell r="N312" t="str">
            <v>NM01289685-M</v>
          </cell>
        </row>
        <row r="313">
          <cell r="A313" t="str">
            <v>Nomad</v>
          </cell>
          <cell r="B313" t="str">
            <v>FUNNOM013</v>
          </cell>
          <cell r="C313" t="str">
            <v>NM01131885</v>
          </cell>
          <cell r="D313" t="str">
            <v>856500011318</v>
          </cell>
          <cell r="E313" t="str">
            <v>Nomad Sport Case - iPhone 14 Pro Max | Carbide</v>
          </cell>
          <cell r="F313" t="str">
            <v>Cases iPhone</v>
          </cell>
          <cell r="G313" t="str">
            <v>iPhone 14</v>
          </cell>
          <cell r="H313" t="str">
            <v>iPhone 14 Max</v>
          </cell>
          <cell r="I313">
            <v>542.5</v>
          </cell>
          <cell r="J313">
            <v>0.30000000000000004</v>
          </cell>
          <cell r="K313">
            <v>899</v>
          </cell>
          <cell r="L313" t="str">
            <v>MacStore</v>
          </cell>
          <cell r="M313" t="str">
            <v>Discontinued</v>
          </cell>
          <cell r="N313" t="str">
            <v>NM01131885-M</v>
          </cell>
        </row>
        <row r="314">
          <cell r="A314" t="str">
            <v>Nomad</v>
          </cell>
          <cell r="B314" t="str">
            <v>FUNNOM020</v>
          </cell>
          <cell r="C314" t="str">
            <v>NM01154785</v>
          </cell>
          <cell r="D314" t="str">
            <v>856500011547</v>
          </cell>
          <cell r="E314" t="str">
            <v>Nomad Rugged Case - Ultra Orange | iPhone 14 Pro Max</v>
          </cell>
          <cell r="F314" t="str">
            <v>Cases iPhone</v>
          </cell>
          <cell r="G314" t="str">
            <v>iPhone 14</v>
          </cell>
          <cell r="H314" t="str">
            <v>iPhone 14 Max</v>
          </cell>
          <cell r="I314">
            <v>602.84</v>
          </cell>
          <cell r="J314">
            <v>0.30000560560560563</v>
          </cell>
          <cell r="K314">
            <v>999</v>
          </cell>
          <cell r="L314" t="str">
            <v>MacStore</v>
          </cell>
          <cell r="M314" t="str">
            <v>Discontinued</v>
          </cell>
          <cell r="N314" t="str">
            <v>NM01154785-M</v>
          </cell>
        </row>
        <row r="315">
          <cell r="A315" t="str">
            <v>Nomad</v>
          </cell>
          <cell r="B315" t="str">
            <v>FUNNOM019</v>
          </cell>
          <cell r="C315" t="str">
            <v>NM01152385</v>
          </cell>
          <cell r="D315" t="str">
            <v>856500011523</v>
          </cell>
          <cell r="E315" t="str">
            <v>Nomad Rugged Case - Ultra Orange | iPhone 14 Pro</v>
          </cell>
          <cell r="F315" t="str">
            <v>Cases iPhone</v>
          </cell>
          <cell r="G315" t="str">
            <v>iPhone 14</v>
          </cell>
          <cell r="H315" t="str">
            <v>iPhone 14 Pro</v>
          </cell>
          <cell r="I315">
            <v>602.84</v>
          </cell>
          <cell r="J315">
            <v>0.30000560560560563</v>
          </cell>
          <cell r="K315">
            <v>999</v>
          </cell>
          <cell r="L315" t="str">
            <v>MacStore</v>
          </cell>
          <cell r="M315" t="str">
            <v>Discontinued</v>
          </cell>
          <cell r="N315" t="str">
            <v>NM01152385-M</v>
          </cell>
        </row>
        <row r="316">
          <cell r="A316" t="str">
            <v>Nomad</v>
          </cell>
          <cell r="B316" t="str">
            <v>FUNNOM005</v>
          </cell>
          <cell r="C316" t="str">
            <v>NM01222385</v>
          </cell>
          <cell r="D316" t="str">
            <v>856500012223</v>
          </cell>
          <cell r="E316" t="str">
            <v>Nomad Modern Leather Case - iPhone 14 Pro | Black | Horween Leather</v>
          </cell>
          <cell r="F316" t="str">
            <v>Cases iPhone</v>
          </cell>
          <cell r="G316" t="str">
            <v>iPhone 14</v>
          </cell>
          <cell r="H316" t="str">
            <v>iPhone 14 Pro</v>
          </cell>
          <cell r="I316">
            <v>904.57</v>
          </cell>
          <cell r="J316">
            <v>0.29999919946631093</v>
          </cell>
          <cell r="K316">
            <v>1499</v>
          </cell>
          <cell r="L316" t="str">
            <v>MacStore</v>
          </cell>
          <cell r="M316" t="str">
            <v>Discontinued</v>
          </cell>
          <cell r="N316" t="str">
            <v>NM01222385-M</v>
          </cell>
        </row>
        <row r="317">
          <cell r="A317" t="str">
            <v>Nomad</v>
          </cell>
          <cell r="B317" t="str">
            <v>FUNNOM006</v>
          </cell>
          <cell r="C317" t="str">
            <v>NM01225485</v>
          </cell>
          <cell r="D317" t="str">
            <v>856500012254</v>
          </cell>
          <cell r="E317" t="str">
            <v>Nomad Modern Leather Case - iPhone 14 Pro | Rustic Brown | Horween Leather</v>
          </cell>
          <cell r="F317" t="str">
            <v>Cases iPhone</v>
          </cell>
          <cell r="G317" t="str">
            <v>iPhone 14</v>
          </cell>
          <cell r="H317" t="str">
            <v>iPhone 14 Pro</v>
          </cell>
          <cell r="I317">
            <v>904.57</v>
          </cell>
          <cell r="J317">
            <v>0.29999919946631093</v>
          </cell>
          <cell r="K317">
            <v>1499</v>
          </cell>
          <cell r="L317" t="str">
            <v>MacStore</v>
          </cell>
          <cell r="M317" t="str">
            <v>Discontinued</v>
          </cell>
          <cell r="N317" t="str">
            <v>NM01225485-M</v>
          </cell>
        </row>
        <row r="318">
          <cell r="A318" t="str">
            <v>Nomad</v>
          </cell>
          <cell r="B318" t="str">
            <v>FUNNOM014</v>
          </cell>
          <cell r="C318" t="str">
            <v>NM01210085</v>
          </cell>
          <cell r="D318" t="str">
            <v>856500012100</v>
          </cell>
          <cell r="E318" t="str">
            <v>Nomad Sport Case - iPhone 14 Pro | Ash Green</v>
          </cell>
          <cell r="F318" t="str">
            <v>Cases iPhone</v>
          </cell>
          <cell r="G318" t="str">
            <v>iPhone 14</v>
          </cell>
          <cell r="H318" t="str">
            <v>iPhone 14 Pro</v>
          </cell>
          <cell r="I318">
            <v>542.5</v>
          </cell>
          <cell r="J318">
            <v>0.30000000000000004</v>
          </cell>
          <cell r="K318">
            <v>899</v>
          </cell>
          <cell r="L318" t="str">
            <v>MacStore</v>
          </cell>
          <cell r="M318" t="str">
            <v>Discontinued</v>
          </cell>
          <cell r="N318" t="str">
            <v>NM01210085-M</v>
          </cell>
        </row>
        <row r="319">
          <cell r="A319" t="str">
            <v>Nomad</v>
          </cell>
          <cell r="B319" t="str">
            <v>FUNNOM015</v>
          </cell>
          <cell r="C319" t="str">
            <v>NM01207085</v>
          </cell>
          <cell r="D319" t="str">
            <v>856500012070</v>
          </cell>
          <cell r="E319" t="str">
            <v>Nomad Sport Case - iPhone 14 Pro | Marine Blue</v>
          </cell>
          <cell r="F319" t="str">
            <v>Cases iPhone</v>
          </cell>
          <cell r="G319" t="str">
            <v>iPhone 14</v>
          </cell>
          <cell r="H319" t="str">
            <v>iPhone 14 Pro</v>
          </cell>
          <cell r="I319">
            <v>542.5</v>
          </cell>
          <cell r="J319">
            <v>0.30000000000000004</v>
          </cell>
          <cell r="K319">
            <v>899</v>
          </cell>
          <cell r="L319" t="str">
            <v>MacStore</v>
          </cell>
          <cell r="M319" t="str">
            <v>Discontinued</v>
          </cell>
          <cell r="N319" t="str">
            <v>NM01207085-M</v>
          </cell>
        </row>
        <row r="320">
          <cell r="A320" t="str">
            <v>Nomad</v>
          </cell>
          <cell r="B320" t="str">
            <v>FUNNOM016</v>
          </cell>
          <cell r="C320" t="str">
            <v>NM01204985</v>
          </cell>
          <cell r="D320" t="str">
            <v>856500012049</v>
          </cell>
          <cell r="E320" t="str">
            <v>Nomad Sport Case - iPhone 14 Pro | Carbide</v>
          </cell>
          <cell r="F320" t="str">
            <v>Cases iPhone</v>
          </cell>
          <cell r="G320" t="str">
            <v>iPhone 14</v>
          </cell>
          <cell r="H320" t="str">
            <v>iPhone 14 Pro</v>
          </cell>
          <cell r="I320">
            <v>542.5</v>
          </cell>
          <cell r="J320">
            <v>0.30000000000000004</v>
          </cell>
          <cell r="K320">
            <v>899</v>
          </cell>
          <cell r="L320" t="str">
            <v>MacStore</v>
          </cell>
          <cell r="M320" t="str">
            <v>Discontinued</v>
          </cell>
          <cell r="N320" t="str">
            <v>NM01204985-M</v>
          </cell>
        </row>
        <row r="321">
          <cell r="A321" t="str">
            <v>Nomad</v>
          </cell>
          <cell r="B321" t="str">
            <v>FUNNOM007</v>
          </cell>
          <cell r="C321" t="str">
            <v>NM01221685</v>
          </cell>
          <cell r="D321" t="str">
            <v>856500012216</v>
          </cell>
          <cell r="E321" t="str">
            <v>Nomad Modern Leather Case - iPhone 14 Pro Max | Black | Horween Leather</v>
          </cell>
          <cell r="F321" t="str">
            <v>Cases iPhone</v>
          </cell>
          <cell r="G321" t="str">
            <v>iPhone 14</v>
          </cell>
          <cell r="H321" t="str">
            <v>iPhone 14 Pro Max</v>
          </cell>
          <cell r="I321">
            <v>904.57</v>
          </cell>
          <cell r="J321">
            <v>0.29999919946631093</v>
          </cell>
          <cell r="K321">
            <v>1499</v>
          </cell>
          <cell r="L321" t="str">
            <v>MacStore</v>
          </cell>
          <cell r="M321" t="str">
            <v>Discontinued</v>
          </cell>
          <cell r="N321" t="str">
            <v>NM01221685-M</v>
          </cell>
        </row>
        <row r="322">
          <cell r="A322" t="str">
            <v>Nomad</v>
          </cell>
          <cell r="B322" t="str">
            <v>FUNNOM008</v>
          </cell>
          <cell r="C322" t="str">
            <v>NM01224785</v>
          </cell>
          <cell r="D322" t="str">
            <v>856500012247</v>
          </cell>
          <cell r="E322" t="str">
            <v>Nomad Modern Leather Case - iPhone 14 Pro Max | Rustic Brown | Horween Leather</v>
          </cell>
          <cell r="F322" t="str">
            <v>Cases iPhone</v>
          </cell>
          <cell r="G322" t="str">
            <v>iPhone 14</v>
          </cell>
          <cell r="H322" t="str">
            <v>iPhone 14 Pro Max</v>
          </cell>
          <cell r="I322">
            <v>904.57</v>
          </cell>
          <cell r="J322">
            <v>0.29999919946631093</v>
          </cell>
          <cell r="K322">
            <v>1499</v>
          </cell>
          <cell r="L322" t="str">
            <v>MacStore</v>
          </cell>
          <cell r="M322" t="str">
            <v>Discontinued</v>
          </cell>
          <cell r="N322" t="str">
            <v>NM01224785-M</v>
          </cell>
        </row>
        <row r="323">
          <cell r="A323" t="str">
            <v>Nomad</v>
          </cell>
          <cell r="B323" t="str">
            <v>FUNNOM024</v>
          </cell>
          <cell r="C323" t="str">
            <v>NM01614685</v>
          </cell>
          <cell r="D323" t="str">
            <v>856500016146</v>
          </cell>
          <cell r="E323" t="str">
            <v>Nomad Modern Leather Case - iPhone 15 Pro | Brown | Nomad Leather</v>
          </cell>
          <cell r="F323" t="str">
            <v>Cases iPhone</v>
          </cell>
          <cell r="G323" t="str">
            <v>iPhone 15</v>
          </cell>
          <cell r="H323" t="str">
            <v>iPhone 15 Pro</v>
          </cell>
          <cell r="I323">
            <v>602.84</v>
          </cell>
          <cell r="J323">
            <v>0.30000560560560563</v>
          </cell>
          <cell r="K323">
            <v>999</v>
          </cell>
          <cell r="L323" t="str">
            <v>MacStore</v>
          </cell>
          <cell r="M323" t="str">
            <v>Discontinued</v>
          </cell>
          <cell r="N323" t="str">
            <v>NM01614685-M</v>
          </cell>
        </row>
        <row r="324">
          <cell r="A324" t="str">
            <v>Nomad</v>
          </cell>
          <cell r="B324" t="str">
            <v>FUNNOM023</v>
          </cell>
          <cell r="C324" t="str">
            <v>NM01613985</v>
          </cell>
          <cell r="D324" t="str">
            <v>856500016139</v>
          </cell>
          <cell r="E324" t="str">
            <v>Nomad Modern Leather Case - iPhone 15 Pro | Black | Nomad Leather</v>
          </cell>
          <cell r="F324" t="str">
            <v>Cases iPhone</v>
          </cell>
          <cell r="G324" t="str">
            <v>iPhone 15</v>
          </cell>
          <cell r="H324" t="str">
            <v>iPhone 15 Pro</v>
          </cell>
          <cell r="I324">
            <v>602.84</v>
          </cell>
          <cell r="J324">
            <v>0.30000560560560563</v>
          </cell>
          <cell r="K324">
            <v>999</v>
          </cell>
          <cell r="L324" t="str">
            <v>MacStore</v>
          </cell>
          <cell r="M324" t="str">
            <v>Discontinued</v>
          </cell>
          <cell r="N324" t="str">
            <v>NM01613985-M</v>
          </cell>
        </row>
        <row r="325">
          <cell r="A325" t="str">
            <v>Nomad</v>
          </cell>
          <cell r="B325" t="str">
            <v>FUNNOM027</v>
          </cell>
          <cell r="C325" t="str">
            <v>NM01638285</v>
          </cell>
          <cell r="D325" t="str">
            <v>856500016382</v>
          </cell>
          <cell r="E325" t="str">
            <v>Nomad Rugged Case - iPhone 15 Pro | Atlantic Blue</v>
          </cell>
          <cell r="F325" t="str">
            <v>Cases iPhone</v>
          </cell>
          <cell r="G325" t="str">
            <v>iPhone 15</v>
          </cell>
          <cell r="H325" t="str">
            <v>iPhone 15 Pro</v>
          </cell>
          <cell r="I325">
            <v>602.84</v>
          </cell>
          <cell r="J325">
            <v>0.30000560560560563</v>
          </cell>
          <cell r="K325">
            <v>999</v>
          </cell>
          <cell r="L325" t="str">
            <v>MacStore</v>
          </cell>
          <cell r="M325" t="str">
            <v>Discontinued</v>
          </cell>
          <cell r="N325" t="str">
            <v>NM01638285-M</v>
          </cell>
        </row>
        <row r="326">
          <cell r="A326" t="str">
            <v>Nomad</v>
          </cell>
          <cell r="B326" t="str">
            <v>FUNNOM028</v>
          </cell>
          <cell r="C326" t="str">
            <v>NM01670285</v>
          </cell>
          <cell r="D326" t="str">
            <v>856500016702</v>
          </cell>
          <cell r="E326" t="str">
            <v>Nomad Rugged Case - iPhone 15 Pro | Ultra Orange</v>
          </cell>
          <cell r="F326" t="str">
            <v>Cases iPhone</v>
          </cell>
          <cell r="G326" t="str">
            <v>iPhone 15</v>
          </cell>
          <cell r="H326" t="str">
            <v>iPhone 15 Pro</v>
          </cell>
          <cell r="I326">
            <v>602.84</v>
          </cell>
          <cell r="J326">
            <v>0.30000560560560563</v>
          </cell>
          <cell r="K326">
            <v>999</v>
          </cell>
          <cell r="L326" t="str">
            <v>MacStore</v>
          </cell>
          <cell r="M326" t="str">
            <v>Discontinued</v>
          </cell>
          <cell r="N326" t="str">
            <v>NM01670285-M</v>
          </cell>
        </row>
        <row r="327">
          <cell r="A327" t="str">
            <v>Nomad</v>
          </cell>
          <cell r="B327" t="str">
            <v>FUNNOM026</v>
          </cell>
          <cell r="C327" t="str">
            <v>NM01619185</v>
          </cell>
          <cell r="D327" t="str">
            <v>856500016191</v>
          </cell>
          <cell r="E327" t="str">
            <v>Nomad Modern Leather Case - iPhone 15 Pro Max | Brown | Nomad Leather</v>
          </cell>
          <cell r="F327" t="str">
            <v>Cases iPhone</v>
          </cell>
          <cell r="G327" t="str">
            <v>iPhone 15</v>
          </cell>
          <cell r="H327" t="str">
            <v>iPhone 15 Pro Max</v>
          </cell>
          <cell r="I327">
            <v>602.84</v>
          </cell>
          <cell r="J327">
            <v>0.30000560560560563</v>
          </cell>
          <cell r="K327">
            <v>999</v>
          </cell>
          <cell r="L327" t="str">
            <v>MacStore</v>
          </cell>
          <cell r="M327" t="str">
            <v>Discontinued</v>
          </cell>
          <cell r="N327" t="str">
            <v>NM01619185-M</v>
          </cell>
        </row>
        <row r="328">
          <cell r="A328" t="str">
            <v>Nomad</v>
          </cell>
          <cell r="B328" t="str">
            <v>FUNNOM025</v>
          </cell>
          <cell r="C328" t="str">
            <v>NM01618485</v>
          </cell>
          <cell r="D328" t="str">
            <v>856500016184</v>
          </cell>
          <cell r="E328" t="str">
            <v>Nomad Modern Leather Case - iPhone 15 Pro Max | Black | Nomad Leather</v>
          </cell>
          <cell r="F328" t="str">
            <v>Cases iPhone</v>
          </cell>
          <cell r="G328" t="str">
            <v>iPhone 15</v>
          </cell>
          <cell r="H328" t="str">
            <v>iPhone 15 Pro Max</v>
          </cell>
          <cell r="I328">
            <v>602.84</v>
          </cell>
          <cell r="J328">
            <v>0.30000560560560563</v>
          </cell>
          <cell r="K328">
            <v>999</v>
          </cell>
          <cell r="L328" t="str">
            <v>MacStore</v>
          </cell>
          <cell r="M328" t="str">
            <v>Discontinued</v>
          </cell>
          <cell r="N328" t="str">
            <v>NM01618485-M</v>
          </cell>
        </row>
        <row r="329">
          <cell r="A329" t="str">
            <v>Nomad</v>
          </cell>
          <cell r="B329" t="str">
            <v>FUNNOM029</v>
          </cell>
          <cell r="C329" t="str">
            <v>NM01641285</v>
          </cell>
          <cell r="D329" t="str">
            <v>856500016412</v>
          </cell>
          <cell r="E329" t="str">
            <v>Nomad Rugged Case - iPhone 15 Pro Max | Atlantic Blue</v>
          </cell>
          <cell r="F329" t="str">
            <v>Cases iPhone</v>
          </cell>
          <cell r="G329" t="str">
            <v>iPhone 15</v>
          </cell>
          <cell r="H329" t="str">
            <v>iPhone Pro Max</v>
          </cell>
          <cell r="I329">
            <v>602.84</v>
          </cell>
          <cell r="J329">
            <v>0.30000560560560563</v>
          </cell>
          <cell r="K329">
            <v>999</v>
          </cell>
          <cell r="L329" t="str">
            <v>MacStore</v>
          </cell>
          <cell r="M329" t="str">
            <v>Discontinued</v>
          </cell>
          <cell r="N329" t="str">
            <v>NM01641285-M</v>
          </cell>
        </row>
        <row r="330">
          <cell r="A330" t="str">
            <v>Nomad</v>
          </cell>
          <cell r="B330" t="str">
            <v>FUNNOM030</v>
          </cell>
          <cell r="C330" t="str">
            <v>NM01671985</v>
          </cell>
          <cell r="D330" t="str">
            <v>856500016719</v>
          </cell>
          <cell r="E330" t="str">
            <v>Nomad Rugged Case - iPhone 15 Pro Max | Ultra Orange</v>
          </cell>
          <cell r="F330" t="str">
            <v>Cases iPhone</v>
          </cell>
          <cell r="G330" t="str">
            <v>iPhone 15</v>
          </cell>
          <cell r="H330" t="str">
            <v>iPhone Pro Max</v>
          </cell>
          <cell r="I330">
            <v>602.84</v>
          </cell>
          <cell r="J330">
            <v>0.30000560560560563</v>
          </cell>
          <cell r="K330">
            <v>999</v>
          </cell>
          <cell r="L330" t="str">
            <v>MacStore</v>
          </cell>
          <cell r="M330" t="str">
            <v>Discontinued</v>
          </cell>
          <cell r="N330" t="str">
            <v>NM01671985-M</v>
          </cell>
        </row>
        <row r="331">
          <cell r="A331" t="str">
            <v>Nomad</v>
          </cell>
          <cell r="B331" t="str">
            <v>FUNNOM034</v>
          </cell>
          <cell r="C331" t="str">
            <v>NM01696285</v>
          </cell>
          <cell r="D331" t="str">
            <v>856500016962</v>
          </cell>
          <cell r="E331" t="str">
            <v>Nomad Modern Leather Case - iPhone 16 Pro  Brown</v>
          </cell>
          <cell r="F331" t="str">
            <v>Cases iPhone</v>
          </cell>
          <cell r="G331" t="str">
            <v>iPhone 16</v>
          </cell>
          <cell r="H331" t="str">
            <v>iPhone 16 Pro / iPhone 17</v>
          </cell>
          <cell r="I331">
            <v>602.84</v>
          </cell>
          <cell r="J331">
            <v>0.30000560560560563</v>
          </cell>
          <cell r="K331">
            <v>999</v>
          </cell>
          <cell r="L331" t="str">
            <v>MacStore</v>
          </cell>
          <cell r="M331" t="str">
            <v>Discontinued</v>
          </cell>
          <cell r="N331" t="str">
            <v>NM01696285-M</v>
          </cell>
        </row>
        <row r="332">
          <cell r="A332" t="str">
            <v>Nomad</v>
          </cell>
          <cell r="B332" t="str">
            <v>FUNNOM036</v>
          </cell>
          <cell r="C332" t="str">
            <v>NM01697985</v>
          </cell>
          <cell r="D332" t="str">
            <v>856500016979</v>
          </cell>
          <cell r="E332" t="str">
            <v>Nomad Modern Leather Case - iPhone 16 Pro  Black</v>
          </cell>
          <cell r="F332" t="str">
            <v>Cases iPhone</v>
          </cell>
          <cell r="G332" t="str">
            <v>iPhone 16</v>
          </cell>
          <cell r="H332" t="str">
            <v>iPhone 16 Pro / iPhone 17</v>
          </cell>
          <cell r="I332">
            <v>602.84</v>
          </cell>
          <cell r="J332">
            <v>0.30000560560560563</v>
          </cell>
          <cell r="K332">
            <v>999</v>
          </cell>
          <cell r="L332" t="str">
            <v>MacStore</v>
          </cell>
          <cell r="M332" t="str">
            <v>Discontinued</v>
          </cell>
          <cell r="N332" t="str">
            <v>NM01697985-M</v>
          </cell>
        </row>
        <row r="333">
          <cell r="A333" t="str">
            <v>Nomad</v>
          </cell>
          <cell r="B333" t="str">
            <v>FUNNOM038</v>
          </cell>
          <cell r="C333" t="str">
            <v>NM01695585</v>
          </cell>
          <cell r="D333" t="str">
            <v>856500016955</v>
          </cell>
          <cell r="E333" t="str">
            <v xml:space="preserve">Nomad Modern Leather Case - iPhone 16 Pro  English Tan-C </v>
          </cell>
          <cell r="F333" t="str">
            <v>Cases iPhone</v>
          </cell>
          <cell r="G333" t="str">
            <v>iPhone 16</v>
          </cell>
          <cell r="H333" t="str">
            <v>iPhone 16 Pro / iPhone 17</v>
          </cell>
          <cell r="I333">
            <v>602.84</v>
          </cell>
          <cell r="J333">
            <v>0.30000560560560563</v>
          </cell>
          <cell r="K333">
            <v>999</v>
          </cell>
          <cell r="L333" t="str">
            <v>MacStore</v>
          </cell>
          <cell r="M333" t="str">
            <v>Discontinued</v>
          </cell>
          <cell r="N333" t="str">
            <v>NM01695585-M</v>
          </cell>
        </row>
        <row r="334">
          <cell r="A334" t="str">
            <v>Nomad</v>
          </cell>
          <cell r="B334" t="str">
            <v>FUNNOM035</v>
          </cell>
          <cell r="C334" t="str">
            <v>NM01693185</v>
          </cell>
          <cell r="D334" t="str">
            <v>856500016931</v>
          </cell>
          <cell r="E334" t="str">
            <v xml:space="preserve">Nomad Modern Leather Case - iPhone 16 Pro Max  Black </v>
          </cell>
          <cell r="F334" t="str">
            <v>Cases iPhone</v>
          </cell>
          <cell r="G334" t="str">
            <v>iPhone 16</v>
          </cell>
          <cell r="H334" t="str">
            <v>iPhone 16 Pro Max</v>
          </cell>
          <cell r="I334">
            <v>602.84</v>
          </cell>
          <cell r="J334">
            <v>0.30000560560560563</v>
          </cell>
          <cell r="K334">
            <v>999</v>
          </cell>
          <cell r="L334" t="str">
            <v>MacStore</v>
          </cell>
          <cell r="M334" t="str">
            <v>Discontinued</v>
          </cell>
          <cell r="N334" t="str">
            <v>NM01693185-M</v>
          </cell>
        </row>
        <row r="335">
          <cell r="A335" t="str">
            <v>Nomad</v>
          </cell>
          <cell r="B335" t="str">
            <v>FUNNOM037</v>
          </cell>
          <cell r="C335" t="str">
            <v>NM01691785</v>
          </cell>
          <cell r="D335" t="str">
            <v>856500016917</v>
          </cell>
          <cell r="E335" t="str">
            <v>Nomad Modern Leather Case - iPhone 16 Pro Max  English Tan-C</v>
          </cell>
          <cell r="F335" t="str">
            <v>Cases iPhone</v>
          </cell>
          <cell r="G335" t="str">
            <v>iPhone 16</v>
          </cell>
          <cell r="H335" t="str">
            <v>iPhone 16 Pro Max</v>
          </cell>
          <cell r="I335">
            <v>602.84</v>
          </cell>
          <cell r="J335">
            <v>0.30000560560560563</v>
          </cell>
          <cell r="K335">
            <v>999</v>
          </cell>
          <cell r="L335" t="str">
            <v>MacStore</v>
          </cell>
          <cell r="M335" t="str">
            <v>Discontinued</v>
          </cell>
          <cell r="N335" t="str">
            <v>NM01691785-M</v>
          </cell>
        </row>
        <row r="336">
          <cell r="A336" t="str">
            <v>Nomad</v>
          </cell>
          <cell r="B336" t="str">
            <v>FUNNOM033</v>
          </cell>
          <cell r="C336" t="str">
            <v>NM01692485</v>
          </cell>
          <cell r="D336" t="str">
            <v>856500016924</v>
          </cell>
          <cell r="E336" t="str">
            <v>Nomad Modern Leather Case - iPhone 16 Pro Max | Brown | Nomad Leather</v>
          </cell>
          <cell r="F336" t="str">
            <v>Cases iPhone</v>
          </cell>
          <cell r="G336" t="str">
            <v>iPhone 16</v>
          </cell>
          <cell r="H336" t="str">
            <v>iPhone 16 Pro Max</v>
          </cell>
          <cell r="I336">
            <v>602.84</v>
          </cell>
          <cell r="J336">
            <v>0.30000560560560563</v>
          </cell>
          <cell r="K336">
            <v>999</v>
          </cell>
          <cell r="L336" t="str">
            <v>MacStore</v>
          </cell>
          <cell r="M336" t="str">
            <v>Discontinued</v>
          </cell>
          <cell r="N336" t="str">
            <v>NM01692485-M</v>
          </cell>
        </row>
        <row r="337">
          <cell r="A337" t="str">
            <v>Nomad</v>
          </cell>
          <cell r="B337" t="str">
            <v>FUNNOM039</v>
          </cell>
          <cell r="C337" t="str">
            <v>NM014339858</v>
          </cell>
          <cell r="D337" t="str">
            <v>856504014339</v>
          </cell>
          <cell r="E337" t="str">
            <v>Nomad Modern Leather Case - iPhone 17 Pro | Black | Nomad Leather</v>
          </cell>
          <cell r="F337" t="str">
            <v>Cases iPhone</v>
          </cell>
          <cell r="G337" t="str">
            <v>iPhone 17</v>
          </cell>
          <cell r="H337" t="str">
            <v>iPhone 17 Pro</v>
          </cell>
          <cell r="I337">
            <v>602.84</v>
          </cell>
          <cell r="J337">
            <v>0.30000560560560563</v>
          </cell>
          <cell r="K337">
            <v>999</v>
          </cell>
          <cell r="L337" t="str">
            <v>MacStore</v>
          </cell>
          <cell r="M337" t="str">
            <v>Active</v>
          </cell>
          <cell r="N337" t="str">
            <v>NM014339858</v>
          </cell>
        </row>
        <row r="338">
          <cell r="A338" t="str">
            <v>Nomad</v>
          </cell>
          <cell r="B338" t="str">
            <v>FUNNOM040</v>
          </cell>
          <cell r="C338" t="str">
            <v>NM014322858</v>
          </cell>
          <cell r="D338" t="str">
            <v>856504014322</v>
          </cell>
          <cell r="E338" t="str">
            <v>Nomad Modern Leather Case - iPhone 17 Pro | Brown | Nomad Leather</v>
          </cell>
          <cell r="F338" t="str">
            <v>Cases iPhone</v>
          </cell>
          <cell r="G338" t="str">
            <v>iPhone 17</v>
          </cell>
          <cell r="H338" t="str">
            <v>iPhone 17 Pro</v>
          </cell>
          <cell r="I338">
            <v>602.84</v>
          </cell>
          <cell r="J338">
            <v>0.30000560560560563</v>
          </cell>
          <cell r="K338">
            <v>999</v>
          </cell>
          <cell r="L338" t="str">
            <v>MacStore</v>
          </cell>
          <cell r="M338" t="str">
            <v>Active</v>
          </cell>
          <cell r="N338" t="str">
            <v>NM014322858</v>
          </cell>
        </row>
        <row r="339">
          <cell r="A339" t="str">
            <v>Nomad</v>
          </cell>
          <cell r="B339" t="str">
            <v>FUNNOM041</v>
          </cell>
          <cell r="C339" t="str">
            <v>NM014285858</v>
          </cell>
          <cell r="D339" t="str">
            <v>856504014285</v>
          </cell>
          <cell r="E339" t="str">
            <v>Nomad Modern Leather Case - iPhone 17 Pro Max | Black | Nomad Leather</v>
          </cell>
          <cell r="F339" t="str">
            <v>Cases iPhone</v>
          </cell>
          <cell r="G339" t="str">
            <v>iPhone 17</v>
          </cell>
          <cell r="H339" t="str">
            <v>iPhone 17 Pro Max</v>
          </cell>
          <cell r="I339">
            <v>602.84</v>
          </cell>
          <cell r="J339">
            <v>0.30000560560560563</v>
          </cell>
          <cell r="K339">
            <v>999</v>
          </cell>
          <cell r="L339" t="str">
            <v>MacStore</v>
          </cell>
          <cell r="M339" t="str">
            <v>Active</v>
          </cell>
          <cell r="N339" t="str">
            <v>NM014285858</v>
          </cell>
        </row>
        <row r="340">
          <cell r="A340" t="str">
            <v>Nomad</v>
          </cell>
          <cell r="B340" t="str">
            <v>FUNNOM042</v>
          </cell>
          <cell r="C340" t="str">
            <v>NM014278858</v>
          </cell>
          <cell r="D340" t="str">
            <v>856504014278</v>
          </cell>
          <cell r="E340" t="str">
            <v>Nomad Modern Leather Case - iPhone 17 Pro Max | Brown | Nomad Leather</v>
          </cell>
          <cell r="F340" t="str">
            <v>Cases iPhone</v>
          </cell>
          <cell r="G340" t="str">
            <v>iPhone 17</v>
          </cell>
          <cell r="H340" t="str">
            <v>iPhone 17 Pro Max</v>
          </cell>
          <cell r="I340">
            <v>602.84</v>
          </cell>
          <cell r="J340">
            <v>0.30000560560560563</v>
          </cell>
          <cell r="K340">
            <v>999</v>
          </cell>
          <cell r="L340" t="str">
            <v>MacStore</v>
          </cell>
          <cell r="M340" t="str">
            <v>Active</v>
          </cell>
          <cell r="N340" t="str">
            <v>NM014278858</v>
          </cell>
        </row>
        <row r="341">
          <cell r="A341" t="str">
            <v>Nomad</v>
          </cell>
          <cell r="B341" t="str">
            <v>ACCNOM004</v>
          </cell>
          <cell r="C341" t="str">
            <v>NM01186885</v>
          </cell>
          <cell r="D341" t="str">
            <v>856500011868</v>
          </cell>
          <cell r="E341" t="str">
            <v>Nomad AC Adapter - 35W | Slim | Carbide</v>
          </cell>
          <cell r="F341" t="str">
            <v>Charger</v>
          </cell>
          <cell r="G341" t="str">
            <v>Wall charger</v>
          </cell>
          <cell r="H341" t="str">
            <v>35W</v>
          </cell>
          <cell r="I341">
            <v>421.81</v>
          </cell>
          <cell r="J341">
            <v>0.30000057224606591</v>
          </cell>
          <cell r="K341">
            <v>699</v>
          </cell>
          <cell r="L341" t="str">
            <v>MacStore</v>
          </cell>
          <cell r="M341" t="str">
            <v>Discontinued</v>
          </cell>
          <cell r="N341" t="str">
            <v>NM01186885-M</v>
          </cell>
        </row>
        <row r="342">
          <cell r="A342" t="str">
            <v>Nomad</v>
          </cell>
          <cell r="B342" t="str">
            <v>ACCNOM003</v>
          </cell>
          <cell r="C342" t="str">
            <v>NM01187585</v>
          </cell>
          <cell r="D342" t="str">
            <v>856500011875</v>
          </cell>
          <cell r="E342" t="str">
            <v>Nomad AC Adapter - 65W | Slim | Carbide</v>
          </cell>
          <cell r="F342" t="str">
            <v>Charger</v>
          </cell>
          <cell r="G342" t="str">
            <v>Wall charger</v>
          </cell>
          <cell r="H342" t="str">
            <v>65W</v>
          </cell>
          <cell r="I342">
            <v>783.88</v>
          </cell>
          <cell r="J342">
            <v>0.2999993841416474</v>
          </cell>
          <cell r="K342">
            <v>1299</v>
          </cell>
          <cell r="L342" t="str">
            <v>MacStore</v>
          </cell>
          <cell r="M342" t="str">
            <v>Active</v>
          </cell>
          <cell r="N342" t="str">
            <v>NM01187585-M</v>
          </cell>
        </row>
        <row r="343">
          <cell r="A343" t="str">
            <v>Nomad</v>
          </cell>
          <cell r="B343" t="str">
            <v>ACCNOM002</v>
          </cell>
          <cell r="C343" t="str">
            <v>NM01994985</v>
          </cell>
          <cell r="D343" t="str">
            <v>856500019949</v>
          </cell>
          <cell r="E343" t="str">
            <v>Nomad AC Adapter - 65W | PD</v>
          </cell>
          <cell r="F343" t="str">
            <v>Charger</v>
          </cell>
          <cell r="G343" t="str">
            <v>Wall charger</v>
          </cell>
          <cell r="H343" t="str">
            <v>65W</v>
          </cell>
          <cell r="I343">
            <v>1025.26</v>
          </cell>
          <cell r="J343">
            <v>0.2999990582695703</v>
          </cell>
          <cell r="K343">
            <v>1699</v>
          </cell>
          <cell r="L343" t="str">
            <v>MacStore</v>
          </cell>
          <cell r="M343" t="str">
            <v>Discontinued</v>
          </cell>
          <cell r="N343" t="str">
            <v>NM01994985</v>
          </cell>
        </row>
        <row r="344">
          <cell r="A344" t="str">
            <v>Nomad</v>
          </cell>
          <cell r="B344" t="str">
            <v>EXTNOM006</v>
          </cell>
          <cell r="C344" t="str">
            <v>NM1A310000</v>
          </cell>
          <cell r="D344" t="str">
            <v>856500018706</v>
          </cell>
          <cell r="E344" t="str">
            <v>Nomad Sport Strap - 41/40mm/38mm | S/M | Black | FKM | V2</v>
          </cell>
          <cell r="F344" t="str">
            <v>Straps</v>
          </cell>
          <cell r="G344" t="str">
            <v>Apple Watch</v>
          </cell>
          <cell r="H344" t="str">
            <v>38mm/40mm/41mm</v>
          </cell>
          <cell r="I344">
            <v>615.82000000000005</v>
          </cell>
          <cell r="J344">
            <v>0.34999890809827106</v>
          </cell>
          <cell r="K344">
            <v>1099</v>
          </cell>
          <cell r="L344" t="str">
            <v>MacStore</v>
          </cell>
          <cell r="M344" t="str">
            <v>Discontinued</v>
          </cell>
          <cell r="N344" t="str">
            <v>NM1A310000-M</v>
          </cell>
        </row>
        <row r="345">
          <cell r="A345" t="str">
            <v>Nomad</v>
          </cell>
          <cell r="B345" t="str">
            <v>EXTNOM018</v>
          </cell>
          <cell r="C345" t="str">
            <v>NM013589858</v>
          </cell>
          <cell r="D345" t="str">
            <v>856500013589</v>
          </cell>
          <cell r="E345" t="str">
            <v>Nomad Rocky Point Band - 45mm | Atlantic</v>
          </cell>
          <cell r="F345" t="str">
            <v>Straps</v>
          </cell>
          <cell r="G345" t="str">
            <v>Apple Watch</v>
          </cell>
          <cell r="H345" t="str">
            <v>49/45/44 mm</v>
          </cell>
          <cell r="I345">
            <v>1008.06</v>
          </cell>
          <cell r="J345">
            <v>0.35000022234574779</v>
          </cell>
          <cell r="K345">
            <v>1799</v>
          </cell>
          <cell r="L345" t="str">
            <v>MacStore</v>
          </cell>
          <cell r="M345" t="str">
            <v>Discontinued</v>
          </cell>
          <cell r="N345" t="str">
            <v>NM013589858</v>
          </cell>
        </row>
        <row r="346">
          <cell r="A346" t="str">
            <v>Nomad</v>
          </cell>
          <cell r="B346" t="str">
            <v>EXTNOM019</v>
          </cell>
          <cell r="C346" t="str">
            <v>NM013596858</v>
          </cell>
          <cell r="D346" t="str">
            <v>856500013596</v>
          </cell>
          <cell r="E346" t="str">
            <v>Nomad Rocky Point Band - 45mm | Storm</v>
          </cell>
          <cell r="F346" t="str">
            <v>Straps</v>
          </cell>
          <cell r="G346" t="str">
            <v>Apple Watch</v>
          </cell>
          <cell r="H346" t="str">
            <v>49/45/44 mm</v>
          </cell>
          <cell r="I346">
            <v>1008.06</v>
          </cell>
          <cell r="J346">
            <v>0.35000022234574779</v>
          </cell>
          <cell r="K346">
            <v>1799</v>
          </cell>
          <cell r="L346" t="str">
            <v>MacStore</v>
          </cell>
          <cell r="M346" t="str">
            <v>Discontinued</v>
          </cell>
          <cell r="N346" t="str">
            <v>NM013596858</v>
          </cell>
        </row>
        <row r="347">
          <cell r="A347" t="str">
            <v>Nomad</v>
          </cell>
          <cell r="B347" t="str">
            <v>EXTNOM020</v>
          </cell>
          <cell r="C347" t="str">
            <v>NM013602858</v>
          </cell>
          <cell r="D347" t="str">
            <v>856500013602</v>
          </cell>
          <cell r="E347" t="str">
            <v>Nomad Rocky Point Band - 45mm | Sol</v>
          </cell>
          <cell r="F347" t="str">
            <v>Straps</v>
          </cell>
          <cell r="G347" t="str">
            <v>Apple Watch</v>
          </cell>
          <cell r="H347" t="str">
            <v>49/45/44 mm</v>
          </cell>
          <cell r="I347">
            <v>1008.06</v>
          </cell>
          <cell r="J347">
            <v>0.35000022234574779</v>
          </cell>
          <cell r="K347">
            <v>1799</v>
          </cell>
          <cell r="L347" t="str">
            <v>MacStore</v>
          </cell>
          <cell r="M347" t="str">
            <v>Discontinued</v>
          </cell>
          <cell r="N347" t="str">
            <v>NM013602858</v>
          </cell>
        </row>
        <row r="348">
          <cell r="A348" t="str">
            <v>Nomad</v>
          </cell>
          <cell r="B348" t="str">
            <v>EXTNOM005</v>
          </cell>
          <cell r="C348" t="str">
            <v>NM1Am10000</v>
          </cell>
          <cell r="D348" t="str">
            <v>856500018522</v>
          </cell>
          <cell r="E348" t="str">
            <v>Nomad Sport Strap - 45/44mm/42mm | M/L | Black | FKM | V2</v>
          </cell>
          <cell r="F348" t="str">
            <v>Straps</v>
          </cell>
          <cell r="G348" t="str">
            <v>Apple Watch</v>
          </cell>
          <cell r="H348" t="str">
            <v>49/45/44/42 mm</v>
          </cell>
          <cell r="I348">
            <v>615.82000000000005</v>
          </cell>
          <cell r="J348">
            <v>0.34999890809827106</v>
          </cell>
          <cell r="K348">
            <v>1099</v>
          </cell>
          <cell r="L348" t="str">
            <v>MacStore</v>
          </cell>
          <cell r="M348" t="str">
            <v>Active</v>
          </cell>
          <cell r="N348" t="str">
            <v>NM1Am10000-M</v>
          </cell>
        </row>
        <row r="349">
          <cell r="A349" t="str">
            <v>Nomad</v>
          </cell>
          <cell r="B349" t="str">
            <v>EXTNOM027</v>
          </cell>
          <cell r="C349" t="str">
            <v>NM014803858</v>
          </cell>
          <cell r="D349" t="str">
            <v>856504014803</v>
          </cell>
          <cell r="E349" t="str">
            <v>Nomad Rocky Point Band - 46mm/49mm | Storm | Black Hardware</v>
          </cell>
          <cell r="F349" t="str">
            <v>Straps</v>
          </cell>
          <cell r="G349" t="str">
            <v>APPLE WATCH</v>
          </cell>
          <cell r="H349" t="str">
            <v>49/45/44/42 mm</v>
          </cell>
          <cell r="I349">
            <v>1008.06</v>
          </cell>
          <cell r="J349">
            <v>0.35</v>
          </cell>
          <cell r="K349">
            <v>1799</v>
          </cell>
          <cell r="L349" t="str">
            <v>MacStore</v>
          </cell>
          <cell r="M349" t="str">
            <v>Discontinued</v>
          </cell>
          <cell r="N349" t="str">
            <v>NM014803858</v>
          </cell>
        </row>
        <row r="350">
          <cell r="A350" t="str">
            <v>Nomad</v>
          </cell>
          <cell r="B350" t="str">
            <v>EXTNOM026</v>
          </cell>
          <cell r="C350" t="str">
            <v>NM014827858</v>
          </cell>
          <cell r="D350" t="str">
            <v>856504014827</v>
          </cell>
          <cell r="E350" t="str">
            <v>Nomad Rocky Point Band - 46mm/49mm | Atlantic | Black Hardware</v>
          </cell>
          <cell r="F350" t="str">
            <v>Straps</v>
          </cell>
          <cell r="G350" t="str">
            <v>APPLE WATCH</v>
          </cell>
          <cell r="H350" t="str">
            <v>49/45/44/42 mm</v>
          </cell>
          <cell r="I350">
            <v>1008.06</v>
          </cell>
          <cell r="J350">
            <v>0.35</v>
          </cell>
          <cell r="K350">
            <v>1799</v>
          </cell>
          <cell r="L350" t="str">
            <v>MacStore</v>
          </cell>
          <cell r="M350" t="str">
            <v>Active</v>
          </cell>
          <cell r="N350" t="str">
            <v>NM014827858</v>
          </cell>
        </row>
        <row r="351">
          <cell r="A351" t="str">
            <v>Nomad</v>
          </cell>
          <cell r="B351" t="str">
            <v>EXTNOM022</v>
          </cell>
          <cell r="C351" t="str">
            <v>NM014810858</v>
          </cell>
          <cell r="D351" t="str">
            <v>856504014810</v>
          </cell>
          <cell r="E351" t="str">
            <v>Nomad Rocky Point Band - 45mm | Sol | Black Hardware</v>
          </cell>
          <cell r="F351" t="str">
            <v>Straps</v>
          </cell>
          <cell r="G351" t="str">
            <v>Apple Watch</v>
          </cell>
          <cell r="H351" t="str">
            <v>49/45/44/42 mm</v>
          </cell>
          <cell r="I351">
            <v>1008.06</v>
          </cell>
          <cell r="J351">
            <v>0.35000022234574779</v>
          </cell>
          <cell r="K351">
            <v>1799</v>
          </cell>
          <cell r="L351" t="str">
            <v>MacStore</v>
          </cell>
          <cell r="M351" t="str">
            <v>Active</v>
          </cell>
          <cell r="N351" t="str">
            <v>NM014810858</v>
          </cell>
        </row>
        <row r="352">
          <cell r="A352" t="str">
            <v>Nomad</v>
          </cell>
          <cell r="B352" t="str">
            <v>EXTNOM007</v>
          </cell>
          <cell r="C352" t="str">
            <v>NM01958185</v>
          </cell>
          <cell r="D352" t="str">
            <v>856500019581</v>
          </cell>
          <cell r="E352" t="str">
            <v>Nomad Sport Band - 45/44mm/42mm | M/L | Lunar Gray | FKM | V2</v>
          </cell>
          <cell r="F352" t="str">
            <v>Straps</v>
          </cell>
          <cell r="G352" t="str">
            <v>Apple Watch</v>
          </cell>
          <cell r="H352" t="str">
            <v>49/45/44/42 mm</v>
          </cell>
          <cell r="I352">
            <v>615.82000000000005</v>
          </cell>
          <cell r="J352">
            <v>0.34999890809827106</v>
          </cell>
          <cell r="K352">
            <v>1099</v>
          </cell>
          <cell r="L352" t="str">
            <v>MacStore</v>
          </cell>
          <cell r="M352" t="str">
            <v>Discontinued</v>
          </cell>
          <cell r="N352" t="str">
            <v>NM01958185-M</v>
          </cell>
        </row>
        <row r="353">
          <cell r="A353" t="str">
            <v>Nomad</v>
          </cell>
          <cell r="B353" t="str">
            <v>EXTNOM017</v>
          </cell>
          <cell r="C353" t="str">
            <v>NM014858858</v>
          </cell>
          <cell r="D353" t="str">
            <v>856504014858</v>
          </cell>
          <cell r="E353" t="str">
            <v>Nomad Titanium Band - 46mm/49mm | Natural Hardware | V2</v>
          </cell>
          <cell r="F353" t="str">
            <v>Straps</v>
          </cell>
          <cell r="G353" t="str">
            <v>Apple Watch</v>
          </cell>
          <cell r="H353" t="str">
            <v>49/45/44/42 mm</v>
          </cell>
          <cell r="I353">
            <v>3620.09</v>
          </cell>
          <cell r="J353">
            <v>0.2999992665444241</v>
          </cell>
          <cell r="K353">
            <v>5999</v>
          </cell>
          <cell r="L353" t="str">
            <v>MacStore</v>
          </cell>
          <cell r="M353" t="str">
            <v>Discontinued</v>
          </cell>
          <cell r="N353" t="str">
            <v>NM014858858</v>
          </cell>
        </row>
        <row r="354">
          <cell r="A354" t="str">
            <v>Nomad</v>
          </cell>
          <cell r="B354" t="str">
            <v>EXTNOM009</v>
          </cell>
          <cell r="C354" t="str">
            <v>NM01132585</v>
          </cell>
          <cell r="D354" t="str">
            <v>856500011325</v>
          </cell>
          <cell r="E354" t="str">
            <v>Nomad Sport Band - 45/44mm/42mm | M/L | Ash Green | FKM | V2</v>
          </cell>
          <cell r="F354" t="str">
            <v>Straps</v>
          </cell>
          <cell r="G354" t="str">
            <v>Apple Watch</v>
          </cell>
          <cell r="H354" t="str">
            <v>49/45/44/42 mm</v>
          </cell>
          <cell r="I354">
            <v>615.82000000000005</v>
          </cell>
          <cell r="J354">
            <v>0.34999890809827106</v>
          </cell>
          <cell r="K354">
            <v>1099</v>
          </cell>
          <cell r="L354" t="str">
            <v>MacStore</v>
          </cell>
          <cell r="M354" t="str">
            <v>Discontinued</v>
          </cell>
          <cell r="N354" t="str">
            <v>NM01132585-M</v>
          </cell>
        </row>
        <row r="355">
          <cell r="A355" t="str">
            <v>Nomad</v>
          </cell>
          <cell r="B355" t="str">
            <v>EXTNOM011</v>
          </cell>
          <cell r="C355" t="str">
            <v>NM00736685</v>
          </cell>
          <cell r="D355" t="str">
            <v>855848007366</v>
          </cell>
          <cell r="E355" t="str">
            <v>Nomad Sport Band - 45mm | Ultra Orange</v>
          </cell>
          <cell r="F355" t="str">
            <v>Straps</v>
          </cell>
          <cell r="G355" t="str">
            <v>Apple Watch</v>
          </cell>
          <cell r="H355" t="str">
            <v>49/45/44/42 mm</v>
          </cell>
          <cell r="I355">
            <v>615.82000000000005</v>
          </cell>
          <cell r="J355">
            <v>0.34999890809827106</v>
          </cell>
          <cell r="K355">
            <v>1099</v>
          </cell>
          <cell r="L355" t="str">
            <v>MacStore</v>
          </cell>
          <cell r="M355" t="str">
            <v>Active</v>
          </cell>
          <cell r="N355" t="str">
            <v>NM00736685-M</v>
          </cell>
        </row>
        <row r="356">
          <cell r="A356" t="str">
            <v>Nomad</v>
          </cell>
          <cell r="B356" t="str">
            <v>EXTNOM021</v>
          </cell>
          <cell r="C356" t="str">
            <v>NM014919858</v>
          </cell>
          <cell r="D356" t="str">
            <v>856504014919</v>
          </cell>
          <cell r="E356" t="str">
            <v>Nomad Sport Band - 49/45/44mm/42mm | M/L | Naval</v>
          </cell>
          <cell r="F356" t="str">
            <v>Straps</v>
          </cell>
          <cell r="G356" t="str">
            <v>Apple Watch</v>
          </cell>
          <cell r="H356" t="str">
            <v>49/45/44/42 mm</v>
          </cell>
          <cell r="I356">
            <v>615.82000000000005</v>
          </cell>
          <cell r="J356">
            <v>0.34999890809827106</v>
          </cell>
          <cell r="K356">
            <v>1099</v>
          </cell>
          <cell r="L356" t="str">
            <v>MacStore</v>
          </cell>
          <cell r="M356" t="str">
            <v>Active</v>
          </cell>
          <cell r="N356" t="str">
            <v>NM014919858</v>
          </cell>
        </row>
        <row r="357">
          <cell r="A357" t="str">
            <v>Nomad</v>
          </cell>
          <cell r="B357" t="str">
            <v>EXTNOM014</v>
          </cell>
          <cell r="C357" t="str">
            <v>NM01111085</v>
          </cell>
          <cell r="D357" t="str">
            <v>856500011110</v>
          </cell>
          <cell r="E357" t="str">
            <v>Nomad Sport Band - 49/45/44/42mm White FKM V2</v>
          </cell>
          <cell r="F357" t="str">
            <v>Straps</v>
          </cell>
          <cell r="G357" t="str">
            <v>Apple Watch</v>
          </cell>
          <cell r="H357" t="str">
            <v>49/45/44/42 mm</v>
          </cell>
          <cell r="I357">
            <v>615.82000000000005</v>
          </cell>
          <cell r="J357">
            <v>0.34999890809827106</v>
          </cell>
          <cell r="K357">
            <v>1099</v>
          </cell>
          <cell r="L357" t="str">
            <v>MacStore</v>
          </cell>
          <cell r="M357" t="str">
            <v>Discontinued</v>
          </cell>
          <cell r="N357" t="str">
            <v>NM01111085-M</v>
          </cell>
        </row>
        <row r="358">
          <cell r="A358" t="str">
            <v>Nomad</v>
          </cell>
          <cell r="B358" t="str">
            <v>EXTNOM023</v>
          </cell>
          <cell r="C358" t="str">
            <v>NM014865858</v>
          </cell>
          <cell r="D358" t="str">
            <v>856504014865</v>
          </cell>
          <cell r="E358" t="str">
            <v>Nomad Rocky Point Band - 42mm/45mm/46mm/49mm Magma Black Hardware</v>
          </cell>
          <cell r="F358" t="str">
            <v>Straps</v>
          </cell>
          <cell r="G358" t="str">
            <v>Apple Watch</v>
          </cell>
          <cell r="H358" t="str">
            <v>49/45/44/42 mm</v>
          </cell>
          <cell r="I358">
            <v>1008.06</v>
          </cell>
          <cell r="J358">
            <v>0.35000022234574779</v>
          </cell>
          <cell r="K358">
            <v>1799</v>
          </cell>
          <cell r="L358" t="str">
            <v>MacStore</v>
          </cell>
          <cell r="M358" t="str">
            <v>Discontinued</v>
          </cell>
          <cell r="N358" t="str">
            <v>NM014865858</v>
          </cell>
        </row>
        <row r="359">
          <cell r="A359" t="str">
            <v>Nomad</v>
          </cell>
          <cell r="B359" t="str">
            <v>EXTNOM024</v>
          </cell>
          <cell r="C359" t="str">
            <v>NM1A41BXT0</v>
          </cell>
          <cell r="D359" t="str">
            <v>856500018133</v>
          </cell>
          <cell r="E359" t="str">
            <v>Nomad Titanium Band - 42mm/45mm/46mm/49mm | Black Hardware</v>
          </cell>
          <cell r="F359" t="str">
            <v>Straps</v>
          </cell>
          <cell r="G359" t="str">
            <v>Apple Watch</v>
          </cell>
          <cell r="H359" t="str">
            <v>49/45/44/42 mm</v>
          </cell>
          <cell r="I359">
            <v>3620.09</v>
          </cell>
          <cell r="J359">
            <v>0.2999992665444241</v>
          </cell>
          <cell r="K359">
            <v>5999</v>
          </cell>
          <cell r="L359" t="str">
            <v>MacStore</v>
          </cell>
          <cell r="M359" t="str">
            <v>Discontinued</v>
          </cell>
          <cell r="N359" t="str">
            <v>NM1A41BXT0</v>
          </cell>
        </row>
        <row r="360">
          <cell r="A360" t="str">
            <v>Nomad</v>
          </cell>
          <cell r="B360" t="str">
            <v>EXTNOM025</v>
          </cell>
          <cell r="C360" t="str">
            <v>NM011697858</v>
          </cell>
          <cell r="D360" t="str">
            <v>856504011697</v>
          </cell>
          <cell r="E360" t="str">
            <v>Nomad Rocky Point Band - 46mm/49mm | Carbon Black | Black Hardware</v>
          </cell>
          <cell r="F360" t="str">
            <v>Straps</v>
          </cell>
          <cell r="G360" t="str">
            <v>APPLE WATCH</v>
          </cell>
          <cell r="H360" t="str">
            <v>49/45/44/42 mm</v>
          </cell>
          <cell r="I360">
            <v>1008.06</v>
          </cell>
          <cell r="J360">
            <v>0.35</v>
          </cell>
          <cell r="K360">
            <v>1799</v>
          </cell>
          <cell r="L360" t="str">
            <v>MacStore</v>
          </cell>
          <cell r="M360" t="str">
            <v>Active</v>
          </cell>
          <cell r="N360" t="str">
            <v>NM011697858</v>
          </cell>
        </row>
        <row r="361">
          <cell r="A361" t="str">
            <v>Nomad</v>
          </cell>
          <cell r="B361" t="str">
            <v>EXTNOM028</v>
          </cell>
          <cell r="C361" t="str">
            <v>NM011116858</v>
          </cell>
          <cell r="D361" t="str">
            <v>856504011116</v>
          </cell>
          <cell r="E361" t="str">
            <v>Nomad Stratos Band - 49mm | Black Titanium | Ultra Orange FKM</v>
          </cell>
          <cell r="F361" t="str">
            <v>Straps</v>
          </cell>
          <cell r="G361" t="str">
            <v>Apple Watch</v>
          </cell>
          <cell r="H361" t="str">
            <v>49/45/44/42 mm</v>
          </cell>
          <cell r="I361">
            <v>2413.19</v>
          </cell>
          <cell r="J361">
            <v>0.29999989997499377</v>
          </cell>
          <cell r="K361">
            <v>3999</v>
          </cell>
          <cell r="L361" t="str">
            <v>MacStore</v>
          </cell>
          <cell r="M361" t="str">
            <v>Active</v>
          </cell>
          <cell r="N361" t="str">
            <v>NM011116858</v>
          </cell>
        </row>
        <row r="362">
          <cell r="A362" t="str">
            <v>Nomad</v>
          </cell>
          <cell r="B362" t="str">
            <v>EXTNOM029</v>
          </cell>
          <cell r="C362" t="str">
            <v>NM011123858</v>
          </cell>
          <cell r="D362" t="str">
            <v>856504011123</v>
          </cell>
          <cell r="E362" t="str">
            <v>Nomad Stratos Band - 49mm | Natural Titanium | Ultra Orange FKM</v>
          </cell>
          <cell r="F362" t="str">
            <v>Straps</v>
          </cell>
          <cell r="G362" t="str">
            <v>Apple Watch</v>
          </cell>
          <cell r="H362" t="str">
            <v>49/45/44/42 mm</v>
          </cell>
          <cell r="I362">
            <v>2413.19</v>
          </cell>
          <cell r="J362">
            <v>0.29999989997499377</v>
          </cell>
          <cell r="K362">
            <v>3999</v>
          </cell>
          <cell r="L362" t="str">
            <v>MacStore</v>
          </cell>
          <cell r="M362" t="str">
            <v>Active</v>
          </cell>
          <cell r="N362" t="str">
            <v>NM011123858</v>
          </cell>
        </row>
        <row r="363">
          <cell r="A363" t="str">
            <v>Nomad</v>
          </cell>
          <cell r="B363" t="str">
            <v>EXTNOM016</v>
          </cell>
          <cell r="C363" t="str">
            <v>NM01580085</v>
          </cell>
          <cell r="D363" t="str">
            <v>856504015800</v>
          </cell>
          <cell r="E363" t="str">
            <v>Nomad Sport Band - 45mm Glow 2.0</v>
          </cell>
          <cell r="F363" t="str">
            <v>Straps</v>
          </cell>
          <cell r="G363" t="str">
            <v>Apple Watch</v>
          </cell>
          <cell r="H363" t="str">
            <v>49/45/44/42 mm</v>
          </cell>
          <cell r="I363">
            <v>615.82000000000005</v>
          </cell>
          <cell r="J363">
            <v>0.34999890809827106</v>
          </cell>
          <cell r="K363">
            <v>1099</v>
          </cell>
          <cell r="L363" t="str">
            <v>MacStore</v>
          </cell>
          <cell r="M363" t="str">
            <v>Discontinued</v>
          </cell>
          <cell r="N363" t="str">
            <v>NM01580085-M</v>
          </cell>
        </row>
        <row r="364">
          <cell r="A364" t="str">
            <v>Nomad</v>
          </cell>
          <cell r="B364" t="str">
            <v>EXTNOM013</v>
          </cell>
          <cell r="C364" t="str">
            <v>NM01219385</v>
          </cell>
          <cell r="D364" t="str">
            <v>856500012193</v>
          </cell>
          <cell r="E364" t="str">
            <v xml:space="preserve">Nomad Sport Band - 45mm | Atlanic Blue </v>
          </cell>
          <cell r="F364" t="str">
            <v>Straps</v>
          </cell>
          <cell r="G364" t="str">
            <v>Apple Watch</v>
          </cell>
          <cell r="H364" t="str">
            <v>49/45/44/42 mm</v>
          </cell>
          <cell r="I364">
            <v>663.19</v>
          </cell>
          <cell r="J364">
            <v>0.29999963603275703</v>
          </cell>
          <cell r="K364">
            <v>1099</v>
          </cell>
          <cell r="L364" t="str">
            <v>MacStore</v>
          </cell>
          <cell r="M364" t="str">
            <v>Discontinued</v>
          </cell>
          <cell r="N364" t="str">
            <v>NM01219385-M</v>
          </cell>
        </row>
        <row r="365">
          <cell r="A365" t="str">
            <v>Nomad</v>
          </cell>
          <cell r="B365" t="str">
            <v>EXTNOM015</v>
          </cell>
          <cell r="C365" t="str">
            <v>NM01110385</v>
          </cell>
          <cell r="D365" t="str">
            <v>856500011103</v>
          </cell>
          <cell r="E365" t="str">
            <v>Nomad Sport Band - 45mm | Night Watch Red</v>
          </cell>
          <cell r="F365" t="str">
            <v>Straps</v>
          </cell>
          <cell r="G365" t="str">
            <v>Apple Watch</v>
          </cell>
          <cell r="H365" t="str">
            <v>49/45/44/42 mm</v>
          </cell>
          <cell r="I365">
            <v>615.82000000000005</v>
          </cell>
          <cell r="J365">
            <v>0.34999890809827106</v>
          </cell>
          <cell r="K365">
            <v>1099</v>
          </cell>
          <cell r="L365" t="str">
            <v>MacStore</v>
          </cell>
          <cell r="M365" t="str">
            <v>Discontinued</v>
          </cell>
          <cell r="N365" t="str">
            <v>NM01110385-M</v>
          </cell>
        </row>
        <row r="366">
          <cell r="A366" t="str">
            <v>Nomad</v>
          </cell>
          <cell r="B366" t="str">
            <v>EXTNOM008</v>
          </cell>
          <cell r="C366" t="str">
            <v>NM01133285</v>
          </cell>
          <cell r="D366" t="str">
            <v>856500011332</v>
          </cell>
          <cell r="E366" t="str">
            <v>Nomad Sport Band - 45/44mm/42mm | M/L | Marine Blue | FKM | V2</v>
          </cell>
          <cell r="F366" t="str">
            <v>Straps</v>
          </cell>
          <cell r="G366" t="str">
            <v>Apple Watch</v>
          </cell>
          <cell r="H366" t="str">
            <v>49/45/44/42 mm</v>
          </cell>
          <cell r="I366">
            <v>663.19</v>
          </cell>
          <cell r="J366">
            <v>0.29999963603275703</v>
          </cell>
          <cell r="K366">
            <v>1099</v>
          </cell>
          <cell r="L366" t="str">
            <v>MacStore</v>
          </cell>
          <cell r="M366" t="str">
            <v>Discontinued</v>
          </cell>
          <cell r="N366" t="str">
            <v>NM01133285-M</v>
          </cell>
        </row>
        <row r="367">
          <cell r="A367" t="str">
            <v>Nomad</v>
          </cell>
          <cell r="B367" t="str">
            <v>EXTNOM010</v>
          </cell>
          <cell r="C367" t="str">
            <v>NM01032885</v>
          </cell>
          <cell r="D367" t="str">
            <v>856500010328</v>
          </cell>
          <cell r="E367" t="str">
            <v>Nomad Sport Band - 45mm | High Volta</v>
          </cell>
          <cell r="F367" t="str">
            <v>Straps</v>
          </cell>
          <cell r="G367" t="str">
            <v>Apple Watch</v>
          </cell>
          <cell r="H367" t="str">
            <v>49/45/44/42 mm</v>
          </cell>
          <cell r="I367">
            <v>663.19</v>
          </cell>
          <cell r="J367">
            <v>0.29999963603275703</v>
          </cell>
          <cell r="K367">
            <v>1099</v>
          </cell>
          <cell r="L367" t="str">
            <v>MacStore</v>
          </cell>
          <cell r="M367" t="str">
            <v>Discontinued</v>
          </cell>
          <cell r="N367" t="str">
            <v>NM01032885-M</v>
          </cell>
        </row>
        <row r="368">
          <cell r="A368" t="str">
            <v>Nomad</v>
          </cell>
          <cell r="B368" t="str">
            <v>EXTNOM012</v>
          </cell>
          <cell r="C368" t="str">
            <v>NM01218685</v>
          </cell>
          <cell r="D368" t="str">
            <v>856500012186</v>
          </cell>
          <cell r="E368" t="str">
            <v>Nomad Sport Band - 45mm | Blaze</v>
          </cell>
          <cell r="F368" t="str">
            <v>Straps</v>
          </cell>
          <cell r="G368" t="str">
            <v>Apple Watch</v>
          </cell>
          <cell r="H368" t="str">
            <v>49/45/44/42 mm</v>
          </cell>
          <cell r="I368">
            <v>663.19</v>
          </cell>
          <cell r="J368">
            <v>0.29999963603275703</v>
          </cell>
          <cell r="K368">
            <v>1099</v>
          </cell>
          <cell r="L368" t="str">
            <v>MacStore</v>
          </cell>
          <cell r="M368" t="str">
            <v>Discontinued</v>
          </cell>
          <cell r="N368" t="str">
            <v>NM01218685-M</v>
          </cell>
        </row>
        <row r="369">
          <cell r="A369" t="str">
            <v>Nomad</v>
          </cell>
          <cell r="B369" t="str">
            <v>IEXTNOM000</v>
          </cell>
          <cell r="C369" t="str">
            <v>NM01008385</v>
          </cell>
          <cell r="D369" t="str">
            <v>856500010083</v>
          </cell>
          <cell r="E369" t="str">
            <v>Nomad Sport Band - 45mm | Electric Blue</v>
          </cell>
          <cell r="F369" t="str">
            <v>Straps</v>
          </cell>
          <cell r="G369" t="str">
            <v>Apple Watch</v>
          </cell>
          <cell r="H369" t="str">
            <v>49/45/44/42 mm</v>
          </cell>
          <cell r="I369">
            <v>663.19</v>
          </cell>
          <cell r="J369">
            <v>0.29999963603275703</v>
          </cell>
          <cell r="K369">
            <v>1099</v>
          </cell>
          <cell r="L369" t="str">
            <v>MacStore</v>
          </cell>
          <cell r="M369" t="str">
            <v>Discontinued</v>
          </cell>
          <cell r="N369" t="str">
            <v>NM01008385-M</v>
          </cell>
        </row>
        <row r="370">
          <cell r="A370" t="str">
            <v>PanzerGlass</v>
          </cell>
          <cell r="B370" t="str">
            <v>REFQIC005</v>
          </cell>
          <cell r="C370" t="str">
            <v>BULK2709</v>
          </cell>
          <cell r="D370" t="str">
            <v>5711724327094</v>
          </cell>
          <cell r="E370" t="str">
            <v>PanzerGlass Apple iPhone 12 Pro Max TEMPERED GLASS Screen Protector</v>
          </cell>
          <cell r="F370" t="str">
            <v>Micas</v>
          </cell>
          <cell r="G370" t="str">
            <v>Centro Servicio</v>
          </cell>
          <cell r="H370" t="str">
            <v>iPhone 12 Pro Max</v>
          </cell>
          <cell r="I370">
            <v>100</v>
          </cell>
          <cell r="J370">
            <v>0</v>
          </cell>
          <cell r="K370">
            <v>116</v>
          </cell>
          <cell r="L370" t="str">
            <v>MacStore</v>
          </cell>
          <cell r="M370" t="str">
            <v>Discontinued</v>
          </cell>
          <cell r="N370" t="str">
            <v>BULK2709-M</v>
          </cell>
        </row>
        <row r="371">
          <cell r="A371" t="str">
            <v>Pitaka</v>
          </cell>
          <cell r="B371" t="str">
            <v>ACCPTK001</v>
          </cell>
          <cell r="C371" t="str">
            <v>CS3001</v>
          </cell>
          <cell r="D371" t="str">
            <v>632111674117</v>
          </cell>
          <cell r="E371" t="str">
            <v>Pitaka MagEZ Card Sleeve 3.0</v>
          </cell>
          <cell r="F371" t="str">
            <v>Accesories</v>
          </cell>
          <cell r="G371" t="str">
            <v>Wallet</v>
          </cell>
          <cell r="H371" t="str">
            <v>Wallet</v>
          </cell>
          <cell r="I371">
            <v>482.16</v>
          </cell>
          <cell r="J371">
            <v>0.29999299123904877</v>
          </cell>
          <cell r="K371">
            <v>799</v>
          </cell>
          <cell r="L371" t="str">
            <v>MacStore</v>
          </cell>
          <cell r="M371" t="str">
            <v>Discontinued</v>
          </cell>
          <cell r="N371" t="str">
            <v>CS3001</v>
          </cell>
        </row>
        <row r="372">
          <cell r="A372" t="str">
            <v>Pitaka</v>
          </cell>
          <cell r="B372" t="str">
            <v>ACCPTK000</v>
          </cell>
          <cell r="C372" t="str">
            <v>KW3001A</v>
          </cell>
          <cell r="D372" t="str">
            <v>749355413454</v>
          </cell>
          <cell r="E372" t="str">
            <v>Pitaka Air Case for Apple Watch Ultra (49mm )</v>
          </cell>
          <cell r="F372" t="str">
            <v>Cases Apple watch</v>
          </cell>
          <cell r="G372" t="str">
            <v>Apple Watch</v>
          </cell>
          <cell r="H372" t="str">
            <v>49 mm</v>
          </cell>
          <cell r="I372">
            <v>602.84</v>
          </cell>
          <cell r="J372">
            <v>0.30000560560560563</v>
          </cell>
          <cell r="K372">
            <v>999</v>
          </cell>
          <cell r="L372" t="str">
            <v>MacStore</v>
          </cell>
          <cell r="M372" t="str">
            <v>Discontinued</v>
          </cell>
          <cell r="N372" t="str">
            <v>KW3001A</v>
          </cell>
        </row>
        <row r="373">
          <cell r="A373" t="str">
            <v>Pitaka</v>
          </cell>
          <cell r="B373" t="str">
            <v>FUNPTK000</v>
          </cell>
          <cell r="C373" t="str">
            <v>KI1501PP</v>
          </cell>
          <cell r="D373" t="str">
            <v>749355414567</v>
          </cell>
          <cell r="E373" t="str">
            <v>Pitaka MagEZ Case Pro 4 (Black/Grey Twill) 1500D for iPhone15 Pro</v>
          </cell>
          <cell r="F373" t="str">
            <v>Cases iPhone</v>
          </cell>
          <cell r="G373" t="str">
            <v>iPhone 15</v>
          </cell>
          <cell r="H373" t="str">
            <v>iPhone15 Pro</v>
          </cell>
          <cell r="I373">
            <v>844.22</v>
          </cell>
          <cell r="J373">
            <v>0.30000343102215876</v>
          </cell>
          <cell r="K373">
            <v>1399</v>
          </cell>
          <cell r="L373" t="str">
            <v>MacStore</v>
          </cell>
          <cell r="M373" t="str">
            <v>Discontinued</v>
          </cell>
          <cell r="N373" t="str">
            <v>KI1501PP-M</v>
          </cell>
        </row>
        <row r="374">
          <cell r="A374" t="str">
            <v>Pitaka</v>
          </cell>
          <cell r="B374" t="str">
            <v>FUNPTK001</v>
          </cell>
          <cell r="C374" t="str">
            <v>KI1501PMP</v>
          </cell>
          <cell r="D374" t="str">
            <v>749355414574</v>
          </cell>
          <cell r="E374" t="str">
            <v>Pitaka MagEZ Case Pro 4 (Black/Grey Twill) 1500D for iPhone15 Pro Max</v>
          </cell>
          <cell r="F374" t="str">
            <v>Cases iPhone</v>
          </cell>
          <cell r="G374" t="str">
            <v>iPhone 15</v>
          </cell>
          <cell r="H374" t="str">
            <v>iPhone15 Pro Max</v>
          </cell>
          <cell r="I374">
            <v>844.22</v>
          </cell>
          <cell r="J374">
            <v>0.30000343102215876</v>
          </cell>
          <cell r="K374">
            <v>1399</v>
          </cell>
          <cell r="L374" t="str">
            <v>MacStore</v>
          </cell>
          <cell r="M374" t="str">
            <v>Discontinued</v>
          </cell>
          <cell r="N374" t="str">
            <v>KI1501PMP-M</v>
          </cell>
        </row>
        <row r="375">
          <cell r="A375" t="str">
            <v>Pitaka</v>
          </cell>
          <cell r="B375" t="str">
            <v>FUNPTK003</v>
          </cell>
          <cell r="C375" t="str">
            <v>KI1601PPA</v>
          </cell>
          <cell r="D375" t="str">
            <v>749355416417</v>
          </cell>
          <cell r="E375" t="str">
            <v>Pitaka MagEZ Case Pro 4 for iPhone 16 Pro Black/Grey Twill 600D</v>
          </cell>
          <cell r="F375" t="str">
            <v>Cases iPhone</v>
          </cell>
          <cell r="G375" t="str">
            <v>iPhone 16</v>
          </cell>
          <cell r="H375" t="str">
            <v>iPhone 16 Pro</v>
          </cell>
          <cell r="I375">
            <v>844.22</v>
          </cell>
          <cell r="J375">
            <v>0.30000343102215876</v>
          </cell>
          <cell r="K375">
            <v>1399</v>
          </cell>
          <cell r="L375" t="str">
            <v>MacStore</v>
          </cell>
          <cell r="M375" t="str">
            <v>Discontinued</v>
          </cell>
          <cell r="N375" t="str">
            <v>KI1601PPA</v>
          </cell>
        </row>
        <row r="376">
          <cell r="A376" t="str">
            <v>Pitaka</v>
          </cell>
          <cell r="B376" t="str">
            <v>FUNPTK002</v>
          </cell>
          <cell r="C376" t="str">
            <v>KI1601PMPA</v>
          </cell>
          <cell r="D376" t="str">
            <v>749355416424</v>
          </cell>
          <cell r="E376" t="str">
            <v>Pitaka MagEZ Case Pro 4 iPhone 16 Pro Max Black/Grey Twill 600D</v>
          </cell>
          <cell r="F376" t="str">
            <v>Cases iPhone</v>
          </cell>
          <cell r="G376" t="str">
            <v>iPhone 16</v>
          </cell>
          <cell r="H376" t="str">
            <v>iPhone 16 Pro Max</v>
          </cell>
          <cell r="I376">
            <v>844.22</v>
          </cell>
          <cell r="J376">
            <v>0.30000343102215876</v>
          </cell>
          <cell r="K376">
            <v>1399</v>
          </cell>
          <cell r="L376" t="str">
            <v>MacStore</v>
          </cell>
          <cell r="M376" t="str">
            <v>Discontinued</v>
          </cell>
          <cell r="N376" t="str">
            <v>KI1601PMPA</v>
          </cell>
        </row>
        <row r="377">
          <cell r="A377" t="str">
            <v>Pitaka</v>
          </cell>
          <cell r="B377" t="str">
            <v>FUNPTK004</v>
          </cell>
          <cell r="C377" t="str">
            <v>KI1701MGP</v>
          </cell>
          <cell r="D377" t="str">
            <v>749355418329</v>
          </cell>
          <cell r="E377" t="str">
            <v>Pitaka Black/Grey Aramid ProGuard Case for iPhone 17 Pro Black/Grey</v>
          </cell>
          <cell r="F377" t="str">
            <v>Cases iPhone</v>
          </cell>
          <cell r="G377" t="str">
            <v>iPhone 17</v>
          </cell>
          <cell r="H377" t="str">
            <v>iPhone 17 Pro</v>
          </cell>
          <cell r="I377">
            <v>602.84</v>
          </cell>
          <cell r="J377">
            <v>0.30000560560560563</v>
          </cell>
          <cell r="K377">
            <v>999</v>
          </cell>
          <cell r="L377" t="str">
            <v>MacStore</v>
          </cell>
          <cell r="M377" t="str">
            <v>Discontinued</v>
          </cell>
          <cell r="N377" t="str">
            <v>KI1701MGP</v>
          </cell>
        </row>
        <row r="378">
          <cell r="A378" t="str">
            <v>Pitaka</v>
          </cell>
          <cell r="B378" t="str">
            <v>FUNPTK005</v>
          </cell>
          <cell r="C378" t="str">
            <v>KI1701MGPM</v>
          </cell>
          <cell r="D378" t="str">
            <v>741654367278</v>
          </cell>
          <cell r="E378" t="str">
            <v>Pitaka Black/Grey Aramid ProGuard Case for iPhone 17 Pro Max Black/Grey</v>
          </cell>
          <cell r="F378" t="str">
            <v>Cases iPhone</v>
          </cell>
          <cell r="G378" t="str">
            <v>iPhone 17</v>
          </cell>
          <cell r="H378" t="str">
            <v>iPhone 17 Pro Max</v>
          </cell>
          <cell r="I378">
            <v>602.84</v>
          </cell>
          <cell r="J378">
            <v>0.30000560560560563</v>
          </cell>
          <cell r="K378">
            <v>999</v>
          </cell>
          <cell r="L378" t="str">
            <v>MacStore</v>
          </cell>
          <cell r="M378" t="str">
            <v>Discontinued</v>
          </cell>
          <cell r="N378" t="str">
            <v>KI1701MGPM</v>
          </cell>
        </row>
        <row r="379">
          <cell r="A379" t="str">
            <v>Pitaka</v>
          </cell>
          <cell r="B379" t="str">
            <v>ACCPTK003</v>
          </cell>
          <cell r="C379" t="str">
            <v>PD1001</v>
          </cell>
          <cell r="D379" t="str">
            <v>632111673196</v>
          </cell>
          <cell r="E379" t="str">
            <v>Pitaka Power Dongle</v>
          </cell>
          <cell r="F379" t="str">
            <v>Charger</v>
          </cell>
          <cell r="G379" t="str">
            <v>Apple Watch</v>
          </cell>
          <cell r="H379" t="str">
            <v>Stand</v>
          </cell>
          <cell r="I379">
            <v>723.54</v>
          </cell>
          <cell r="J379">
            <v>0.29999466221851545</v>
          </cell>
          <cell r="K379">
            <v>1199</v>
          </cell>
          <cell r="L379" t="str">
            <v>MacStore</v>
          </cell>
          <cell r="M379" t="str">
            <v>Discontinued</v>
          </cell>
          <cell r="N379" t="str">
            <v>PD1001</v>
          </cell>
        </row>
        <row r="380">
          <cell r="A380" t="str">
            <v>Pitaka</v>
          </cell>
          <cell r="B380" t="str">
            <v>ACCPTK002</v>
          </cell>
          <cell r="C380" t="str">
            <v>SL2001</v>
          </cell>
          <cell r="D380" t="str">
            <v>632111674162</v>
          </cell>
          <cell r="E380" t="str">
            <v>Pitaka Slider (Charger will not be included)</v>
          </cell>
          <cell r="F380" t="str">
            <v>Power</v>
          </cell>
          <cell r="G380" t="str">
            <v>Power Station</v>
          </cell>
          <cell r="H380" t="str">
            <v>3-1</v>
          </cell>
          <cell r="I380">
            <v>1568.36</v>
          </cell>
          <cell r="J380">
            <v>0.30000092343208939</v>
          </cell>
          <cell r="K380">
            <v>2599</v>
          </cell>
          <cell r="L380" t="str">
            <v>MacStore</v>
          </cell>
          <cell r="M380" t="str">
            <v>Discontinued</v>
          </cell>
          <cell r="N380" t="str">
            <v>SL2001</v>
          </cell>
        </row>
        <row r="381">
          <cell r="A381" t="str">
            <v>Pitaka</v>
          </cell>
          <cell r="B381" t="str">
            <v>EXHPTK000</v>
          </cell>
          <cell r="C381" t="str">
            <v>SL2001</v>
          </cell>
          <cell r="D381" t="str">
            <v>632111673196</v>
          </cell>
          <cell r="E381" t="str">
            <v>Pitaka Slider (Charger will not be included)</v>
          </cell>
          <cell r="F381" t="str">
            <v>Power</v>
          </cell>
          <cell r="G381" t="str">
            <v>Power Station</v>
          </cell>
          <cell r="H381" t="str">
            <v>3-1</v>
          </cell>
          <cell r="I381">
            <v>0.01</v>
          </cell>
          <cell r="J381">
            <v>0.98839999999999995</v>
          </cell>
          <cell r="K381">
            <v>1</v>
          </cell>
          <cell r="L381" t="str">
            <v>MacStore</v>
          </cell>
          <cell r="M381" t="str">
            <v>Exhibición</v>
          </cell>
          <cell r="N381" t="str">
            <v>SL2001</v>
          </cell>
        </row>
        <row r="382">
          <cell r="A382" t="str">
            <v>Quikcell</v>
          </cell>
          <cell r="B382" t="str">
            <v>IACCQIC013</v>
          </cell>
          <cell r="C382" t="str">
            <v>CTPRO2-BLK</v>
          </cell>
          <cell r="D382" t="str">
            <v>846537063060</v>
          </cell>
          <cell r="E382" t="str">
            <v>Quikcell Cross Trainer Pro II Sports Stereo Bluetooth Earphones - Black</v>
          </cell>
          <cell r="F382" t="str">
            <v>Audio</v>
          </cell>
          <cell r="G382" t="str">
            <v>HEADPHONE WIRELESS</v>
          </cell>
          <cell r="H382" t="str">
            <v>In Ear</v>
          </cell>
          <cell r="I382">
            <v>236.59</v>
          </cell>
          <cell r="J382">
            <v>0.45001122244488978</v>
          </cell>
          <cell r="K382">
            <v>499</v>
          </cell>
          <cell r="L382" t="str">
            <v>MacStore</v>
          </cell>
          <cell r="M382" t="str">
            <v>Discontinued</v>
          </cell>
          <cell r="N382" t="str">
            <v>CTPRO2-BLK-M</v>
          </cell>
        </row>
        <row r="383">
          <cell r="A383" t="str">
            <v>Quikcell</v>
          </cell>
          <cell r="B383" t="str">
            <v>IACCQIC014</v>
          </cell>
          <cell r="C383" t="str">
            <v>CTPRO2-WHT</v>
          </cell>
          <cell r="D383" t="str">
            <v>846537063077</v>
          </cell>
          <cell r="E383" t="str">
            <v>Quikcell Cross Trainer Pro II Wireless Sport Headphones - White</v>
          </cell>
          <cell r="F383" t="str">
            <v>Audio</v>
          </cell>
          <cell r="G383" t="str">
            <v>HEADPHONE WIRELESS</v>
          </cell>
          <cell r="H383" t="str">
            <v>In Ear</v>
          </cell>
          <cell r="I383">
            <v>236.59</v>
          </cell>
          <cell r="J383">
            <v>0.45001122244488978</v>
          </cell>
          <cell r="K383">
            <v>499</v>
          </cell>
          <cell r="L383" t="str">
            <v>MacStore</v>
          </cell>
          <cell r="M383" t="str">
            <v>Discontinued</v>
          </cell>
          <cell r="N383" t="str">
            <v>CTPRO2-WHT-M</v>
          </cell>
        </row>
        <row r="384">
          <cell r="A384" t="str">
            <v>Quikcell</v>
          </cell>
          <cell r="B384" t="str">
            <v>IACCQIC000</v>
          </cell>
          <cell r="C384" t="str">
            <v>QAIR-BUDS</v>
          </cell>
          <cell r="D384" t="str">
            <v>846537068881</v>
          </cell>
          <cell r="E384" t="str">
            <v>Quikcell QAIR BUDS True Wireless Earbuds with Charging Case - Black</v>
          </cell>
          <cell r="F384" t="str">
            <v>Audio</v>
          </cell>
          <cell r="G384" t="str">
            <v>Headphones Wireless</v>
          </cell>
          <cell r="H384" t="str">
            <v>QAir</v>
          </cell>
          <cell r="I384">
            <v>331.42</v>
          </cell>
          <cell r="J384">
            <v>0.45000400572246069</v>
          </cell>
          <cell r="K384">
            <v>699</v>
          </cell>
          <cell r="L384" t="str">
            <v>MacStore</v>
          </cell>
          <cell r="M384" t="str">
            <v>Discontinued</v>
          </cell>
          <cell r="N384" t="str">
            <v>QAIR-BUDS-M</v>
          </cell>
        </row>
        <row r="385">
          <cell r="A385" t="str">
            <v>Quikcell</v>
          </cell>
          <cell r="B385" t="str">
            <v>IACCQIC001</v>
          </cell>
          <cell r="C385" t="str">
            <v>QAIR-BUDS-WHT</v>
          </cell>
          <cell r="D385" t="str">
            <v>846537075582</v>
          </cell>
          <cell r="E385" t="str">
            <v>Quikcell QAIR BUDS True Wireless Earbuds with Charging Case - White</v>
          </cell>
          <cell r="F385" t="str">
            <v>Audio</v>
          </cell>
          <cell r="G385" t="str">
            <v>Headphones Wireless</v>
          </cell>
          <cell r="H385" t="str">
            <v>QAir</v>
          </cell>
          <cell r="I385">
            <v>331.42</v>
          </cell>
          <cell r="J385">
            <v>0.45000400572246069</v>
          </cell>
          <cell r="K385">
            <v>699</v>
          </cell>
          <cell r="L385" t="str">
            <v>MacStore</v>
          </cell>
          <cell r="M385" t="str">
            <v>Discontinued</v>
          </cell>
          <cell r="N385" t="str">
            <v>QAIR-BUDS-WHT-M</v>
          </cell>
        </row>
        <row r="386">
          <cell r="A386" t="str">
            <v>Quikcell</v>
          </cell>
          <cell r="B386" t="str">
            <v>IACCQIC005</v>
          </cell>
          <cell r="C386" t="str">
            <v>QLIGHTA6FT</v>
          </cell>
          <cell r="D386" t="str">
            <v>846537077081</v>
          </cell>
          <cell r="E386" t="str">
            <v>Quikcell CHARGE &amp; SYNC CABLE MFi Lightning to USB-A - 6ft - Black</v>
          </cell>
          <cell r="F386" t="str">
            <v>Cables</v>
          </cell>
          <cell r="G386" t="str">
            <v>Lightning</v>
          </cell>
          <cell r="H386" t="str">
            <v>6 ft</v>
          </cell>
          <cell r="I386">
            <v>236.59</v>
          </cell>
          <cell r="J386">
            <v>0.45001122244488978</v>
          </cell>
          <cell r="K386">
            <v>499</v>
          </cell>
          <cell r="L386" t="str">
            <v>MacStore</v>
          </cell>
          <cell r="M386" t="str">
            <v>Discontinued</v>
          </cell>
          <cell r="N386" t="str">
            <v>QLIGHTA6FT-M</v>
          </cell>
        </row>
        <row r="387">
          <cell r="A387" t="str">
            <v>Quikcell</v>
          </cell>
          <cell r="B387" t="str">
            <v>IACCQIC006</v>
          </cell>
          <cell r="C387" t="str">
            <v>QLIGHTC6FT</v>
          </cell>
          <cell r="D387" t="str">
            <v>846537077104</v>
          </cell>
          <cell r="E387" t="str">
            <v>Quikcell CHARGE &amp; SYNC CABLE MFi Lightning to USB-C - 6ft - Black</v>
          </cell>
          <cell r="F387" t="str">
            <v>Cables</v>
          </cell>
          <cell r="G387" t="str">
            <v>Lightning - Type C</v>
          </cell>
          <cell r="H387" t="str">
            <v>6 ft</v>
          </cell>
          <cell r="I387">
            <v>212.89</v>
          </cell>
          <cell r="J387">
            <v>0.44999465478841882</v>
          </cell>
          <cell r="K387">
            <v>449</v>
          </cell>
          <cell r="L387" t="str">
            <v>MacStore</v>
          </cell>
          <cell r="M387" t="str">
            <v>Discontinued</v>
          </cell>
          <cell r="N387" t="str">
            <v>QLIGHTC6FT-M</v>
          </cell>
        </row>
        <row r="388">
          <cell r="A388" t="str">
            <v>Quikcell</v>
          </cell>
          <cell r="B388" t="str">
            <v>IACCQIC012</v>
          </cell>
          <cell r="C388" t="str">
            <v>QTYPECC6FT</v>
          </cell>
          <cell r="D388" t="str">
            <v>846537077067</v>
          </cell>
          <cell r="E388" t="str">
            <v>Quikcell CHARGE &amp; SYNC CABLE USB-C to USB-C - 6 ft - Black</v>
          </cell>
          <cell r="F388" t="str">
            <v>Cables</v>
          </cell>
          <cell r="G388" t="str">
            <v>Type C - Type C</v>
          </cell>
          <cell r="H388" t="str">
            <v>6 ft</v>
          </cell>
          <cell r="I388">
            <v>165.47</v>
          </cell>
          <cell r="J388">
            <v>0.45001375358166196</v>
          </cell>
          <cell r="K388">
            <v>349</v>
          </cell>
          <cell r="L388" t="str">
            <v>MacStore</v>
          </cell>
          <cell r="M388" t="str">
            <v>Discontinued</v>
          </cell>
          <cell r="N388" t="str">
            <v>QTYPECC6FT-M</v>
          </cell>
        </row>
        <row r="389">
          <cell r="A389" t="str">
            <v>Quikcell</v>
          </cell>
          <cell r="B389" t="str">
            <v>FUNQIC005</v>
          </cell>
          <cell r="C389" t="str">
            <v>TIN2059-M</v>
          </cell>
          <cell r="D389" t="str">
            <v>846537083549</v>
          </cell>
          <cell r="E389" t="str">
            <v>Quikcell iPhone 13 ICON TINT Transparent Protective Case - Ice</v>
          </cell>
          <cell r="F389" t="str">
            <v>Cases iPhone</v>
          </cell>
          <cell r="G389" t="str">
            <v>iPhone 13</v>
          </cell>
          <cell r="H389" t="str">
            <v>iPhone 13</v>
          </cell>
          <cell r="I389">
            <v>284.01</v>
          </cell>
          <cell r="J389">
            <v>0.44999732888146915</v>
          </cell>
          <cell r="K389">
            <v>599</v>
          </cell>
          <cell r="L389" t="str">
            <v>MacStore</v>
          </cell>
          <cell r="M389" t="str">
            <v>Discontinued</v>
          </cell>
          <cell r="N389" t="str">
            <v>TIN2059-M</v>
          </cell>
        </row>
        <row r="390">
          <cell r="A390" t="str">
            <v>Quikcell</v>
          </cell>
          <cell r="B390" t="str">
            <v>FUNQIC001</v>
          </cell>
          <cell r="C390" t="str">
            <v>TIN2058-M</v>
          </cell>
          <cell r="D390" t="str">
            <v>846537083532</v>
          </cell>
          <cell r="E390" t="str">
            <v>Quikcell iPhone 13 ICON TINT Transparent Protective Case - Smoke</v>
          </cell>
          <cell r="F390" t="str">
            <v>Cases iPhone</v>
          </cell>
          <cell r="G390" t="str">
            <v>iPhone 13</v>
          </cell>
          <cell r="H390" t="str">
            <v>iPhone 13</v>
          </cell>
          <cell r="I390">
            <v>284.01</v>
          </cell>
          <cell r="J390">
            <v>0.44999732888146915</v>
          </cell>
          <cell r="K390">
            <v>599</v>
          </cell>
          <cell r="L390" t="str">
            <v>MacStore</v>
          </cell>
          <cell r="M390" t="str">
            <v>Discontinued</v>
          </cell>
          <cell r="N390" t="str">
            <v>TIN2058-M</v>
          </cell>
        </row>
        <row r="391">
          <cell r="A391" t="str">
            <v>Quikcell</v>
          </cell>
          <cell r="B391" t="str">
            <v>FUNQIC000</v>
          </cell>
          <cell r="C391" t="str">
            <v>TIN2056-M</v>
          </cell>
          <cell r="D391" t="str">
            <v>846537083419</v>
          </cell>
          <cell r="E391" t="str">
            <v>Quikcell iPhone 13 mini ICON TINT Transparent Protective Case - Smoke</v>
          </cell>
          <cell r="F391" t="str">
            <v>Cases iPhone</v>
          </cell>
          <cell r="G391" t="str">
            <v>iPhone 13</v>
          </cell>
          <cell r="H391" t="str">
            <v>iPhone 13 mini</v>
          </cell>
          <cell r="I391">
            <v>284.01</v>
          </cell>
          <cell r="J391">
            <v>0.44999732888146915</v>
          </cell>
          <cell r="K391">
            <v>599</v>
          </cell>
          <cell r="L391" t="str">
            <v>MacStore</v>
          </cell>
          <cell r="M391" t="str">
            <v>Discontinued</v>
          </cell>
          <cell r="N391" t="str">
            <v>TIN2056-M</v>
          </cell>
        </row>
        <row r="392">
          <cell r="A392" t="str">
            <v>Quikcell</v>
          </cell>
          <cell r="B392" t="str">
            <v>FUNQIC004</v>
          </cell>
          <cell r="C392" t="str">
            <v>TIN2057-M</v>
          </cell>
          <cell r="D392" t="str">
            <v>846537083426</v>
          </cell>
          <cell r="E392" t="str">
            <v>Quikcell iPhone 13 mini ICON TINT Transparent Protective Case - Ice</v>
          </cell>
          <cell r="F392" t="str">
            <v>Cases iPhone</v>
          </cell>
          <cell r="G392" t="str">
            <v>iPhone 13</v>
          </cell>
          <cell r="H392" t="str">
            <v>iPhone 13 mini</v>
          </cell>
          <cell r="I392">
            <v>284.01</v>
          </cell>
          <cell r="J392">
            <v>0.44999732888146915</v>
          </cell>
          <cell r="K392">
            <v>599</v>
          </cell>
          <cell r="L392" t="str">
            <v>MacStore</v>
          </cell>
          <cell r="M392" t="str">
            <v>Discontinued</v>
          </cell>
          <cell r="N392" t="str">
            <v>TIN2057-M</v>
          </cell>
        </row>
        <row r="393">
          <cell r="A393" t="str">
            <v>Quikcell</v>
          </cell>
          <cell r="B393" t="str">
            <v>FUNQIC003</v>
          </cell>
          <cell r="C393" t="str">
            <v>TIN2068-M</v>
          </cell>
          <cell r="D393" t="str">
            <v>846537084072</v>
          </cell>
          <cell r="E393" t="str">
            <v>Quikcell iPhone 13 Pro ICON TINT Transparent Protective Case - Smoke</v>
          </cell>
          <cell r="F393" t="str">
            <v>Cases iPhone</v>
          </cell>
          <cell r="G393" t="str">
            <v>iPhone 13</v>
          </cell>
          <cell r="H393" t="str">
            <v>iPhone 13 Pro</v>
          </cell>
          <cell r="I393">
            <v>284.01</v>
          </cell>
          <cell r="J393">
            <v>0.44999732888146915</v>
          </cell>
          <cell r="K393">
            <v>599</v>
          </cell>
          <cell r="L393" t="str">
            <v>MacStore</v>
          </cell>
          <cell r="M393" t="str">
            <v>Discontinued</v>
          </cell>
          <cell r="N393" t="str">
            <v>TIN2068-M</v>
          </cell>
        </row>
        <row r="394">
          <cell r="A394" t="str">
            <v>Quikcell</v>
          </cell>
          <cell r="B394" t="str">
            <v>FUNQIC007</v>
          </cell>
          <cell r="C394" t="str">
            <v>TIN2069-M</v>
          </cell>
          <cell r="D394" t="str">
            <v>846537084089</v>
          </cell>
          <cell r="E394" t="str">
            <v>Quikcell iPhone 13 Pro ICON TINT Transparent Protective Case - Ice</v>
          </cell>
          <cell r="F394" t="str">
            <v>Cases iPhone</v>
          </cell>
          <cell r="G394" t="str">
            <v>iPhone 13</v>
          </cell>
          <cell r="H394" t="str">
            <v>iPhone 13 Pro</v>
          </cell>
          <cell r="I394">
            <v>284.01</v>
          </cell>
          <cell r="J394">
            <v>0.44999732888146915</v>
          </cell>
          <cell r="K394">
            <v>599</v>
          </cell>
          <cell r="L394" t="str">
            <v>MacStore</v>
          </cell>
          <cell r="M394" t="str">
            <v>Discontinued</v>
          </cell>
          <cell r="N394" t="str">
            <v>TIN2069-M</v>
          </cell>
        </row>
        <row r="395">
          <cell r="A395" t="str">
            <v>Quikcell</v>
          </cell>
          <cell r="B395" t="str">
            <v>FUNQIC002</v>
          </cell>
          <cell r="C395" t="str">
            <v>TIN2060-M</v>
          </cell>
          <cell r="D395" t="str">
            <v>846537083662</v>
          </cell>
          <cell r="E395" t="str">
            <v>Quikcell iPhone 13 Pro Max ICON TINT Transparent Protective Case - Smoke</v>
          </cell>
          <cell r="F395" t="str">
            <v>Cases iPhone</v>
          </cell>
          <cell r="G395" t="str">
            <v>iPhone 13</v>
          </cell>
          <cell r="H395" t="str">
            <v>iPhone 13 Pro Max</v>
          </cell>
          <cell r="I395">
            <v>284.01</v>
          </cell>
          <cell r="J395">
            <v>0.44999732888146915</v>
          </cell>
          <cell r="K395">
            <v>599</v>
          </cell>
          <cell r="L395" t="str">
            <v>MacStore</v>
          </cell>
          <cell r="M395" t="str">
            <v>Discontinued</v>
          </cell>
          <cell r="N395" t="str">
            <v>TIN2060-M</v>
          </cell>
        </row>
        <row r="396">
          <cell r="A396" t="str">
            <v>Quikcell</v>
          </cell>
          <cell r="B396" t="str">
            <v>FUNQIC006</v>
          </cell>
          <cell r="C396" t="str">
            <v>TIN2061-M</v>
          </cell>
          <cell r="D396" t="str">
            <v>846537083679</v>
          </cell>
          <cell r="E396" t="str">
            <v>Quikcell iPhone 13 Pro Max ICON TINT Transparent Protective Case - Ice</v>
          </cell>
          <cell r="F396" t="str">
            <v>Cases iPhone</v>
          </cell>
          <cell r="G396" t="str">
            <v>iPhone 13</v>
          </cell>
          <cell r="H396" t="str">
            <v>iPhone 13 Pro Max</v>
          </cell>
          <cell r="I396">
            <v>284.01</v>
          </cell>
          <cell r="J396">
            <v>0.44999732888146915</v>
          </cell>
          <cell r="K396">
            <v>599</v>
          </cell>
          <cell r="L396" t="str">
            <v>MacStore</v>
          </cell>
          <cell r="M396" t="str">
            <v>Discontinued</v>
          </cell>
          <cell r="N396" t="str">
            <v>TIN2061-M</v>
          </cell>
        </row>
        <row r="397">
          <cell r="A397" t="str">
            <v>Quikcell</v>
          </cell>
          <cell r="B397" t="str">
            <v>IACCQIC008</v>
          </cell>
          <cell r="C397" t="str">
            <v>QCVPA2001</v>
          </cell>
          <cell r="D397" t="str">
            <v>846537076985</v>
          </cell>
          <cell r="E397" t="str">
            <v>Quikcell DUAL PORT CAR CHARGER  2 USB A x 12W - 24W</v>
          </cell>
          <cell r="F397" t="str">
            <v>Charger</v>
          </cell>
          <cell r="G397" t="str">
            <v>Car Charger</v>
          </cell>
          <cell r="H397" t="str">
            <v>24W</v>
          </cell>
          <cell r="I397">
            <v>165.47</v>
          </cell>
          <cell r="J397">
            <v>0.45001375358166196</v>
          </cell>
          <cell r="K397">
            <v>349</v>
          </cell>
          <cell r="L397" t="str">
            <v>MacStore</v>
          </cell>
          <cell r="M397" t="str">
            <v>Discontinued</v>
          </cell>
          <cell r="N397" t="str">
            <v>QCVPA2001-M</v>
          </cell>
        </row>
        <row r="398">
          <cell r="A398" t="str">
            <v>Quikcell</v>
          </cell>
          <cell r="B398" t="str">
            <v>IACCQIC009</v>
          </cell>
          <cell r="C398" t="str">
            <v>QCVPA2002</v>
          </cell>
          <cell r="D398" t="str">
            <v>846537076992</v>
          </cell>
          <cell r="E398" t="str">
            <v>Quikcell DUAL PORT CAR CHARGER  1 USB A 12W + USB C PD 20W - 32W</v>
          </cell>
          <cell r="F398" t="str">
            <v>Charger</v>
          </cell>
          <cell r="G398" t="str">
            <v>Car Charger</v>
          </cell>
          <cell r="H398" t="str">
            <v>32 W</v>
          </cell>
          <cell r="I398">
            <v>212.89</v>
          </cell>
          <cell r="J398">
            <v>0.44999465478841882</v>
          </cell>
          <cell r="K398">
            <v>449</v>
          </cell>
          <cell r="L398" t="str">
            <v>MacStore</v>
          </cell>
          <cell r="M398" t="str">
            <v>Discontinued</v>
          </cell>
          <cell r="N398" t="str">
            <v>QCVPA2002-M</v>
          </cell>
        </row>
        <row r="399">
          <cell r="A399" t="str">
            <v>Quikcell</v>
          </cell>
          <cell r="B399" t="str">
            <v>ACCQIC014</v>
          </cell>
          <cell r="C399" t="str">
            <v>QCVPA2002</v>
          </cell>
          <cell r="D399" t="str">
            <v>846537076992</v>
          </cell>
          <cell r="E399" t="str">
            <v>Quikcell DUAL PORT CAR CHARGER  1 USB A 12W + USB C PD 20W - 32W</v>
          </cell>
          <cell r="F399" t="str">
            <v>Charger</v>
          </cell>
          <cell r="G399" t="str">
            <v>Car Charger</v>
          </cell>
          <cell r="H399" t="str">
            <v>32 W</v>
          </cell>
          <cell r="I399">
            <v>212.89</v>
          </cell>
          <cell r="J399">
            <v>0.44999465478841882</v>
          </cell>
          <cell r="K399">
            <v>449</v>
          </cell>
          <cell r="L399" t="str">
            <v>MacStore</v>
          </cell>
          <cell r="M399" t="str">
            <v>Discontinued</v>
          </cell>
          <cell r="N399" t="str">
            <v>QCVPA2002-M</v>
          </cell>
        </row>
        <row r="400">
          <cell r="A400" t="str">
            <v>Quikcell</v>
          </cell>
          <cell r="B400" t="str">
            <v>ACCQIC022</v>
          </cell>
          <cell r="C400" t="str">
            <v>QCVPA2005</v>
          </cell>
          <cell r="D400" t="str">
            <v>846537091964</v>
          </cell>
          <cell r="E400" t="str">
            <v>Quikcell 37W DUAL PORT A+C CAR CHARGER - Black</v>
          </cell>
          <cell r="F400" t="str">
            <v>Charger</v>
          </cell>
          <cell r="G400" t="str">
            <v>Car Charger</v>
          </cell>
          <cell r="H400" t="str">
            <v>37W</v>
          </cell>
          <cell r="I400">
            <v>212.89</v>
          </cell>
          <cell r="J400">
            <v>0.44999465478841882</v>
          </cell>
          <cell r="K400">
            <v>449</v>
          </cell>
          <cell r="L400" t="str">
            <v>MacStore</v>
          </cell>
          <cell r="M400" t="str">
            <v>Active</v>
          </cell>
          <cell r="N400" t="str">
            <v>QCVPA2005-M</v>
          </cell>
        </row>
        <row r="401">
          <cell r="A401" t="str">
            <v>Quikcell</v>
          </cell>
          <cell r="B401" t="str">
            <v>IACCQIC004</v>
          </cell>
          <cell r="C401" t="str">
            <v>QC-PWRBANK10K</v>
          </cell>
          <cell r="D401" t="str">
            <v>846537073618</v>
          </cell>
          <cell r="E401" t="str">
            <v>Quikcell POWERFUEL WIRELESS 10K mAh Powerbank - Black</v>
          </cell>
          <cell r="F401" t="str">
            <v>Charger</v>
          </cell>
          <cell r="G401" t="str">
            <v>Power Bank</v>
          </cell>
          <cell r="H401" t="str">
            <v>10,000 mAh</v>
          </cell>
          <cell r="I401">
            <v>568.49</v>
          </cell>
          <cell r="J401">
            <v>0.45000133444537116</v>
          </cell>
          <cell r="K401">
            <v>1199</v>
          </cell>
          <cell r="L401" t="str">
            <v>MacStore</v>
          </cell>
          <cell r="M401" t="str">
            <v>Discontinued</v>
          </cell>
          <cell r="N401" t="str">
            <v>QC-PWRBANK10K-M</v>
          </cell>
        </row>
        <row r="402">
          <cell r="A402" t="str">
            <v>Quikcell</v>
          </cell>
          <cell r="B402" t="str">
            <v>IACCQIC011</v>
          </cell>
          <cell r="C402" t="str">
            <v>QC-PWRBANK6K</v>
          </cell>
          <cell r="D402" t="str">
            <v>846537073601</v>
          </cell>
          <cell r="E402" t="str">
            <v>Quikcell POWERFUEL 6K mAh Powerbank - Black</v>
          </cell>
          <cell r="F402" t="str">
            <v>Charger</v>
          </cell>
          <cell r="G402" t="str">
            <v>Power Bank</v>
          </cell>
          <cell r="H402" t="str">
            <v>6,000 mAh</v>
          </cell>
          <cell r="I402">
            <v>236.59</v>
          </cell>
          <cell r="J402">
            <v>0.45001122244488978</v>
          </cell>
          <cell r="K402">
            <v>499</v>
          </cell>
          <cell r="L402" t="str">
            <v>MacStore</v>
          </cell>
          <cell r="M402" t="str">
            <v>Discontinued</v>
          </cell>
          <cell r="N402" t="str">
            <v>QC-PWRBANK6K-M</v>
          </cell>
        </row>
        <row r="403">
          <cell r="A403" t="str">
            <v>Quikcell</v>
          </cell>
          <cell r="B403" t="str">
            <v>IACCQIC002</v>
          </cell>
          <cell r="C403" t="str">
            <v>QTRC2001</v>
          </cell>
          <cell r="D403" t="str">
            <v>846537077005</v>
          </cell>
          <cell r="E403" t="str">
            <v>Quikcell DUAL PORT WALL CHARGER  2 USB A x 12W - 24W</v>
          </cell>
          <cell r="F403" t="str">
            <v>Charger</v>
          </cell>
          <cell r="G403" t="str">
            <v>Wall charger</v>
          </cell>
          <cell r="H403" t="str">
            <v>24 W</v>
          </cell>
          <cell r="I403">
            <v>236.59</v>
          </cell>
          <cell r="J403">
            <v>0.45001122244488978</v>
          </cell>
          <cell r="K403">
            <v>499</v>
          </cell>
          <cell r="L403" t="str">
            <v>MacStore</v>
          </cell>
          <cell r="M403" t="str">
            <v>Discontinued</v>
          </cell>
          <cell r="N403" t="str">
            <v>QTRC2001-M</v>
          </cell>
        </row>
        <row r="404">
          <cell r="A404" t="str">
            <v>Quikcell</v>
          </cell>
          <cell r="B404" t="str">
            <v>EXHQUI001</v>
          </cell>
          <cell r="C404" t="str">
            <v>QCPD25W</v>
          </cell>
          <cell r="D404" t="str">
            <v>846537091520</v>
          </cell>
          <cell r="E404" t="str">
            <v>Quikcell PD 25W Single USB-C Port Wall Charger</v>
          </cell>
          <cell r="F404" t="str">
            <v>Charger</v>
          </cell>
          <cell r="G404" t="str">
            <v>Wall charger</v>
          </cell>
          <cell r="H404" t="str">
            <v>25W</v>
          </cell>
          <cell r="I404">
            <v>0.01</v>
          </cell>
          <cell r="J404">
            <v>0.92749999999999999</v>
          </cell>
          <cell r="K404">
            <v>0.16</v>
          </cell>
          <cell r="L404" t="str">
            <v>MacStore</v>
          </cell>
          <cell r="M404" t="str">
            <v>Exhibición</v>
          </cell>
          <cell r="N404" t="str">
            <v>QCPD25W-M</v>
          </cell>
        </row>
        <row r="405">
          <cell r="A405" t="str">
            <v>Quikcell</v>
          </cell>
          <cell r="B405" t="str">
            <v>IACCQIC010</v>
          </cell>
          <cell r="C405" t="str">
            <v>QTRC2002</v>
          </cell>
          <cell r="D405" t="str">
            <v>846537077012</v>
          </cell>
          <cell r="E405" t="str">
            <v>Quikcell DUAL PORT WALL CHARGER 1 USB A 12W + USB C PD 20W - 32W</v>
          </cell>
          <cell r="F405" t="str">
            <v>Charger</v>
          </cell>
          <cell r="G405" t="str">
            <v>Wall charger</v>
          </cell>
          <cell r="H405" t="str">
            <v>32 W</v>
          </cell>
          <cell r="I405">
            <v>284.01</v>
          </cell>
          <cell r="J405">
            <v>0.44999732888146915</v>
          </cell>
          <cell r="K405">
            <v>599</v>
          </cell>
          <cell r="L405" t="str">
            <v>MacStore</v>
          </cell>
          <cell r="M405" t="str">
            <v>Discontinued</v>
          </cell>
          <cell r="N405" t="str">
            <v>QTRC2002-M</v>
          </cell>
        </row>
        <row r="406">
          <cell r="A406" t="str">
            <v>Quikcell</v>
          </cell>
          <cell r="B406" t="str">
            <v>EXHQUI000</v>
          </cell>
          <cell r="C406" t="str">
            <v>QTRC2002</v>
          </cell>
          <cell r="D406" t="str">
            <v>846537077012</v>
          </cell>
          <cell r="E406" t="str">
            <v>Quikcell DUAL PORT WALL CHARGER 1 USB A 12W + USB C PD 20W - 32W</v>
          </cell>
          <cell r="F406" t="str">
            <v>Charger</v>
          </cell>
          <cell r="G406" t="str">
            <v>Wall charger</v>
          </cell>
          <cell r="H406" t="str">
            <v>32 W</v>
          </cell>
          <cell r="I406">
            <v>0.01</v>
          </cell>
          <cell r="J406">
            <v>0.92749999999999999</v>
          </cell>
          <cell r="K406">
            <v>0.16</v>
          </cell>
          <cell r="L406" t="str">
            <v>MacStore</v>
          </cell>
          <cell r="M406" t="str">
            <v>Exhibición</v>
          </cell>
          <cell r="N406" t="str">
            <v>QTRC2002-M</v>
          </cell>
        </row>
        <row r="407">
          <cell r="A407" t="str">
            <v>Quikcell</v>
          </cell>
          <cell r="B407" t="str">
            <v>EXHQUI002</v>
          </cell>
          <cell r="C407" t="str">
            <v>QCPD35W</v>
          </cell>
          <cell r="D407" t="str">
            <v>846537091537</v>
          </cell>
          <cell r="E407" t="str">
            <v>Quikcell 35W PD A+C Dual Ports Wall Charger</v>
          </cell>
          <cell r="F407" t="str">
            <v>Charger</v>
          </cell>
          <cell r="G407" t="str">
            <v>Wall charger</v>
          </cell>
          <cell r="H407" t="str">
            <v>35W</v>
          </cell>
          <cell r="I407">
            <v>0.01</v>
          </cell>
          <cell r="J407">
            <v>0.92749999999999999</v>
          </cell>
          <cell r="K407">
            <v>0.16</v>
          </cell>
          <cell r="L407" t="str">
            <v>MacStore</v>
          </cell>
          <cell r="M407" t="str">
            <v>Exhibición</v>
          </cell>
          <cell r="N407" t="str">
            <v>QCPD35W-M</v>
          </cell>
        </row>
        <row r="408">
          <cell r="A408" t="str">
            <v>Quikcell</v>
          </cell>
          <cell r="B408" t="str">
            <v>IACCQIC003</v>
          </cell>
          <cell r="C408" t="str">
            <v>QC-TRIO</v>
          </cell>
          <cell r="D408" t="str">
            <v>846537072215</v>
          </cell>
          <cell r="E408" t="str">
            <v>Quikcell TRIO 3 in 1 Wireless Charging Pad - White</v>
          </cell>
          <cell r="F408" t="str">
            <v>Charger</v>
          </cell>
          <cell r="G408" t="str">
            <v>Wireless</v>
          </cell>
          <cell r="H408" t="str">
            <v>10 W</v>
          </cell>
          <cell r="I408">
            <v>805.56</v>
          </cell>
          <cell r="J408">
            <v>0.45000023543260748</v>
          </cell>
          <cell r="K408">
            <v>1699</v>
          </cell>
          <cell r="L408" t="str">
            <v>MacStore</v>
          </cell>
          <cell r="M408" t="str">
            <v>Discontinued</v>
          </cell>
          <cell r="N408" t="str">
            <v>QC-TRIO-M</v>
          </cell>
        </row>
        <row r="409">
          <cell r="A409" t="str">
            <v>Quikcell</v>
          </cell>
          <cell r="B409" t="str">
            <v>IACCQIC015</v>
          </cell>
          <cell r="C409" t="str">
            <v>DRIVEDOCK-C</v>
          </cell>
          <cell r="D409" t="str">
            <v>846537082672</v>
          </cell>
          <cell r="E409" t="str">
            <v>Quikcell Mount+Suction+Vent 2 in 1 air vent Dashboad Car Mount Charge</v>
          </cell>
          <cell r="F409" t="str">
            <v>Hardware</v>
          </cell>
          <cell r="G409" t="str">
            <v>Car Mount</v>
          </cell>
          <cell r="H409" t="str">
            <v>Car Mount</v>
          </cell>
          <cell r="I409">
            <v>378.84</v>
          </cell>
          <cell r="J409">
            <v>0.4499944931163955</v>
          </cell>
          <cell r="K409">
            <v>799</v>
          </cell>
          <cell r="L409" t="str">
            <v>MacStore</v>
          </cell>
          <cell r="M409" t="str">
            <v>Discontinued</v>
          </cell>
          <cell r="N409" t="str">
            <v>DRIVEDOCK-C-M</v>
          </cell>
        </row>
        <row r="410">
          <cell r="A410" t="str">
            <v>Quikcell</v>
          </cell>
          <cell r="B410" t="str">
            <v>REFQIC006</v>
          </cell>
          <cell r="C410" t="str">
            <v>GQC2066</v>
          </cell>
          <cell r="D410" t="str">
            <v>846537083457</v>
          </cell>
          <cell r="E410" t="str">
            <v>Quikcell Apple iPhone 13 Mini TEMPERED GLASS Screen Protector</v>
          </cell>
          <cell r="F410" t="str">
            <v>Micas</v>
          </cell>
          <cell r="G410" t="str">
            <v>Centro Servicio</v>
          </cell>
          <cell r="H410" t="str">
            <v>iPhone 13 Mini</v>
          </cell>
          <cell r="I410">
            <v>100</v>
          </cell>
          <cell r="J410">
            <v>0</v>
          </cell>
          <cell r="K410">
            <v>116</v>
          </cell>
          <cell r="L410" t="str">
            <v>MacStore</v>
          </cell>
          <cell r="M410" t="str">
            <v>Discontinued</v>
          </cell>
          <cell r="N410" t="str">
            <v>GQC2066-M</v>
          </cell>
        </row>
        <row r="411">
          <cell r="A411" t="str">
            <v>Quikcell</v>
          </cell>
          <cell r="B411" t="str">
            <v>REFQIC008</v>
          </cell>
          <cell r="C411" t="str">
            <v>GQC2068</v>
          </cell>
          <cell r="D411" t="str">
            <v>846537083709</v>
          </cell>
          <cell r="E411" t="str">
            <v>Quikcell Apple iPhone 13 Pro Max TEMPERED GLASS Screen Protector</v>
          </cell>
          <cell r="F411" t="str">
            <v>Micas</v>
          </cell>
          <cell r="G411" t="str">
            <v>Centro Servicio</v>
          </cell>
          <cell r="H411" t="str">
            <v>iPhone 13 Pro Max</v>
          </cell>
          <cell r="I411">
            <v>100</v>
          </cell>
          <cell r="J411">
            <v>0</v>
          </cell>
          <cell r="K411">
            <v>116</v>
          </cell>
          <cell r="L411" t="str">
            <v>MacStore</v>
          </cell>
          <cell r="M411" t="str">
            <v>Discontinued</v>
          </cell>
          <cell r="N411" t="str">
            <v>GQC2068-M</v>
          </cell>
        </row>
        <row r="412">
          <cell r="A412" t="str">
            <v>Quikcell</v>
          </cell>
          <cell r="B412" t="str">
            <v>REFQIC007</v>
          </cell>
          <cell r="C412" t="str">
            <v>GQC2067</v>
          </cell>
          <cell r="D412" t="str">
            <v>846537083570</v>
          </cell>
          <cell r="E412" t="str">
            <v>Quikcell Apple iPhone 13/13 Pro TEMPERED GLASS Screen Protector</v>
          </cell>
          <cell r="F412" t="str">
            <v>Micas</v>
          </cell>
          <cell r="G412" t="str">
            <v>Centro Servicio</v>
          </cell>
          <cell r="H412" t="str">
            <v>iPhone 13, iPhone 13 Pro</v>
          </cell>
          <cell r="I412">
            <v>100</v>
          </cell>
          <cell r="J412">
            <v>0</v>
          </cell>
          <cell r="K412">
            <v>116</v>
          </cell>
          <cell r="L412" t="str">
            <v>MacStore</v>
          </cell>
          <cell r="M412" t="str">
            <v>Discontinued</v>
          </cell>
          <cell r="N412" t="str">
            <v>GQC2067-M</v>
          </cell>
        </row>
        <row r="413">
          <cell r="A413" t="str">
            <v>Quikcell</v>
          </cell>
          <cell r="B413" t="str">
            <v>ACCQIC003</v>
          </cell>
          <cell r="C413" t="str">
            <v>GQC2059</v>
          </cell>
          <cell r="D413" t="str">
            <v>846537082948</v>
          </cell>
          <cell r="E413" t="str">
            <v>Quikcell Apple iPad 10.2” TEMPERED GLASS Screen Protector</v>
          </cell>
          <cell r="F413" t="str">
            <v>Micas</v>
          </cell>
          <cell r="G413" t="str">
            <v>iPad</v>
          </cell>
          <cell r="H413" t="str">
            <v>iPad 10.2"</v>
          </cell>
          <cell r="I413">
            <v>310</v>
          </cell>
          <cell r="J413">
            <v>0.57644287396937577</v>
          </cell>
          <cell r="K413">
            <v>849</v>
          </cell>
          <cell r="L413" t="str">
            <v>MacStore</v>
          </cell>
          <cell r="M413" t="str">
            <v>Discontinued</v>
          </cell>
          <cell r="N413" t="str">
            <v>GQC2059-M</v>
          </cell>
        </row>
        <row r="414">
          <cell r="A414" t="str">
            <v>Quikcell</v>
          </cell>
          <cell r="B414" t="str">
            <v>ACCQIC005</v>
          </cell>
          <cell r="C414" t="str">
            <v>GQC2060</v>
          </cell>
          <cell r="D414" t="str">
            <v>846537082955</v>
          </cell>
          <cell r="E414" t="str">
            <v>Quikcell Apple iPad Air 10.9” TEMPERED GLASS Screen Protector</v>
          </cell>
          <cell r="F414" t="str">
            <v>Micas</v>
          </cell>
          <cell r="G414" t="str">
            <v>iPad</v>
          </cell>
          <cell r="H414" t="str">
            <v>iPad Air 10/11 Gen 11" M3-M2</v>
          </cell>
          <cell r="I414">
            <v>310</v>
          </cell>
          <cell r="J414">
            <v>0.60000000000000009</v>
          </cell>
          <cell r="K414">
            <v>899</v>
          </cell>
          <cell r="L414" t="str">
            <v>MacStore</v>
          </cell>
          <cell r="M414" t="str">
            <v>Discontinued</v>
          </cell>
          <cell r="N414" t="str">
            <v>GQC2060-M</v>
          </cell>
        </row>
        <row r="415">
          <cell r="A415" t="str">
            <v>Quikcell</v>
          </cell>
          <cell r="B415" t="str">
            <v>ACCQIC004</v>
          </cell>
          <cell r="C415" t="str">
            <v>GP-IPSE2-BLK</v>
          </cell>
          <cell r="D415" t="str">
            <v>846537073656</v>
          </cell>
          <cell r="E415" t="str">
            <v>Quikcell Apple iPhone SE 2020 GOOF PROOF Premium Tempered Glass Screen Protection - Black</v>
          </cell>
          <cell r="F415" t="str">
            <v>Micas</v>
          </cell>
          <cell r="G415" t="str">
            <v>iPhone</v>
          </cell>
          <cell r="H415" t="str">
            <v>iPhone SE 2020 -2022</v>
          </cell>
          <cell r="I415">
            <v>206.55</v>
          </cell>
          <cell r="J415">
            <v>0.6000033388981636</v>
          </cell>
          <cell r="K415">
            <v>599</v>
          </cell>
          <cell r="L415" t="str">
            <v>MacStore</v>
          </cell>
          <cell r="M415" t="str">
            <v>Discontinued</v>
          </cell>
          <cell r="N415" t="str">
            <v>GP-IPSE2-BLK-M</v>
          </cell>
        </row>
        <row r="416">
          <cell r="A416" t="str">
            <v>Quikcell</v>
          </cell>
          <cell r="B416" t="str">
            <v>REFQIC002</v>
          </cell>
          <cell r="C416" t="str">
            <v>GQC2018</v>
          </cell>
          <cell r="D416" t="str">
            <v>846537077814</v>
          </cell>
          <cell r="E416" t="str">
            <v>Quikcell Apple iPhone XS Max/11 Pro Max TEMPERED GLASS Screen Protection</v>
          </cell>
          <cell r="F416" t="str">
            <v>Micas</v>
          </cell>
          <cell r="G416" t="str">
            <v>iPhone 11</v>
          </cell>
          <cell r="H416" t="str">
            <v>iPhone 11 Pro Max, iPhone XS Max</v>
          </cell>
          <cell r="I416">
            <v>100</v>
          </cell>
          <cell r="J416">
            <v>0</v>
          </cell>
          <cell r="K416">
            <v>116</v>
          </cell>
          <cell r="L416" t="str">
            <v>MacStore</v>
          </cell>
          <cell r="M416" t="str">
            <v>Discontinued</v>
          </cell>
          <cell r="N416" t="str">
            <v>GQC2018-M</v>
          </cell>
        </row>
        <row r="417">
          <cell r="A417" t="str">
            <v>Quikcell</v>
          </cell>
          <cell r="B417" t="str">
            <v>REFQIC001</v>
          </cell>
          <cell r="C417" t="str">
            <v>GP-IP11PRO</v>
          </cell>
          <cell r="D417" t="str">
            <v>846537070501</v>
          </cell>
          <cell r="E417" t="str">
            <v>Quikcell Apple iPhone 11 Pro/X/XS Original Tempered Glass Screen Protection - Clear</v>
          </cell>
          <cell r="F417" t="str">
            <v>Micas</v>
          </cell>
          <cell r="G417" t="str">
            <v>iPhone 11</v>
          </cell>
          <cell r="H417" t="str">
            <v>iPhone 11 Pro, iPhone X, iPhone XS</v>
          </cell>
          <cell r="I417">
            <v>100</v>
          </cell>
          <cell r="J417">
            <v>0</v>
          </cell>
          <cell r="K417">
            <v>116</v>
          </cell>
          <cell r="L417" t="str">
            <v>MacStore</v>
          </cell>
          <cell r="M417" t="str">
            <v>Discontinued</v>
          </cell>
          <cell r="N417" t="str">
            <v>GP-IP11PRO-M</v>
          </cell>
        </row>
        <row r="418">
          <cell r="A418" t="str">
            <v>Quikcell</v>
          </cell>
          <cell r="B418" t="str">
            <v>REFQIC000</v>
          </cell>
          <cell r="C418" t="str">
            <v>GQC2017</v>
          </cell>
          <cell r="D418" t="str">
            <v>846537077807</v>
          </cell>
          <cell r="E418" t="str">
            <v>Quikcell Apple iPhone XR/iPhone 11 TEMPERED GLASS Screen Protection - Clear</v>
          </cell>
          <cell r="F418" t="str">
            <v>Micas</v>
          </cell>
          <cell r="G418" t="str">
            <v>iPhone 11</v>
          </cell>
          <cell r="H418" t="str">
            <v>iPhone 11, iPhone XR</v>
          </cell>
          <cell r="I418">
            <v>100</v>
          </cell>
          <cell r="J418">
            <v>0</v>
          </cell>
          <cell r="K418">
            <v>116</v>
          </cell>
          <cell r="L418" t="str">
            <v>MacStore</v>
          </cell>
          <cell r="M418" t="str">
            <v>Discontinued</v>
          </cell>
          <cell r="N418" t="str">
            <v>GQC2017-M</v>
          </cell>
        </row>
        <row r="419">
          <cell r="A419" t="str">
            <v>Quikcell</v>
          </cell>
          <cell r="B419" t="str">
            <v>REFQIC003</v>
          </cell>
          <cell r="C419" t="str">
            <v>GQC2009</v>
          </cell>
          <cell r="D419" t="str">
            <v>846537077364</v>
          </cell>
          <cell r="E419" t="str">
            <v>Quikcell Apple iPhone 12 Mini TEMPERED GLASS Screen Protector</v>
          </cell>
          <cell r="F419" t="str">
            <v>Micas</v>
          </cell>
          <cell r="G419" t="str">
            <v>iPhone 12</v>
          </cell>
          <cell r="H419" t="str">
            <v>iPhone 12 mini</v>
          </cell>
          <cell r="I419">
            <v>100</v>
          </cell>
          <cell r="J419">
            <v>0</v>
          </cell>
          <cell r="K419">
            <v>116</v>
          </cell>
          <cell r="L419" t="str">
            <v>MacStore</v>
          </cell>
          <cell r="M419" t="str">
            <v>Discontinued</v>
          </cell>
          <cell r="N419" t="str">
            <v>GQC2009-M</v>
          </cell>
        </row>
        <row r="420">
          <cell r="A420" t="str">
            <v>Quikcell</v>
          </cell>
          <cell r="B420" t="str">
            <v>REFQIC004</v>
          </cell>
          <cell r="C420" t="str">
            <v>GQC2010</v>
          </cell>
          <cell r="D420" t="str">
            <v>846537077531</v>
          </cell>
          <cell r="E420" t="str">
            <v>Quikcell Apple iPhone 12/12 Pro TEMPERED GLASS Screen Protector</v>
          </cell>
          <cell r="F420" t="str">
            <v>Micas</v>
          </cell>
          <cell r="G420" t="str">
            <v>iPhone 12</v>
          </cell>
          <cell r="H420" t="str">
            <v>iPhone 12/iPhone 12 Pro</v>
          </cell>
          <cell r="I420">
            <v>100</v>
          </cell>
          <cell r="J420">
            <v>0</v>
          </cell>
          <cell r="K420">
            <v>116</v>
          </cell>
          <cell r="L420" t="str">
            <v>MacStore</v>
          </cell>
          <cell r="M420" t="str">
            <v>Discontinued</v>
          </cell>
          <cell r="N420" t="str">
            <v>GQC2010-M</v>
          </cell>
        </row>
        <row r="421">
          <cell r="A421" t="str">
            <v>Quikcell</v>
          </cell>
          <cell r="B421" t="str">
            <v>ACCQIC000</v>
          </cell>
          <cell r="C421" t="str">
            <v>GP-IP21S-M</v>
          </cell>
          <cell r="D421" t="str">
            <v>846537083464</v>
          </cell>
          <cell r="E421" t="str">
            <v>Quikcell Goof Proof Tempered Glass for iPhone 13 mini</v>
          </cell>
          <cell r="F421" t="str">
            <v>Micas</v>
          </cell>
          <cell r="G421" t="str">
            <v>iPhone 13</v>
          </cell>
          <cell r="H421" t="str">
            <v>iPhone 13 mini</v>
          </cell>
          <cell r="I421">
            <v>206.55</v>
          </cell>
          <cell r="J421">
            <v>0.6000033388981636</v>
          </cell>
          <cell r="K421">
            <v>599</v>
          </cell>
          <cell r="L421" t="str">
            <v>MacStore</v>
          </cell>
          <cell r="M421" t="str">
            <v>Discontinued</v>
          </cell>
          <cell r="N421" t="str">
            <v>GP-IP21S-M</v>
          </cell>
        </row>
        <row r="422">
          <cell r="A422" t="str">
            <v>Quikcell</v>
          </cell>
          <cell r="B422" t="str">
            <v>ACCQIC002</v>
          </cell>
          <cell r="C422" t="str">
            <v>GP-IP21L-M</v>
          </cell>
          <cell r="D422" t="str">
            <v>846537083716</v>
          </cell>
          <cell r="E422" t="str">
            <v>Quikcell Goof Proof Tempered Glass for iPhone 13 Pro Max</v>
          </cell>
          <cell r="F422" t="str">
            <v>Micas</v>
          </cell>
          <cell r="G422" t="str">
            <v>iPhone 13</v>
          </cell>
          <cell r="H422" t="str">
            <v>iPhone 13 Pro Max</v>
          </cell>
          <cell r="I422">
            <v>206.55</v>
          </cell>
          <cell r="J422">
            <v>0.6000033388981636</v>
          </cell>
          <cell r="K422">
            <v>599</v>
          </cell>
          <cell r="L422" t="str">
            <v>MacStore</v>
          </cell>
          <cell r="M422" t="str">
            <v>Discontinued</v>
          </cell>
          <cell r="N422" t="str">
            <v>GP-IP21L-M</v>
          </cell>
        </row>
        <row r="423">
          <cell r="A423" t="str">
            <v>Quikcell</v>
          </cell>
          <cell r="B423" t="str">
            <v>ACCQIC001</v>
          </cell>
          <cell r="C423" t="str">
            <v>GP-IP21M-M</v>
          </cell>
          <cell r="D423" t="str">
            <v>846537083587</v>
          </cell>
          <cell r="E423" t="str">
            <v>Quikcell Goof Proof Tempered Glass for iPhone 13/13 Pro</v>
          </cell>
          <cell r="F423" t="str">
            <v>Micas</v>
          </cell>
          <cell r="G423" t="str">
            <v>iPhone 13</v>
          </cell>
          <cell r="H423" t="str">
            <v>iPhone 13/13 Pro</v>
          </cell>
          <cell r="I423">
            <v>206.55</v>
          </cell>
          <cell r="J423">
            <v>0.6000033388981636</v>
          </cell>
          <cell r="K423">
            <v>599</v>
          </cell>
          <cell r="L423" t="str">
            <v>MacStore</v>
          </cell>
          <cell r="M423" t="str">
            <v>Discontinued</v>
          </cell>
          <cell r="N423" t="str">
            <v>GP-IP21M-M</v>
          </cell>
        </row>
        <row r="424">
          <cell r="A424" t="str">
            <v>Quikcell</v>
          </cell>
          <cell r="B424" t="str">
            <v>ACCQIC006</v>
          </cell>
          <cell r="C424" t="str">
            <v>GQC2134-M</v>
          </cell>
          <cell r="D424" t="str">
            <v>846537087370</v>
          </cell>
          <cell r="E424" t="str">
            <v>Quikcell Tempered Glass Screen Protector for iPhone 14</v>
          </cell>
          <cell r="F424" t="str">
            <v>Micas</v>
          </cell>
          <cell r="G424" t="str">
            <v>iPhone 14</v>
          </cell>
          <cell r="H424" t="str">
            <v>iPhone 14</v>
          </cell>
          <cell r="I424">
            <v>189.31</v>
          </cell>
          <cell r="J424">
            <v>0.60000072859745002</v>
          </cell>
          <cell r="K424">
            <v>549</v>
          </cell>
          <cell r="L424" t="str">
            <v>MacStore</v>
          </cell>
          <cell r="M424" t="str">
            <v>Discontinued</v>
          </cell>
          <cell r="N424" t="str">
            <v>GQC2134-M</v>
          </cell>
        </row>
        <row r="425">
          <cell r="A425" t="str">
            <v>Quikcell</v>
          </cell>
          <cell r="B425" t="str">
            <v>ACCQIC008</v>
          </cell>
          <cell r="C425" t="str">
            <v>GQC2136-M</v>
          </cell>
          <cell r="D425" t="str">
            <v>846537087608</v>
          </cell>
          <cell r="E425" t="str">
            <v>Quikcell Tempered Glass Screen Protector for iPhone 14 Plus</v>
          </cell>
          <cell r="F425" t="str">
            <v>Micas</v>
          </cell>
          <cell r="G425" t="str">
            <v>iPhone 14</v>
          </cell>
          <cell r="H425" t="str">
            <v>iPhone 14 Plus</v>
          </cell>
          <cell r="I425">
            <v>189.31</v>
          </cell>
          <cell r="J425">
            <v>0.60000072859745002</v>
          </cell>
          <cell r="K425">
            <v>549</v>
          </cell>
          <cell r="L425" t="str">
            <v>MacStore</v>
          </cell>
          <cell r="M425" t="str">
            <v>Discontinued</v>
          </cell>
          <cell r="N425" t="str">
            <v>GQC2136-M</v>
          </cell>
        </row>
        <row r="426">
          <cell r="A426" t="str">
            <v>Quikcell</v>
          </cell>
          <cell r="B426" t="str">
            <v>ACCQIC007</v>
          </cell>
          <cell r="C426" t="str">
            <v>GQC2135-M</v>
          </cell>
          <cell r="D426" t="str">
            <v>846537087493</v>
          </cell>
          <cell r="E426" t="str">
            <v>Quikcell Apple iPhone 14 Pro TEMPERED GLASS Screen Protector</v>
          </cell>
          <cell r="F426" t="str">
            <v>Micas</v>
          </cell>
          <cell r="G426" t="str">
            <v>iPhone 14</v>
          </cell>
          <cell r="H426" t="str">
            <v>iPhone 14 Pro</v>
          </cell>
          <cell r="I426">
            <v>189.31</v>
          </cell>
          <cell r="J426">
            <v>0.60000072859745002</v>
          </cell>
          <cell r="K426">
            <v>549</v>
          </cell>
          <cell r="L426" t="str">
            <v>MacStore</v>
          </cell>
          <cell r="M426" t="str">
            <v>Discontinued</v>
          </cell>
          <cell r="N426" t="str">
            <v>GQC2135-M</v>
          </cell>
        </row>
        <row r="427">
          <cell r="A427" t="str">
            <v>Quikcell</v>
          </cell>
          <cell r="B427" t="str">
            <v>ACCQIC009</v>
          </cell>
          <cell r="C427" t="str">
            <v>GQC2137-M</v>
          </cell>
          <cell r="D427" t="str">
            <v>846537087714</v>
          </cell>
          <cell r="E427" t="str">
            <v>Quikcell Apple iPhone 14 Pro Max TEMPERED GLASS Screen Protector</v>
          </cell>
          <cell r="F427" t="str">
            <v>Micas</v>
          </cell>
          <cell r="G427" t="str">
            <v>iPhone 14</v>
          </cell>
          <cell r="H427" t="str">
            <v>iPhone 14 Pro Max</v>
          </cell>
          <cell r="I427">
            <v>189.31</v>
          </cell>
          <cell r="J427">
            <v>0.60000072859745002</v>
          </cell>
          <cell r="K427">
            <v>549</v>
          </cell>
          <cell r="L427" t="str">
            <v>MacStore</v>
          </cell>
          <cell r="M427" t="str">
            <v>Discontinued</v>
          </cell>
          <cell r="N427" t="str">
            <v>GQC2137-M</v>
          </cell>
        </row>
        <row r="428">
          <cell r="A428" t="str">
            <v>Quikcell</v>
          </cell>
          <cell r="B428" t="str">
            <v>ACCQIC012</v>
          </cell>
          <cell r="C428" t="str">
            <v>GQC2184-M</v>
          </cell>
          <cell r="D428" t="str">
            <v>846537090950</v>
          </cell>
          <cell r="E428" t="str">
            <v>Quikcell Tempered Glass Screen Protector iPhone 15 Plus</v>
          </cell>
          <cell r="F428" t="str">
            <v>Micas</v>
          </cell>
          <cell r="G428" t="str">
            <v>iPhone 15</v>
          </cell>
          <cell r="H428" t="str">
            <v>iPhone 15 Plus</v>
          </cell>
          <cell r="I428">
            <v>189.31</v>
          </cell>
          <cell r="J428">
            <v>0.60000072859745002</v>
          </cell>
          <cell r="K428">
            <v>549</v>
          </cell>
          <cell r="L428" t="str">
            <v>MacStore</v>
          </cell>
          <cell r="M428" t="str">
            <v>Discontinued</v>
          </cell>
          <cell r="N428" t="str">
            <v>GQC2184-M</v>
          </cell>
        </row>
        <row r="429">
          <cell r="A429" t="str">
            <v>Quikcell</v>
          </cell>
          <cell r="B429" t="str">
            <v>ACCQIC011</v>
          </cell>
          <cell r="C429" t="str">
            <v>GQC2183-M</v>
          </cell>
          <cell r="D429" t="str">
            <v>846537090844</v>
          </cell>
          <cell r="E429" t="str">
            <v>Quikcell Tempered Glass Screen Protector iPhone 15 Pro</v>
          </cell>
          <cell r="F429" t="str">
            <v>Micas</v>
          </cell>
          <cell r="G429" t="str">
            <v>iPhone 15</v>
          </cell>
          <cell r="H429" t="str">
            <v>iPhone 15 Pro</v>
          </cell>
          <cell r="I429">
            <v>189.31</v>
          </cell>
          <cell r="J429">
            <v>0.60000072859745002</v>
          </cell>
          <cell r="K429">
            <v>549</v>
          </cell>
          <cell r="L429" t="str">
            <v>MacStore</v>
          </cell>
          <cell r="M429" t="str">
            <v>Discontinued</v>
          </cell>
          <cell r="N429" t="str">
            <v>GQC2183-M</v>
          </cell>
        </row>
        <row r="430">
          <cell r="A430" t="str">
            <v>Quikcell</v>
          </cell>
          <cell r="B430" t="str">
            <v>XVAQIC000</v>
          </cell>
          <cell r="C430" t="str">
            <v>GQC2183-M</v>
          </cell>
          <cell r="D430" t="str">
            <v>846537090844</v>
          </cell>
          <cell r="E430" t="str">
            <v>Quikcell Tempered Glass Screen Protector iPhone 15 Pro</v>
          </cell>
          <cell r="F430" t="str">
            <v>Micas</v>
          </cell>
          <cell r="G430" t="str">
            <v>iPhone 15</v>
          </cell>
          <cell r="H430" t="str">
            <v>iPhone 15 Pro</v>
          </cell>
          <cell r="I430">
            <v>100</v>
          </cell>
          <cell r="J430">
            <v>0.78870673952641168</v>
          </cell>
          <cell r="K430">
            <v>549</v>
          </cell>
          <cell r="L430" t="str">
            <v>MacStore</v>
          </cell>
          <cell r="M430" t="str">
            <v>Discontinued</v>
          </cell>
          <cell r="N430" t="str">
            <v>GQC2183-M</v>
          </cell>
        </row>
        <row r="431">
          <cell r="A431" t="str">
            <v>Quikcell</v>
          </cell>
          <cell r="B431" t="str">
            <v>ACCQIC013</v>
          </cell>
          <cell r="C431" t="str">
            <v>GQC2185-M</v>
          </cell>
          <cell r="D431" t="str">
            <v>846537091063</v>
          </cell>
          <cell r="E431" t="str">
            <v>Quikcell Tempered Glass Screen Protector iPhone 15 Pro Max</v>
          </cell>
          <cell r="F431" t="str">
            <v>Micas</v>
          </cell>
          <cell r="G431" t="str">
            <v>iPhone 15</v>
          </cell>
          <cell r="H431" t="str">
            <v>iPhone 15 Pro Max</v>
          </cell>
          <cell r="I431">
            <v>189.31</v>
          </cell>
          <cell r="J431">
            <v>0.60000072859745002</v>
          </cell>
          <cell r="K431">
            <v>549</v>
          </cell>
          <cell r="L431" t="str">
            <v>MacStore</v>
          </cell>
          <cell r="M431" t="str">
            <v>Discontinued</v>
          </cell>
          <cell r="N431" t="str">
            <v>GQC2185-M</v>
          </cell>
        </row>
        <row r="432">
          <cell r="A432" t="str">
            <v>Quikcell</v>
          </cell>
          <cell r="B432" t="str">
            <v>ACCQIC010</v>
          </cell>
          <cell r="C432" t="str">
            <v>GQC2182-M</v>
          </cell>
          <cell r="D432" t="str">
            <v>846537090738</v>
          </cell>
          <cell r="E432" t="str">
            <v>Quikcell Tempered Glass Screen Protector iPhone 15</v>
          </cell>
          <cell r="F432" t="str">
            <v>Micas</v>
          </cell>
          <cell r="G432" t="str">
            <v>iPhone 15</v>
          </cell>
          <cell r="H432" t="str">
            <v>iPhone 16e / 15 / 14 / 13</v>
          </cell>
          <cell r="I432">
            <v>189.31</v>
          </cell>
          <cell r="J432">
            <v>0.60000072859745002</v>
          </cell>
          <cell r="K432">
            <v>549</v>
          </cell>
          <cell r="L432" t="str">
            <v>MacStore</v>
          </cell>
          <cell r="M432" t="str">
            <v>Discontinued</v>
          </cell>
          <cell r="N432" t="str">
            <v>GQC2182-M</v>
          </cell>
        </row>
        <row r="433">
          <cell r="A433" t="str">
            <v>Quikcell</v>
          </cell>
          <cell r="B433" t="str">
            <v>ACCQIC015</v>
          </cell>
          <cell r="C433" t="str">
            <v>GQC2205-M</v>
          </cell>
          <cell r="D433" t="str">
            <v>846537093722</v>
          </cell>
          <cell r="E433" t="str">
            <v>Quikcell Tempered Glass Screen Protector for iPhone 16</v>
          </cell>
          <cell r="F433" t="str">
            <v>Micas</v>
          </cell>
          <cell r="G433" t="str">
            <v>iPhone 16</v>
          </cell>
          <cell r="H433" t="str">
            <v>iPhone 16</v>
          </cell>
          <cell r="I433">
            <v>150.56</v>
          </cell>
          <cell r="J433">
            <v>0.65000080160320639</v>
          </cell>
          <cell r="K433">
            <v>499</v>
          </cell>
          <cell r="L433" t="str">
            <v>MacStore</v>
          </cell>
          <cell r="M433" t="str">
            <v>Discontinued</v>
          </cell>
          <cell r="N433" t="str">
            <v>GQC2205-M</v>
          </cell>
        </row>
        <row r="434">
          <cell r="A434" t="str">
            <v>Quikcell</v>
          </cell>
          <cell r="B434" t="str">
            <v>ACCQIC016</v>
          </cell>
          <cell r="C434" t="str">
            <v>GQC2207-M</v>
          </cell>
          <cell r="D434" t="str">
            <v>846537093975</v>
          </cell>
          <cell r="E434" t="str">
            <v>Quikcell Tempered Glass Screen Protector for iPhone 16 Plus</v>
          </cell>
          <cell r="F434" t="str">
            <v>Micas</v>
          </cell>
          <cell r="G434" t="str">
            <v>iPhone 16</v>
          </cell>
          <cell r="H434" t="str">
            <v>iPhone 16 Plus</v>
          </cell>
          <cell r="I434">
            <v>150.56</v>
          </cell>
          <cell r="J434">
            <v>0.65000080160320639</v>
          </cell>
          <cell r="K434">
            <v>499</v>
          </cell>
          <cell r="L434" t="str">
            <v>MacStore</v>
          </cell>
          <cell r="M434" t="str">
            <v>Discontinued</v>
          </cell>
          <cell r="N434" t="str">
            <v>GQC2207-M</v>
          </cell>
        </row>
        <row r="435">
          <cell r="A435" t="str">
            <v>Quikcell</v>
          </cell>
          <cell r="B435" t="str">
            <v>ACCQIC017</v>
          </cell>
          <cell r="C435" t="str">
            <v>GQC2206-M</v>
          </cell>
          <cell r="D435" t="str">
            <v>846537093852</v>
          </cell>
          <cell r="E435" t="str">
            <v>Quikcell Tempered Glass Screen Protector for iPhone 16 Pro</v>
          </cell>
          <cell r="F435" t="str">
            <v>Micas</v>
          </cell>
          <cell r="G435" t="str">
            <v>iPhone 16</v>
          </cell>
          <cell r="H435" t="str">
            <v>iPhone 16 Pro / iPhone 17 / 17 Pro</v>
          </cell>
          <cell r="I435">
            <v>150.56</v>
          </cell>
          <cell r="J435">
            <v>0.65000080160320639</v>
          </cell>
          <cell r="K435">
            <v>499</v>
          </cell>
          <cell r="L435" t="str">
            <v>MacStore</v>
          </cell>
          <cell r="M435" t="str">
            <v>Discontinued</v>
          </cell>
          <cell r="N435" t="str">
            <v>GQC2206-M</v>
          </cell>
        </row>
        <row r="436">
          <cell r="A436" t="str">
            <v>Quikcell</v>
          </cell>
          <cell r="B436" t="str">
            <v>ACCQIC018</v>
          </cell>
          <cell r="C436" t="str">
            <v>GQC2208-M</v>
          </cell>
          <cell r="D436" t="str">
            <v>846537094095</v>
          </cell>
          <cell r="E436" t="str">
            <v>Quikcell Tempered Glass Screen Protector for iPhone 16 Pro Max</v>
          </cell>
          <cell r="F436" t="str">
            <v>Micas</v>
          </cell>
          <cell r="G436" t="str">
            <v>iPhone 16</v>
          </cell>
          <cell r="H436" t="str">
            <v>iPhone 16 Pro Max</v>
          </cell>
          <cell r="I436">
            <v>150.56</v>
          </cell>
          <cell r="J436">
            <v>0.65000080160320639</v>
          </cell>
          <cell r="K436">
            <v>499</v>
          </cell>
          <cell r="L436" t="str">
            <v>MacStore</v>
          </cell>
          <cell r="M436" t="str">
            <v>Discontinued</v>
          </cell>
          <cell r="N436" t="str">
            <v>GQC2208-M</v>
          </cell>
        </row>
        <row r="437">
          <cell r="A437" t="str">
            <v>Quikcell</v>
          </cell>
          <cell r="B437" t="str">
            <v>XVAQIC001</v>
          </cell>
          <cell r="C437" t="str">
            <v>GQC2208-M</v>
          </cell>
          <cell r="D437" t="str">
            <v>846537094095</v>
          </cell>
          <cell r="E437" t="str">
            <v>Quikcell Tempered Glass Screen Protector for iPhone 16 Pro Max</v>
          </cell>
          <cell r="F437" t="str">
            <v>Micas</v>
          </cell>
          <cell r="G437" t="str">
            <v>iPhone 16</v>
          </cell>
          <cell r="H437" t="str">
            <v>iPhone 16 Pro Max</v>
          </cell>
          <cell r="I437">
            <v>110</v>
          </cell>
          <cell r="J437">
            <v>0.76757741347905284</v>
          </cell>
          <cell r="K437">
            <v>549</v>
          </cell>
          <cell r="L437" t="str">
            <v>MacStore</v>
          </cell>
          <cell r="M437" t="str">
            <v>Discontinued</v>
          </cell>
          <cell r="N437" t="str">
            <v>GQC2208-M</v>
          </cell>
        </row>
        <row r="438">
          <cell r="A438" t="str">
            <v>Quikcell</v>
          </cell>
          <cell r="B438" t="str">
            <v>ACCQIC019</v>
          </cell>
          <cell r="C438" t="str">
            <v>GQC2232</v>
          </cell>
          <cell r="D438" t="str">
            <v>846537097157</v>
          </cell>
          <cell r="E438" t="str">
            <v>Quikcell Tempered Glass Screen Protector for iPhone 17 / Pro</v>
          </cell>
          <cell r="F438" t="str">
            <v>Micas</v>
          </cell>
          <cell r="G438" t="str">
            <v>iPhone 17</v>
          </cell>
          <cell r="H438" t="str">
            <v>iPhone 17 / 17 Pro</v>
          </cell>
          <cell r="I438">
            <v>150.56</v>
          </cell>
          <cell r="J438">
            <v>0.65000080160320639</v>
          </cell>
          <cell r="K438">
            <v>499</v>
          </cell>
          <cell r="L438" t="str">
            <v>MacStore</v>
          </cell>
          <cell r="M438" t="str">
            <v>Active</v>
          </cell>
          <cell r="N438" t="str">
            <v>GQC2232</v>
          </cell>
        </row>
        <row r="439">
          <cell r="A439" t="str">
            <v>Quikcell</v>
          </cell>
          <cell r="B439" t="str">
            <v>ACCQIC020</v>
          </cell>
          <cell r="C439" t="str">
            <v>GQC2233</v>
          </cell>
          <cell r="D439" t="str">
            <v>846537097287</v>
          </cell>
          <cell r="E439" t="str">
            <v>Quikcell Tempered Glass Screen Protector for iPhone 17 Air</v>
          </cell>
          <cell r="F439" t="str">
            <v>Micas</v>
          </cell>
          <cell r="G439" t="str">
            <v>iPhone 17</v>
          </cell>
          <cell r="H439" t="str">
            <v>iPhone 17 Air</v>
          </cell>
          <cell r="I439">
            <v>150.56</v>
          </cell>
          <cell r="J439">
            <v>0.65000080160320639</v>
          </cell>
          <cell r="K439">
            <v>499</v>
          </cell>
          <cell r="L439" t="str">
            <v>MacStore</v>
          </cell>
          <cell r="M439" t="str">
            <v>Discontinued</v>
          </cell>
          <cell r="N439" t="str">
            <v>GQC2233</v>
          </cell>
        </row>
        <row r="440">
          <cell r="A440" t="str">
            <v>Quikcell</v>
          </cell>
          <cell r="B440" t="str">
            <v>ACCQIC021</v>
          </cell>
          <cell r="C440" t="str">
            <v>GQC2235</v>
          </cell>
          <cell r="D440" t="str">
            <v>846537097553</v>
          </cell>
          <cell r="E440" t="str">
            <v>Quikcell Tempered Glass Screen Protector for iPhone 17 Pro Max</v>
          </cell>
          <cell r="F440" t="str">
            <v>Micas</v>
          </cell>
          <cell r="G440" t="str">
            <v>iPhone 17</v>
          </cell>
          <cell r="H440" t="str">
            <v>iPhone 17 Pro Max / 16 Pro Max</v>
          </cell>
          <cell r="I440">
            <v>150.56</v>
          </cell>
          <cell r="J440">
            <v>0.65000080160320639</v>
          </cell>
          <cell r="K440">
            <v>499</v>
          </cell>
          <cell r="L440" t="str">
            <v>MacStore</v>
          </cell>
          <cell r="M440" t="str">
            <v>Discontinued</v>
          </cell>
          <cell r="N440" t="str">
            <v>GQC2235</v>
          </cell>
        </row>
        <row r="441">
          <cell r="A441" t="str">
            <v>Quikcell</v>
          </cell>
          <cell r="B441" t="str">
            <v>IACCQIC007</v>
          </cell>
          <cell r="C441" t="str">
            <v>QC-LIQUIDG</v>
          </cell>
          <cell r="D441" t="str">
            <v>846537071317</v>
          </cell>
          <cell r="E441" t="str">
            <v>Quikcell Ultra LIQUID GLASS Screen Protector</v>
          </cell>
          <cell r="F441" t="str">
            <v>Micas</v>
          </cell>
          <cell r="G441" t="str">
            <v>UNIVERSAL</v>
          </cell>
          <cell r="H441" t="str">
            <v>Universal</v>
          </cell>
          <cell r="I441">
            <v>236.59</v>
          </cell>
          <cell r="J441">
            <v>0.45001122244488978</v>
          </cell>
          <cell r="K441">
            <v>499</v>
          </cell>
          <cell r="L441" t="str">
            <v>MacStore</v>
          </cell>
          <cell r="M441" t="str">
            <v>Discontinued</v>
          </cell>
          <cell r="N441" t="str">
            <v>QC-LIQUIDG-M</v>
          </cell>
        </row>
        <row r="442">
          <cell r="A442" t="str">
            <v>Raptic</v>
          </cell>
          <cell r="B442" t="str">
            <v>FUNRAP005</v>
          </cell>
          <cell r="C442" t="str">
            <v>463546</v>
          </cell>
          <cell r="D442" t="str">
            <v>6950941463546</v>
          </cell>
          <cell r="E442" t="str">
            <v xml:space="preserve">Raptic 360X for Apple watch 41mm  Clear </v>
          </cell>
          <cell r="F442" t="str">
            <v>Cases Apple watch</v>
          </cell>
          <cell r="G442" t="str">
            <v>Apple Watch</v>
          </cell>
          <cell r="H442" t="str">
            <v>38mm/40mm/41mm</v>
          </cell>
          <cell r="I442">
            <v>154.66</v>
          </cell>
          <cell r="J442">
            <v>0.39998127090301006</v>
          </cell>
          <cell r="K442">
            <v>299</v>
          </cell>
          <cell r="L442" t="str">
            <v>MacStore</v>
          </cell>
          <cell r="M442" t="str">
            <v>Discontinued</v>
          </cell>
          <cell r="N442" t="str">
            <v>463546-M</v>
          </cell>
        </row>
        <row r="443">
          <cell r="A443" t="str">
            <v>Raptic</v>
          </cell>
          <cell r="B443" t="str">
            <v>FUNRAP003</v>
          </cell>
          <cell r="C443">
            <v>463706</v>
          </cell>
          <cell r="D443" t="str">
            <v>6950941463706</v>
          </cell>
          <cell r="E443" t="str">
            <v xml:space="preserve">Raptic Edge for Apple watch 41mm  Blue </v>
          </cell>
          <cell r="F443" t="str">
            <v>Cases Apple watch</v>
          </cell>
          <cell r="G443" t="str">
            <v>Apple Watch</v>
          </cell>
          <cell r="H443" t="str">
            <v>38mm/40mm/41mm</v>
          </cell>
          <cell r="I443">
            <v>361.55</v>
          </cell>
          <cell r="J443">
            <v>0.40000286123032913</v>
          </cell>
          <cell r="K443">
            <v>699</v>
          </cell>
          <cell r="L443" t="str">
            <v>MacStore</v>
          </cell>
          <cell r="M443" t="str">
            <v>Discontinued</v>
          </cell>
          <cell r="N443" t="str">
            <v>463706-M</v>
          </cell>
        </row>
        <row r="444">
          <cell r="A444" t="str">
            <v>Raptic</v>
          </cell>
          <cell r="B444" t="str">
            <v>FUNRAP004</v>
          </cell>
          <cell r="C444">
            <v>463676</v>
          </cell>
          <cell r="D444" t="str">
            <v>6950941463676</v>
          </cell>
          <cell r="E444" t="str">
            <v xml:space="preserve">Raptic Edge for Apple watch 41mm  Midnight </v>
          </cell>
          <cell r="F444" t="str">
            <v>Cases Apple watch</v>
          </cell>
          <cell r="G444" t="str">
            <v>Apple Watch</v>
          </cell>
          <cell r="H444" t="str">
            <v>38mm/40mm/41mm</v>
          </cell>
          <cell r="I444">
            <v>361.55</v>
          </cell>
          <cell r="J444">
            <v>0.40000286123032913</v>
          </cell>
          <cell r="K444">
            <v>699</v>
          </cell>
          <cell r="L444" t="str">
            <v>MacStore</v>
          </cell>
          <cell r="M444" t="str">
            <v>Discontinued</v>
          </cell>
          <cell r="N444" t="str">
            <v>463676-M</v>
          </cell>
        </row>
        <row r="445">
          <cell r="A445" t="str">
            <v>Raptic</v>
          </cell>
          <cell r="B445" t="str">
            <v>FUNRAP002</v>
          </cell>
          <cell r="C445">
            <v>463485</v>
          </cell>
          <cell r="D445" t="str">
            <v>6950941463485</v>
          </cell>
          <cell r="E445" t="str">
            <v xml:space="preserve">Raptic 360X for Apple watch 45mm  Clear </v>
          </cell>
          <cell r="F445" t="str">
            <v>Cases Apple watch</v>
          </cell>
          <cell r="G445" t="str">
            <v>Apple Watch</v>
          </cell>
          <cell r="H445" t="str">
            <v>42mm/44mm/45mm</v>
          </cell>
          <cell r="I445">
            <v>154.66</v>
          </cell>
          <cell r="J445">
            <v>0.39998127090301006</v>
          </cell>
          <cell r="K445">
            <v>299</v>
          </cell>
          <cell r="L445" t="str">
            <v>MacStore</v>
          </cell>
          <cell r="M445" t="str">
            <v>Discontinued</v>
          </cell>
          <cell r="N445" t="str">
            <v>463485-M</v>
          </cell>
        </row>
        <row r="446">
          <cell r="A446" t="str">
            <v>Raptic</v>
          </cell>
          <cell r="B446" t="str">
            <v>FUNRAP000</v>
          </cell>
          <cell r="C446">
            <v>463522</v>
          </cell>
          <cell r="D446" t="str">
            <v>6950941463522</v>
          </cell>
          <cell r="E446" t="str">
            <v xml:space="preserve">Raptic Edge for Apple watch 45mm  Blue </v>
          </cell>
          <cell r="F446" t="str">
            <v>Cases Apple watch</v>
          </cell>
          <cell r="G446" t="str">
            <v>Apple Watch</v>
          </cell>
          <cell r="H446" t="str">
            <v>42mm/44mm/45mm</v>
          </cell>
          <cell r="I446">
            <v>361.55</v>
          </cell>
          <cell r="J446">
            <v>0.40000286123032913</v>
          </cell>
          <cell r="K446">
            <v>699</v>
          </cell>
          <cell r="L446" t="str">
            <v>MacStore</v>
          </cell>
          <cell r="M446" t="str">
            <v>Discontinued</v>
          </cell>
          <cell r="N446" t="str">
            <v>463522-M</v>
          </cell>
        </row>
        <row r="447">
          <cell r="A447" t="str">
            <v>Raptic</v>
          </cell>
          <cell r="B447" t="str">
            <v>FUNRAP001</v>
          </cell>
          <cell r="C447">
            <v>463492</v>
          </cell>
          <cell r="D447" t="str">
            <v>6950941463492</v>
          </cell>
          <cell r="E447" t="str">
            <v xml:space="preserve">Raptic Edge for Apple watch 45mm  Midnight </v>
          </cell>
          <cell r="F447" t="str">
            <v>Cases Apple watch</v>
          </cell>
          <cell r="G447" t="str">
            <v>Apple Watch</v>
          </cell>
          <cell r="H447" t="str">
            <v>42mm/44mm/45mm</v>
          </cell>
          <cell r="I447">
            <v>361.55</v>
          </cell>
          <cell r="J447">
            <v>0.40000286123032913</v>
          </cell>
          <cell r="K447">
            <v>699</v>
          </cell>
          <cell r="L447" t="str">
            <v>MacStore</v>
          </cell>
          <cell r="M447" t="str">
            <v>Discontinued</v>
          </cell>
          <cell r="N447" t="str">
            <v>463492-M</v>
          </cell>
        </row>
        <row r="448">
          <cell r="A448" t="str">
            <v>Raptic</v>
          </cell>
          <cell r="B448" t="str">
            <v>EXTXDO011</v>
          </cell>
          <cell r="C448" t="str">
            <v>3X5C0292A</v>
          </cell>
          <cell r="D448" t="str">
            <v>6950941480291</v>
          </cell>
          <cell r="E448" t="str">
            <v>X-doria Mesh Band for Apple watch 38mm/40mm/41mm Milanese metal band Rose Gold</v>
          </cell>
          <cell r="F448" t="str">
            <v>Straps</v>
          </cell>
          <cell r="G448" t="str">
            <v>Apple Watch</v>
          </cell>
          <cell r="H448" t="str">
            <v>38mm/40mm/41mm</v>
          </cell>
          <cell r="I448">
            <v>473.66</v>
          </cell>
          <cell r="J448">
            <v>0.45000440440440437</v>
          </cell>
          <cell r="K448">
            <v>999</v>
          </cell>
          <cell r="L448" t="str">
            <v>MacStore</v>
          </cell>
          <cell r="M448" t="str">
            <v>Discontinued</v>
          </cell>
          <cell r="N448" t="str">
            <v>3X5C0292A</v>
          </cell>
        </row>
        <row r="449">
          <cell r="A449" t="str">
            <v>Raptic</v>
          </cell>
          <cell r="B449" t="str">
            <v>EXTRAP000</v>
          </cell>
          <cell r="C449" t="str">
            <v>471404</v>
          </cell>
          <cell r="D449" t="str">
            <v>6950941471404</v>
          </cell>
          <cell r="E449" t="str">
            <v xml:space="preserve">Raptic Citizen for Apple watch 42mm/44mm/45mm  Black </v>
          </cell>
          <cell r="F449" t="str">
            <v>Straps</v>
          </cell>
          <cell r="G449" t="str">
            <v>Apple Watch</v>
          </cell>
          <cell r="H449" t="str">
            <v>49/45/44/42 mm</v>
          </cell>
          <cell r="I449">
            <v>473.66</v>
          </cell>
          <cell r="J449">
            <v>0.45000440440440437</v>
          </cell>
          <cell r="K449">
            <v>999</v>
          </cell>
          <cell r="L449" t="str">
            <v>MacStore</v>
          </cell>
          <cell r="M449" t="str">
            <v>Discontinued</v>
          </cell>
          <cell r="N449" t="str">
            <v>471404-M</v>
          </cell>
        </row>
        <row r="450">
          <cell r="A450" t="str">
            <v>Speck</v>
          </cell>
          <cell r="B450" t="str">
            <v>ACCSPK012</v>
          </cell>
          <cell r="C450" t="str">
            <v>150422-1041</v>
          </cell>
          <cell r="D450" t="str">
            <v>840168532131</v>
          </cell>
          <cell r="E450" t="str">
            <v>Speck Car Vent Mount for MagSafe Black iPhone 15 Car</v>
          </cell>
          <cell r="F450" t="str">
            <v>Accesories</v>
          </cell>
          <cell r="G450" t="str">
            <v>Click Lock</v>
          </cell>
          <cell r="H450" t="str">
            <v>Car Vent</v>
          </cell>
          <cell r="I450">
            <v>368.5</v>
          </cell>
          <cell r="J450">
            <v>0.46500625782227789</v>
          </cell>
          <cell r="K450">
            <v>799</v>
          </cell>
          <cell r="L450" t="str">
            <v>MacStore</v>
          </cell>
          <cell r="M450" t="str">
            <v>Active</v>
          </cell>
          <cell r="N450" t="str">
            <v>150422-1041-M</v>
          </cell>
        </row>
        <row r="451">
          <cell r="A451" t="str">
            <v>Speck</v>
          </cell>
          <cell r="B451" t="str">
            <v>ACCSPK013</v>
          </cell>
          <cell r="C451" t="str">
            <v>150423-1041</v>
          </cell>
          <cell r="D451" t="str">
            <v>840168532148</v>
          </cell>
          <cell r="E451" t="str">
            <v>Speck Wallet for MagSafe® Black iPhone 15 Wallet</v>
          </cell>
          <cell r="F451" t="str">
            <v>Accesories</v>
          </cell>
          <cell r="G451" t="str">
            <v>Click Lock</v>
          </cell>
          <cell r="H451" t="str">
            <v>Wallet</v>
          </cell>
          <cell r="I451">
            <v>230.14</v>
          </cell>
          <cell r="J451">
            <v>0.46500521042084175</v>
          </cell>
          <cell r="K451">
            <v>499</v>
          </cell>
          <cell r="L451" t="str">
            <v>MacStore</v>
          </cell>
          <cell r="M451" t="str">
            <v>Active</v>
          </cell>
          <cell r="N451" t="str">
            <v>150423-1041-M</v>
          </cell>
        </row>
        <row r="452">
          <cell r="A452" t="str">
            <v>Speck</v>
          </cell>
          <cell r="B452" t="str">
            <v>BOCGEM002</v>
          </cell>
          <cell r="C452" t="str">
            <v>150661-3225</v>
          </cell>
          <cell r="D452" t="str">
            <v>840168539819</v>
          </cell>
          <cell r="E452" t="str">
            <v>Speck Speaker Gemtones Infinity Speaker Max -DARK GREY/CHROME/TAN</v>
          </cell>
          <cell r="F452" t="str">
            <v>Audio</v>
          </cell>
          <cell r="G452" t="str">
            <v>Speakers</v>
          </cell>
          <cell r="H452" t="str">
            <v>Infinity</v>
          </cell>
          <cell r="I452">
            <v>1809.74</v>
          </cell>
          <cell r="J452">
            <v>0.30000053351117051</v>
          </cell>
          <cell r="K452">
            <v>2999</v>
          </cell>
          <cell r="L452" t="str">
            <v>MacStore</v>
          </cell>
          <cell r="M452" t="str">
            <v>Discontinued</v>
          </cell>
          <cell r="N452" t="str">
            <v>150661-3225</v>
          </cell>
        </row>
        <row r="453">
          <cell r="A453" t="str">
            <v>Speck</v>
          </cell>
          <cell r="B453" t="str">
            <v>BOCGEM000</v>
          </cell>
          <cell r="C453" t="str">
            <v>150659-3225</v>
          </cell>
          <cell r="D453" t="str">
            <v>840168539796</v>
          </cell>
          <cell r="E453" t="str">
            <v>Speck Speaker Gemtones Infinity Speaker Mini -DARK GREY/CHROME/TAN</v>
          </cell>
          <cell r="F453" t="str">
            <v>Audio</v>
          </cell>
          <cell r="G453" t="str">
            <v>Speakers</v>
          </cell>
          <cell r="H453" t="str">
            <v>Infinity</v>
          </cell>
          <cell r="I453">
            <v>1085.5999999999999</v>
          </cell>
          <cell r="J453">
            <v>0.30000222345747651</v>
          </cell>
          <cell r="K453">
            <v>1799</v>
          </cell>
          <cell r="L453" t="str">
            <v>MacStore</v>
          </cell>
          <cell r="M453" t="str">
            <v>Discontinued</v>
          </cell>
          <cell r="N453" t="str">
            <v>150659-3225</v>
          </cell>
        </row>
        <row r="454">
          <cell r="A454" t="str">
            <v>Speck</v>
          </cell>
          <cell r="B454" t="str">
            <v>BOCGEM001</v>
          </cell>
          <cell r="C454" t="str">
            <v>150660-3225</v>
          </cell>
          <cell r="D454" t="str">
            <v>840168539802</v>
          </cell>
          <cell r="E454" t="str">
            <v>Speck Speaker Gemtones Infinity Speaker Mid-DARK GREY/CHROME/TAN</v>
          </cell>
          <cell r="F454" t="str">
            <v>Audio</v>
          </cell>
          <cell r="G454" t="str">
            <v>Speakers</v>
          </cell>
          <cell r="H454" t="str">
            <v>Infinity</v>
          </cell>
          <cell r="I454">
            <v>1447.67</v>
          </cell>
          <cell r="J454">
            <v>0.30000116715298042</v>
          </cell>
          <cell r="K454">
            <v>2399</v>
          </cell>
          <cell r="L454" t="str">
            <v>MacStore</v>
          </cell>
          <cell r="M454" t="str">
            <v>Discontinued</v>
          </cell>
          <cell r="N454" t="str">
            <v>150660-3225</v>
          </cell>
        </row>
        <row r="455">
          <cell r="A455" t="str">
            <v>Speck</v>
          </cell>
          <cell r="B455" t="str">
            <v>EXHGEM002</v>
          </cell>
          <cell r="C455" t="str">
            <v>150661-3225</v>
          </cell>
          <cell r="D455" t="str">
            <v>840168539819</v>
          </cell>
          <cell r="E455" t="str">
            <v>Speck Speaker Gemtones Infinity Speaker Max -DARK GREY/CHROME/TAN</v>
          </cell>
          <cell r="F455" t="str">
            <v>Audio</v>
          </cell>
          <cell r="G455" t="str">
            <v>Speakers</v>
          </cell>
          <cell r="H455" t="str">
            <v>Infinity</v>
          </cell>
          <cell r="I455">
            <v>0.01</v>
          </cell>
          <cell r="J455">
            <v>0.99999355197331852</v>
          </cell>
          <cell r="K455">
            <v>1799</v>
          </cell>
          <cell r="L455" t="str">
            <v>MacStore</v>
          </cell>
          <cell r="M455" t="str">
            <v>Exhibición</v>
          </cell>
          <cell r="N455" t="str">
            <v>150661-3225</v>
          </cell>
        </row>
        <row r="456">
          <cell r="A456" t="str">
            <v>Speck</v>
          </cell>
          <cell r="B456" t="str">
            <v>EXHGEM000</v>
          </cell>
          <cell r="C456" t="str">
            <v>150659-3225</v>
          </cell>
          <cell r="D456" t="str">
            <v>840168539796</v>
          </cell>
          <cell r="E456" t="str">
            <v>Speck Speaker Gemtones Infinity Speaker Mini -DARK GREY/CHROME/TAN</v>
          </cell>
          <cell r="F456" t="str">
            <v>Audio</v>
          </cell>
          <cell r="G456" t="str">
            <v>Speakers</v>
          </cell>
          <cell r="H456" t="str">
            <v>Infinity</v>
          </cell>
          <cell r="I456">
            <v>0.01</v>
          </cell>
          <cell r="J456">
            <v>0.99999516465193827</v>
          </cell>
          <cell r="K456">
            <v>2399</v>
          </cell>
          <cell r="L456" t="str">
            <v>MacStore</v>
          </cell>
          <cell r="M456" t="str">
            <v>Exhibición</v>
          </cell>
          <cell r="N456" t="str">
            <v>150659-3225</v>
          </cell>
        </row>
        <row r="457">
          <cell r="A457" t="str">
            <v>Speck</v>
          </cell>
          <cell r="B457" t="str">
            <v>EXHGEM001</v>
          </cell>
          <cell r="C457" t="str">
            <v>150660-3225</v>
          </cell>
          <cell r="D457" t="str">
            <v>840168539802</v>
          </cell>
          <cell r="E457" t="str">
            <v>Speck Speaker Gemtones Infinity Speaker Mid-DARK GREY/CHROME/TAN</v>
          </cell>
          <cell r="F457" t="str">
            <v>Audio</v>
          </cell>
          <cell r="G457" t="str">
            <v>Speakers</v>
          </cell>
          <cell r="H457" t="str">
            <v>Infinity</v>
          </cell>
          <cell r="I457">
            <v>0.01</v>
          </cell>
          <cell r="J457">
            <v>0.99999613204401472</v>
          </cell>
          <cell r="K457">
            <v>2999</v>
          </cell>
          <cell r="L457" t="str">
            <v>MacStore</v>
          </cell>
          <cell r="M457" t="str">
            <v>Exhibición</v>
          </cell>
          <cell r="N457" t="str">
            <v>150660-3225</v>
          </cell>
        </row>
        <row r="458">
          <cell r="A458" t="str">
            <v>Speck</v>
          </cell>
          <cell r="B458" t="str">
            <v>PROGEM000</v>
          </cell>
          <cell r="C458" t="str">
            <v>150660-3225</v>
          </cell>
          <cell r="D458" t="str">
            <v>840168539802</v>
          </cell>
          <cell r="E458" t="str">
            <v>Speck Speaker Gemtones Infinity Speaker Mid-DARK GREY/CHROME/TAN</v>
          </cell>
          <cell r="F458" t="str">
            <v>Audio</v>
          </cell>
          <cell r="G458" t="str">
            <v>Speakers</v>
          </cell>
          <cell r="H458" t="str">
            <v>Infinity</v>
          </cell>
          <cell r="I458">
            <v>0.01</v>
          </cell>
          <cell r="J458">
            <v>0.99999613204401472</v>
          </cell>
          <cell r="K458">
            <v>2999</v>
          </cell>
          <cell r="L458" t="str">
            <v>MacStore</v>
          </cell>
          <cell r="M458" t="str">
            <v>Exhibición</v>
          </cell>
          <cell r="N458" t="str">
            <v>150660-3225</v>
          </cell>
        </row>
        <row r="459">
          <cell r="A459" t="str">
            <v>Speck</v>
          </cell>
          <cell r="B459" t="str">
            <v>FUNSPK371</v>
          </cell>
          <cell r="C459" t="str">
            <v>150585-1568</v>
          </cell>
          <cell r="D459" t="str">
            <v>840168538683</v>
          </cell>
          <cell r="E459" t="str">
            <v>Speck Tagimals 4-Pack - Mulicolor</v>
          </cell>
          <cell r="F459" t="str">
            <v>Cases AirTag</v>
          </cell>
          <cell r="G459" t="str">
            <v>AirTag</v>
          </cell>
          <cell r="H459" t="str">
            <v>AirTag</v>
          </cell>
          <cell r="I459">
            <v>302.08</v>
          </cell>
          <cell r="J459">
            <v>0.41500367278798</v>
          </cell>
          <cell r="K459">
            <v>599</v>
          </cell>
          <cell r="L459" t="str">
            <v>MacStore</v>
          </cell>
          <cell r="M459" t="str">
            <v>Active</v>
          </cell>
          <cell r="N459" t="str">
            <v>150585-1568-M</v>
          </cell>
        </row>
        <row r="460">
          <cell r="A460" t="str">
            <v>Speck</v>
          </cell>
          <cell r="B460" t="str">
            <v>FUNSPK343A</v>
          </cell>
          <cell r="C460" t="str">
            <v>133535-7265</v>
          </cell>
          <cell r="D460" t="str">
            <v>848709080639</v>
          </cell>
          <cell r="E460" t="str">
            <v>Speck Balance Folio Case for iPad 10.2" 7/8/9 Gen - Plumberry Purple/Crushed Purpl</v>
          </cell>
          <cell r="F460" t="str">
            <v>Cases iPad</v>
          </cell>
          <cell r="G460" t="str">
            <v>iPad</v>
          </cell>
          <cell r="H460" t="str">
            <v>iPad 10.2"</v>
          </cell>
          <cell r="I460">
            <v>503.8</v>
          </cell>
          <cell r="J460">
            <v>0.41500700700700699</v>
          </cell>
          <cell r="K460">
            <v>999</v>
          </cell>
          <cell r="L460" t="str">
            <v>MacStore</v>
          </cell>
          <cell r="M460" t="str">
            <v>Discontinued</v>
          </cell>
          <cell r="N460" t="str">
            <v>133535-7265-M</v>
          </cell>
        </row>
        <row r="461">
          <cell r="A461" t="str">
            <v>Speck</v>
          </cell>
          <cell r="B461" t="str">
            <v>FUNSPK368</v>
          </cell>
          <cell r="C461" t="str">
            <v>133537-8922</v>
          </cell>
          <cell r="D461" t="str">
            <v>848709080707</v>
          </cell>
          <cell r="E461" t="str">
            <v>Speck Balance Folio Clear Case for iPad 10.2" 7/8/9 Gen - Clear/Gunmetal Grey Meta</v>
          </cell>
          <cell r="F461" t="str">
            <v>Cases iPad</v>
          </cell>
          <cell r="G461" t="str">
            <v>iPad</v>
          </cell>
          <cell r="H461" t="str">
            <v>iPad 10.2"</v>
          </cell>
          <cell r="I461">
            <v>554.24</v>
          </cell>
          <cell r="J461">
            <v>0.41499690627843488</v>
          </cell>
          <cell r="K461">
            <v>1099</v>
          </cell>
          <cell r="L461" t="str">
            <v>MacStore</v>
          </cell>
          <cell r="M461" t="str">
            <v>Discontinued</v>
          </cell>
          <cell r="N461" t="str">
            <v>133537-8922-M</v>
          </cell>
        </row>
        <row r="462">
          <cell r="A462" t="str">
            <v>Speck</v>
          </cell>
          <cell r="B462" t="str">
            <v>FUNSPK369</v>
          </cell>
          <cell r="C462" t="str">
            <v>133537-8640</v>
          </cell>
          <cell r="D462" t="str">
            <v>848709080691</v>
          </cell>
          <cell r="E462" t="str">
            <v>Speck Balance Folio Clear Case for iPad 10.2" 7/8/9 Gen - Rose Gold Woven Metallic</v>
          </cell>
          <cell r="F462" t="str">
            <v>Cases iPad</v>
          </cell>
          <cell r="G462" t="str">
            <v>iPad</v>
          </cell>
          <cell r="H462" t="str">
            <v>iPad 10.2"</v>
          </cell>
          <cell r="I462">
            <v>503.81</v>
          </cell>
          <cell r="J462">
            <v>0.41499539539539543</v>
          </cell>
          <cell r="K462">
            <v>999</v>
          </cell>
          <cell r="L462" t="str">
            <v>MacStore</v>
          </cell>
          <cell r="M462" t="str">
            <v>Discontinued</v>
          </cell>
          <cell r="N462" t="str">
            <v>133537-8640-M</v>
          </cell>
        </row>
        <row r="463">
          <cell r="A463" t="str">
            <v>Speck</v>
          </cell>
          <cell r="B463" t="str">
            <v>FUNSPK342A</v>
          </cell>
          <cell r="C463" t="str">
            <v>138654-1050</v>
          </cell>
          <cell r="D463" t="str">
            <v>848709096296</v>
          </cell>
          <cell r="E463" t="str">
            <v>Speck Balance Folio Case with Microban for iPad 10.2" 7/8/9 Gen - Black/Black</v>
          </cell>
          <cell r="F463" t="str">
            <v>Cases iPad</v>
          </cell>
          <cell r="G463" t="str">
            <v>iPad</v>
          </cell>
          <cell r="H463" t="str">
            <v>iPad 10.2"</v>
          </cell>
          <cell r="I463">
            <v>503.8</v>
          </cell>
          <cell r="J463">
            <v>0.41500700700700699</v>
          </cell>
          <cell r="K463">
            <v>999</v>
          </cell>
          <cell r="L463" t="str">
            <v>MacStore</v>
          </cell>
          <cell r="M463" t="str">
            <v>Discontinued</v>
          </cell>
          <cell r="N463" t="str">
            <v>138654-1050-M</v>
          </cell>
        </row>
        <row r="464">
          <cell r="A464" t="str">
            <v>Speck</v>
          </cell>
          <cell r="B464" t="str">
            <v>FUNSPK342</v>
          </cell>
          <cell r="C464" t="str">
            <v>138654-1050</v>
          </cell>
          <cell r="D464" t="str">
            <v>848709096296</v>
          </cell>
          <cell r="E464" t="str">
            <v>Speck Balance Folio Case with Microban for iPad 10.2" 7/8/9 Gen - Black/Black</v>
          </cell>
          <cell r="F464" t="str">
            <v>Cases iPad</v>
          </cell>
          <cell r="G464" t="str">
            <v>iPad</v>
          </cell>
          <cell r="H464" t="str">
            <v>iPad 10.2"</v>
          </cell>
          <cell r="I464">
            <v>593.41</v>
          </cell>
          <cell r="J464">
            <v>0.34999471199244581</v>
          </cell>
          <cell r="K464">
            <v>1059</v>
          </cell>
          <cell r="L464" t="str">
            <v>MacStore</v>
          </cell>
          <cell r="M464" t="str">
            <v>Discontinued</v>
          </cell>
          <cell r="N464" t="str">
            <v>138654-1050-M</v>
          </cell>
        </row>
        <row r="465">
          <cell r="A465" t="str">
            <v>Speck</v>
          </cell>
          <cell r="B465" t="str">
            <v>FUNSPK343</v>
          </cell>
          <cell r="C465" t="str">
            <v>138654-7265</v>
          </cell>
          <cell r="D465" t="str">
            <v>848709098160</v>
          </cell>
          <cell r="E465" t="str">
            <v>Speck Balance Folio Case for iPad 10.2" 7/8 Gen - Plumberry Purple</v>
          </cell>
          <cell r="F465" t="str">
            <v>Cases iPad</v>
          </cell>
          <cell r="G465" t="str">
            <v>iPad</v>
          </cell>
          <cell r="H465" t="str">
            <v>iPad 10.2"</v>
          </cell>
          <cell r="I465">
            <v>593.41</v>
          </cell>
          <cell r="J465">
            <v>0.34999471199244581</v>
          </cell>
          <cell r="K465">
            <v>1059</v>
          </cell>
          <cell r="L465" t="str">
            <v>MacStore</v>
          </cell>
          <cell r="M465" t="str">
            <v>Discontinued</v>
          </cell>
          <cell r="N465" t="str">
            <v>138654-7265-M</v>
          </cell>
        </row>
        <row r="466">
          <cell r="A466" t="str">
            <v>Speck</v>
          </cell>
          <cell r="B466" t="str">
            <v>FUNSPK392</v>
          </cell>
          <cell r="C466" t="str">
            <v>150989-3267</v>
          </cell>
          <cell r="D466" t="str">
            <v>840168546688</v>
          </cell>
          <cell r="E466" t="str">
            <v>Speck Balance Folio iPad 11" (2022-2025) Ceramic Grey/Autumn Sky/Black</v>
          </cell>
          <cell r="F466" t="str">
            <v>Cases iPad</v>
          </cell>
          <cell r="G466" t="str">
            <v>iPad</v>
          </cell>
          <cell r="H466" t="str">
            <v>iPad 10th /11th - 10.9"/11" (2022-2025)</v>
          </cell>
          <cell r="I466">
            <v>503.81</v>
          </cell>
          <cell r="J466">
            <v>0.41499539539539543</v>
          </cell>
          <cell r="K466">
            <v>999</v>
          </cell>
          <cell r="L466" t="str">
            <v>MacStore</v>
          </cell>
          <cell r="M466" t="str">
            <v>Active</v>
          </cell>
          <cell r="N466" t="str">
            <v>150989-3267</v>
          </cell>
        </row>
        <row r="467">
          <cell r="A467" t="str">
            <v>Speck</v>
          </cell>
          <cell r="B467" t="str">
            <v>FUNSPK386</v>
          </cell>
          <cell r="C467" t="str">
            <v>150226-9969</v>
          </cell>
          <cell r="D467" t="str">
            <v>840168528172</v>
          </cell>
          <cell r="E467" t="str">
            <v>Speck Balance Folio Case for iPad 10th Gen - Almond Milk /Mocha/Charcoal</v>
          </cell>
          <cell r="F467" t="str">
            <v>Cases iPad</v>
          </cell>
          <cell r="G467" t="str">
            <v>iPad</v>
          </cell>
          <cell r="H467" t="str">
            <v>iPad 10th /11th - 10.9"/11" (2022-2025)</v>
          </cell>
          <cell r="I467">
            <v>503.81</v>
          </cell>
          <cell r="J467">
            <v>0.41499539539539543</v>
          </cell>
          <cell r="K467">
            <v>999</v>
          </cell>
          <cell r="L467" t="str">
            <v>MacStore</v>
          </cell>
          <cell r="M467" t="str">
            <v>Active</v>
          </cell>
          <cell r="N467" t="str">
            <v>150226-9969-M</v>
          </cell>
        </row>
        <row r="468">
          <cell r="A468" t="str">
            <v>Speck</v>
          </cell>
          <cell r="B468" t="str">
            <v>FUNSPK345A</v>
          </cell>
          <cell r="C468" t="str">
            <v>150226-7265</v>
          </cell>
          <cell r="D468" t="str">
            <v>840168528202</v>
          </cell>
          <cell r="E468" t="str">
            <v>Speck Balance Folio Case for iPad 10th Gen - Plumberry/Crushed Purple/Crepe Pink</v>
          </cell>
          <cell r="F468" t="str">
            <v>Cases iPad</v>
          </cell>
          <cell r="G468" t="str">
            <v>iPad</v>
          </cell>
          <cell r="H468" t="str">
            <v>iPad 10th /11th - 10.9"/11" (2022-2025)</v>
          </cell>
          <cell r="I468">
            <v>503.81</v>
          </cell>
          <cell r="J468">
            <v>0.41499539539539543</v>
          </cell>
          <cell r="K468">
            <v>999</v>
          </cell>
          <cell r="L468" t="str">
            <v>MacStore</v>
          </cell>
          <cell r="M468" t="str">
            <v>Active</v>
          </cell>
          <cell r="N468" t="str">
            <v>150226-7265-M</v>
          </cell>
        </row>
        <row r="469">
          <cell r="A469" t="str">
            <v>Speck</v>
          </cell>
          <cell r="B469" t="str">
            <v>FUNSPK387</v>
          </cell>
          <cell r="C469" t="str">
            <v>150950-3260</v>
          </cell>
          <cell r="D469" t="str">
            <v>840168546053</v>
          </cell>
          <cell r="E469" t="str">
            <v>Speck Stylefolio iPad 11" (2022-2025) Deep Sea Pull Up/Parchment/Early Grey</v>
          </cell>
          <cell r="F469" t="str">
            <v>Cases iPad</v>
          </cell>
          <cell r="G469" t="str">
            <v>iPad</v>
          </cell>
          <cell r="H469" t="str">
            <v>iPad 10th /11th - 10.9"/11" (2022-2025)</v>
          </cell>
          <cell r="I469">
            <v>503.81</v>
          </cell>
          <cell r="J469">
            <v>0.41499999999999998</v>
          </cell>
          <cell r="K469">
            <v>999</v>
          </cell>
          <cell r="L469" t="str">
            <v>MacStore</v>
          </cell>
          <cell r="M469" t="str">
            <v>Active</v>
          </cell>
          <cell r="N469" t="str">
            <v>150950-3260</v>
          </cell>
        </row>
        <row r="470">
          <cell r="A470" t="str">
            <v>Speck</v>
          </cell>
          <cell r="B470" t="str">
            <v>FUNSPK388</v>
          </cell>
          <cell r="C470" t="str">
            <v>150989-3263</v>
          </cell>
          <cell r="D470" t="str">
            <v>840168546640</v>
          </cell>
          <cell r="E470" t="str">
            <v>Speck Balance Folio iPad 11" (2022-2025) Piccard'S Blue/Frost Beige/Faded Teal</v>
          </cell>
          <cell r="F470" t="str">
            <v>Cases iPad</v>
          </cell>
          <cell r="G470" t="str">
            <v>iPad</v>
          </cell>
          <cell r="H470" t="str">
            <v>iPad 10th /11th - 10.9"/11" (2022-2025)</v>
          </cell>
          <cell r="I470">
            <v>503.81</v>
          </cell>
          <cell r="J470">
            <v>0.41499999999999998</v>
          </cell>
          <cell r="K470">
            <v>999</v>
          </cell>
          <cell r="L470" t="str">
            <v>MacStore</v>
          </cell>
          <cell r="M470" t="str">
            <v>Discontinued</v>
          </cell>
          <cell r="N470" t="str">
            <v>150989-3263</v>
          </cell>
        </row>
        <row r="471">
          <cell r="A471" t="str">
            <v>Speck</v>
          </cell>
          <cell r="B471" t="str">
            <v>FUNSPK389</v>
          </cell>
          <cell r="C471" t="str">
            <v>150989-3264</v>
          </cell>
          <cell r="D471" t="str">
            <v>840168546657</v>
          </cell>
          <cell r="E471" t="str">
            <v>Speck Balance Folio iPad 11" (2022-2025) Ibis Pink/Deep Malachite/Jelly Mint</v>
          </cell>
          <cell r="F471" t="str">
            <v>Cases iPad</v>
          </cell>
          <cell r="G471" t="str">
            <v>iPad</v>
          </cell>
          <cell r="H471" t="str">
            <v>iPad 10th /11th - 10.9"/11" (2022-2025)</v>
          </cell>
          <cell r="I471">
            <v>503.81</v>
          </cell>
          <cell r="J471">
            <v>0.41499539539539543</v>
          </cell>
          <cell r="K471">
            <v>999</v>
          </cell>
          <cell r="L471" t="str">
            <v>MacStore</v>
          </cell>
          <cell r="M471" t="str">
            <v>Active</v>
          </cell>
          <cell r="N471" t="str">
            <v>150989-3264</v>
          </cell>
        </row>
        <row r="472">
          <cell r="A472" t="str">
            <v>Speck</v>
          </cell>
          <cell r="B472" t="str">
            <v>FUNSPK390</v>
          </cell>
          <cell r="C472" t="str">
            <v>150989-3265</v>
          </cell>
          <cell r="D472" t="str">
            <v>840168546664</v>
          </cell>
          <cell r="E472" t="str">
            <v>Speck Balance Folio iPad 11" (2022-2025) Jelly Mint/Deep Malachite/Piccard'S Blue</v>
          </cell>
          <cell r="F472" t="str">
            <v>Cases iPad</v>
          </cell>
          <cell r="G472" t="str">
            <v>iPad</v>
          </cell>
          <cell r="H472" t="str">
            <v>iPad 10th /11th - 10.9"/11" (2022-2025)</v>
          </cell>
          <cell r="I472">
            <v>503.81</v>
          </cell>
          <cell r="J472">
            <v>0.41499999999999998</v>
          </cell>
          <cell r="K472">
            <v>999</v>
          </cell>
          <cell r="L472" t="str">
            <v>MacStore</v>
          </cell>
          <cell r="M472" t="str">
            <v>Discontinued</v>
          </cell>
          <cell r="N472" t="str">
            <v>150989-3265</v>
          </cell>
        </row>
        <row r="473">
          <cell r="A473" t="str">
            <v>Speck</v>
          </cell>
          <cell r="B473" t="str">
            <v>FUNSPK391</v>
          </cell>
          <cell r="C473" t="str">
            <v>150989-3266</v>
          </cell>
          <cell r="D473" t="str">
            <v>840168546671</v>
          </cell>
          <cell r="E473" t="str">
            <v>Speck Balance Folio iPad 11" (2022-2025) Sable/Blue Granite/Black</v>
          </cell>
          <cell r="F473" t="str">
            <v>Cases iPad</v>
          </cell>
          <cell r="G473" t="str">
            <v>iPad</v>
          </cell>
          <cell r="H473" t="str">
            <v>iPad 10th /11th - 10.9"/11" (2022-2025)</v>
          </cell>
          <cell r="I473">
            <v>503.81</v>
          </cell>
          <cell r="J473">
            <v>0.41499539539539543</v>
          </cell>
          <cell r="K473">
            <v>999</v>
          </cell>
          <cell r="L473" t="str">
            <v>MacStore</v>
          </cell>
          <cell r="M473" t="str">
            <v>Active</v>
          </cell>
          <cell r="N473" t="str">
            <v>150989-3266</v>
          </cell>
        </row>
        <row r="474">
          <cell r="A474" t="str">
            <v>Speck</v>
          </cell>
          <cell r="B474" t="str">
            <v>FUNSPK393</v>
          </cell>
          <cell r="C474" t="str">
            <v>150990-9323</v>
          </cell>
          <cell r="D474" t="str">
            <v>840168546695</v>
          </cell>
          <cell r="E474" t="str">
            <v>Speck Case-E-Run iPad 11" (2022-2025) Charge Blue/Brave Blue</v>
          </cell>
          <cell r="F474" t="str">
            <v>Cases iPad</v>
          </cell>
          <cell r="G474" t="str">
            <v>iPad</v>
          </cell>
          <cell r="H474" t="str">
            <v>iPad 10th /11th - 10.9"/11" (2022-2025)</v>
          </cell>
          <cell r="I474">
            <v>453.38</v>
          </cell>
          <cell r="J474">
            <v>0.41499999999999998</v>
          </cell>
          <cell r="K474">
            <v>899</v>
          </cell>
          <cell r="L474" t="str">
            <v>MacStore</v>
          </cell>
          <cell r="M474" t="str">
            <v>Active</v>
          </cell>
          <cell r="N474" t="str">
            <v>150990-9323</v>
          </cell>
        </row>
        <row r="475">
          <cell r="A475" t="str">
            <v>Speck</v>
          </cell>
          <cell r="B475" t="str">
            <v>FUNSPK344A</v>
          </cell>
          <cell r="C475" t="str">
            <v>150226-9969</v>
          </cell>
          <cell r="D475" t="str">
            <v>840168528172</v>
          </cell>
          <cell r="E475" t="str">
            <v>Speck Balance Folio Case for iPad 10th Gen - Almond Milk /Mocha/Charcoal</v>
          </cell>
          <cell r="F475" t="str">
            <v>Cases iPad</v>
          </cell>
          <cell r="G475" t="str">
            <v>iPad</v>
          </cell>
          <cell r="H475" t="str">
            <v>iPad 10th /11th - 10.9"/11" (2022-2025)</v>
          </cell>
          <cell r="I475">
            <v>503.81</v>
          </cell>
          <cell r="J475">
            <v>0.41499539539539543</v>
          </cell>
          <cell r="K475">
            <v>999</v>
          </cell>
          <cell r="L475" t="str">
            <v>MacStore</v>
          </cell>
          <cell r="M475" t="str">
            <v>Discontinued</v>
          </cell>
          <cell r="N475" t="str">
            <v>150226-9969-M</v>
          </cell>
        </row>
        <row r="476">
          <cell r="A476" t="str">
            <v>Speck</v>
          </cell>
          <cell r="B476" t="str">
            <v>FUNSPK344</v>
          </cell>
          <cell r="C476" t="str">
            <v>150226-9969</v>
          </cell>
          <cell r="D476" t="str">
            <v>840168528172</v>
          </cell>
          <cell r="E476" t="str">
            <v>Speck Balance Folio Case for iPad 10th Gen - Almond Milk /Mocha/Charcoal</v>
          </cell>
          <cell r="F476" t="str">
            <v>Cases iPad</v>
          </cell>
          <cell r="G476" t="str">
            <v>iPad</v>
          </cell>
          <cell r="H476" t="str">
            <v>iPad 10th /11th - 10.9"/11" (2022-2025)</v>
          </cell>
          <cell r="I476">
            <v>615.82000000000005</v>
          </cell>
          <cell r="J476">
            <v>0.34999890809827106</v>
          </cell>
          <cell r="K476">
            <v>1099</v>
          </cell>
          <cell r="L476" t="str">
            <v>MacStore</v>
          </cell>
          <cell r="M476" t="str">
            <v>Discontinued</v>
          </cell>
          <cell r="N476" t="str">
            <v>150226-9969-M</v>
          </cell>
        </row>
        <row r="477">
          <cell r="A477" t="str">
            <v>Speck</v>
          </cell>
          <cell r="B477" t="str">
            <v>FUNSPK345</v>
          </cell>
          <cell r="C477" t="str">
            <v>150226-7265</v>
          </cell>
          <cell r="D477" t="str">
            <v>840168528202</v>
          </cell>
          <cell r="E477" t="str">
            <v>Speck Balance Folio Case for iPad 10th Gen - Plumberry/Crushed Purple/Crepe Pink</v>
          </cell>
          <cell r="F477" t="str">
            <v>Cases iPad</v>
          </cell>
          <cell r="G477" t="str">
            <v>iPad</v>
          </cell>
          <cell r="H477" t="str">
            <v>iPad 10th /11th - 10.9"/11" (2022-2025)</v>
          </cell>
          <cell r="I477">
            <v>615.82000000000005</v>
          </cell>
          <cell r="J477">
            <v>0.34999890809827106</v>
          </cell>
          <cell r="K477">
            <v>1099</v>
          </cell>
          <cell r="L477" t="str">
            <v>MacStore</v>
          </cell>
          <cell r="M477" t="str">
            <v>Discontinued</v>
          </cell>
          <cell r="N477" t="str">
            <v>150226-7265-M</v>
          </cell>
        </row>
        <row r="478">
          <cell r="A478" t="str">
            <v>Speck</v>
          </cell>
          <cell r="B478" t="str">
            <v>FUNSPK370</v>
          </cell>
          <cell r="C478" t="str">
            <v>140999-1050</v>
          </cell>
          <cell r="D478" t="str">
            <v>840168501823</v>
          </cell>
          <cell r="E478" t="str">
            <v>Speck Presidio Pro Folio for iPad Pro 11" 2/M1/M2 /Air 10.9" 4/5 - Black</v>
          </cell>
          <cell r="F478" t="str">
            <v>Cases iPad</v>
          </cell>
          <cell r="G478" t="str">
            <v>iPad</v>
          </cell>
          <cell r="H478" t="str">
            <v>iPad Pro 11" 2/3</v>
          </cell>
          <cell r="I478">
            <v>604.66</v>
          </cell>
          <cell r="J478">
            <v>0.41500783986655554</v>
          </cell>
          <cell r="K478">
            <v>1199</v>
          </cell>
          <cell r="L478" t="str">
            <v>MacStore</v>
          </cell>
          <cell r="M478" t="str">
            <v>Active</v>
          </cell>
          <cell r="N478" t="str">
            <v>140999-1050-M</v>
          </cell>
        </row>
        <row r="479">
          <cell r="A479" t="str">
            <v>Speck</v>
          </cell>
          <cell r="B479" t="str">
            <v>FUNSPK328A</v>
          </cell>
          <cell r="C479" t="str">
            <v>140548-1050</v>
          </cell>
          <cell r="D479" t="str">
            <v>840168501106</v>
          </cell>
          <cell r="E479" t="str">
            <v>Speck Balance Folio Case with Microban for iPad Pro 11" M1/Air 10.9" - Black</v>
          </cell>
          <cell r="F479" t="str">
            <v>Cases iPad</v>
          </cell>
          <cell r="G479" t="str">
            <v>iPad</v>
          </cell>
          <cell r="H479" t="str">
            <v>iPad Pro 11" 2/3/4/Air 4/5</v>
          </cell>
          <cell r="I479">
            <v>503.8</v>
          </cell>
          <cell r="J479">
            <v>0.41500700700700699</v>
          </cell>
          <cell r="K479">
            <v>999</v>
          </cell>
          <cell r="L479" t="str">
            <v>MacStore</v>
          </cell>
          <cell r="M479" t="str">
            <v>Discontinued</v>
          </cell>
          <cell r="N479" t="str">
            <v>140548-1050-M</v>
          </cell>
        </row>
        <row r="480">
          <cell r="A480" t="str">
            <v>Speck</v>
          </cell>
          <cell r="B480" t="str">
            <v>FUNSPK328</v>
          </cell>
          <cell r="C480" t="str">
            <v>140548-1050</v>
          </cell>
          <cell r="D480" t="str">
            <v>840168501106</v>
          </cell>
          <cell r="E480" t="str">
            <v>Speck Balance Folio Case with Microban for iPad Pro 11" M1/Air 10.9" - Black</v>
          </cell>
          <cell r="F480" t="str">
            <v>Cases iPad</v>
          </cell>
          <cell r="G480" t="str">
            <v>iPad</v>
          </cell>
          <cell r="H480" t="str">
            <v>iPad Pro 11" 2/3/4/Air 4/5</v>
          </cell>
          <cell r="I480">
            <v>753.71</v>
          </cell>
          <cell r="J480">
            <v>0.29999711769415538</v>
          </cell>
          <cell r="K480">
            <v>1249</v>
          </cell>
          <cell r="L480" t="str">
            <v>MacStore</v>
          </cell>
          <cell r="M480" t="str">
            <v>Discontinued</v>
          </cell>
          <cell r="N480" t="str">
            <v>140548-1050-M</v>
          </cell>
        </row>
        <row r="481">
          <cell r="A481" t="str">
            <v>Speck</v>
          </cell>
          <cell r="B481" t="str">
            <v>FUNSPK266</v>
          </cell>
          <cell r="C481" t="str">
            <v>103134-5905</v>
          </cell>
          <cell r="E481" t="str">
            <v>Speck (Apple Exclusive) Presidio Show Case for iPhone X/XS - Clear/Black</v>
          </cell>
          <cell r="F481" t="str">
            <v>Cases iPhone</v>
          </cell>
          <cell r="G481" t="str">
            <v>iPhone</v>
          </cell>
          <cell r="H481" t="str">
            <v>IPHONE XS</v>
          </cell>
          <cell r="I481">
            <v>451.98</v>
          </cell>
          <cell r="J481">
            <v>0.30000427236315097</v>
          </cell>
          <cell r="K481">
            <v>749</v>
          </cell>
          <cell r="L481" t="str">
            <v>MacStore</v>
          </cell>
          <cell r="M481" t="str">
            <v>Discontinued</v>
          </cell>
          <cell r="N481" t="str">
            <v>103134-5905-M</v>
          </cell>
        </row>
        <row r="482">
          <cell r="A482" t="str">
            <v>Speck</v>
          </cell>
          <cell r="B482" t="str">
            <v>FUNSPK295</v>
          </cell>
          <cell r="C482" t="str">
            <v>115895-5085</v>
          </cell>
          <cell r="E482" t="str">
            <v>Speck (Apple Exclusive) Gemshell Case for iPhone XS Max - Clear/Clear</v>
          </cell>
          <cell r="F482" t="str">
            <v>Cases iPhone</v>
          </cell>
          <cell r="G482" t="str">
            <v>iPhone</v>
          </cell>
          <cell r="H482" t="str">
            <v>iPhone XS Max</v>
          </cell>
          <cell r="I482">
            <v>361.47</v>
          </cell>
          <cell r="J482">
            <v>0.29999131886477459</v>
          </cell>
          <cell r="K482">
            <v>599</v>
          </cell>
          <cell r="L482" t="str">
            <v>MacStore</v>
          </cell>
          <cell r="M482" t="str">
            <v>Discontinued</v>
          </cell>
          <cell r="N482" t="str">
            <v>115895-5085-M</v>
          </cell>
        </row>
        <row r="483">
          <cell r="A483" t="str">
            <v>Speck</v>
          </cell>
          <cell r="B483" t="str">
            <v>FUNSPK329</v>
          </cell>
          <cell r="C483" t="str">
            <v>141691-5085</v>
          </cell>
          <cell r="E483" t="str">
            <v>Speck (Apple Exclusive) Presidio Perfect Clear Case for iPhone 13 - Clear/Clear</v>
          </cell>
          <cell r="F483" t="str">
            <v>Cases iPhone</v>
          </cell>
          <cell r="G483" t="str">
            <v>iPhone 13</v>
          </cell>
          <cell r="H483" t="str">
            <v>iPhone 13</v>
          </cell>
          <cell r="I483">
            <v>542.52</v>
          </cell>
          <cell r="J483">
            <v>0.29997419354838717</v>
          </cell>
          <cell r="K483">
            <v>899</v>
          </cell>
          <cell r="L483" t="str">
            <v>MacStore</v>
          </cell>
          <cell r="M483" t="str">
            <v>Discontinued</v>
          </cell>
          <cell r="N483" t="str">
            <v>141691-5085-M</v>
          </cell>
        </row>
        <row r="484">
          <cell r="A484" t="str">
            <v>Speck</v>
          </cell>
          <cell r="B484" t="str">
            <v>FUNSPK330</v>
          </cell>
          <cell r="C484" t="str">
            <v>141714-5085</v>
          </cell>
          <cell r="E484" t="str">
            <v>Speck (Apple Exclusive) Presidio Perfect Clear Case for iPhone 13 Pro - Clear/Clear</v>
          </cell>
          <cell r="F484" t="str">
            <v>Cases iPhone</v>
          </cell>
          <cell r="G484" t="str">
            <v>iPhone 13</v>
          </cell>
          <cell r="H484" t="str">
            <v>iPhone 13 Pro</v>
          </cell>
          <cell r="I484">
            <v>542.5</v>
          </cell>
          <cell r="J484">
            <v>0.30000000000000004</v>
          </cell>
          <cell r="K484">
            <v>899</v>
          </cell>
          <cell r="L484" t="str">
            <v>MacStore</v>
          </cell>
          <cell r="M484" t="str">
            <v>Discontinued</v>
          </cell>
          <cell r="N484" t="str">
            <v>141714-5085-M</v>
          </cell>
        </row>
        <row r="485">
          <cell r="A485" t="str">
            <v>Speck</v>
          </cell>
          <cell r="B485" t="str">
            <v>FUNSPK332</v>
          </cell>
          <cell r="C485" t="str">
            <v>141719-5905</v>
          </cell>
          <cell r="E485" t="str">
            <v>Speck (Apple Exclusive) Presidio Perfect Clear Impact Geometry Case for iPhone 13 Pro - Clear/Black</v>
          </cell>
          <cell r="F485" t="str">
            <v>Cases iPhone</v>
          </cell>
          <cell r="G485" t="str">
            <v>iPhone 13</v>
          </cell>
          <cell r="H485" t="str">
            <v>iPhone 13 Pro</v>
          </cell>
          <cell r="I485">
            <v>602.84</v>
          </cell>
          <cell r="J485">
            <v>0.30000560560560563</v>
          </cell>
          <cell r="K485">
            <v>999</v>
          </cell>
          <cell r="L485" t="str">
            <v>MacStore</v>
          </cell>
          <cell r="M485" t="str">
            <v>Discontinued</v>
          </cell>
          <cell r="N485" t="str">
            <v>141719-5905-M</v>
          </cell>
        </row>
        <row r="486">
          <cell r="A486" t="str">
            <v>Speck</v>
          </cell>
          <cell r="B486" t="str">
            <v>FUNSPK334</v>
          </cell>
          <cell r="C486" t="str">
            <v>141715-9508</v>
          </cell>
          <cell r="E486" t="str">
            <v>Speck (Apple Exclusive) Presidio Perfect Clear Glitter Case for iPhone 13 Pro - Clear/Platinum Glitt</v>
          </cell>
          <cell r="F486" t="str">
            <v>Cases iPhone</v>
          </cell>
          <cell r="G486" t="str">
            <v>iPhone 13</v>
          </cell>
          <cell r="H486" t="str">
            <v>iPhone 13 Pro</v>
          </cell>
          <cell r="I486">
            <v>602.84</v>
          </cell>
          <cell r="J486">
            <v>0.30000560560560563</v>
          </cell>
          <cell r="K486">
            <v>999</v>
          </cell>
          <cell r="L486" t="str">
            <v>MacStore</v>
          </cell>
          <cell r="M486" t="str">
            <v>Discontinued</v>
          </cell>
          <cell r="N486" t="str">
            <v>141715-9508-M</v>
          </cell>
        </row>
        <row r="487">
          <cell r="A487" t="str">
            <v>Speck</v>
          </cell>
          <cell r="B487" t="str">
            <v>FUNSPK335</v>
          </cell>
          <cell r="C487" t="str">
            <v>150060-5085</v>
          </cell>
          <cell r="D487" t="str">
            <v>840168522002</v>
          </cell>
          <cell r="E487" t="str">
            <v>Speck Presidio Perfect Clear Case for iPhone 13/14 - Clear</v>
          </cell>
          <cell r="F487" t="str">
            <v>Cases iPhone</v>
          </cell>
          <cell r="G487" t="str">
            <v>iPhone 14</v>
          </cell>
          <cell r="H487" t="str">
            <v>iPhone 14</v>
          </cell>
          <cell r="I487">
            <v>542.5</v>
          </cell>
          <cell r="J487">
            <v>0.30000000000000004</v>
          </cell>
          <cell r="K487">
            <v>899</v>
          </cell>
          <cell r="L487" t="str">
            <v>MacStore</v>
          </cell>
          <cell r="M487" t="str">
            <v>Discontinued</v>
          </cell>
          <cell r="N487" t="str">
            <v>150060-5085-M</v>
          </cell>
        </row>
        <row r="488">
          <cell r="A488" t="str">
            <v>Speck</v>
          </cell>
          <cell r="B488" t="str">
            <v>FUNSPK337</v>
          </cell>
          <cell r="C488" t="str">
            <v>150118-5085</v>
          </cell>
          <cell r="E488" t="str">
            <v>Speck (Apple Exclusive) Presidio Perfect Clear Case for iPhone 14 Plus - Clear</v>
          </cell>
          <cell r="F488" t="str">
            <v>Cases iPhone</v>
          </cell>
          <cell r="G488" t="str">
            <v>iPhone 14</v>
          </cell>
          <cell r="H488" t="str">
            <v>iPhone 14 Plus</v>
          </cell>
          <cell r="I488">
            <v>542.5</v>
          </cell>
          <cell r="J488">
            <v>0.30000000000000004</v>
          </cell>
          <cell r="K488">
            <v>899</v>
          </cell>
          <cell r="L488" t="str">
            <v>MacStore</v>
          </cell>
          <cell r="M488" t="str">
            <v>Discontinued</v>
          </cell>
          <cell r="N488" t="str">
            <v>150118-5085-M</v>
          </cell>
        </row>
        <row r="489">
          <cell r="A489" t="str">
            <v>Speck</v>
          </cell>
          <cell r="B489" t="str">
            <v>FUNSPK340</v>
          </cell>
          <cell r="C489" t="str">
            <v>150114-3068</v>
          </cell>
          <cell r="E489" t="str">
            <v>Speck (Apple Exclusive) Presidio 2 Pro Case for iPhone 14 Plus - Charcoal/Cool Bronze</v>
          </cell>
          <cell r="F489" t="str">
            <v>Cases iPhone</v>
          </cell>
          <cell r="G489" t="str">
            <v>iPhone 14</v>
          </cell>
          <cell r="H489" t="str">
            <v>iPhone 14 Plus</v>
          </cell>
          <cell r="I489">
            <v>542.5</v>
          </cell>
          <cell r="J489">
            <v>0.30000000000000004</v>
          </cell>
          <cell r="K489">
            <v>899</v>
          </cell>
          <cell r="L489" t="str">
            <v>MacStore</v>
          </cell>
          <cell r="M489" t="str">
            <v>Discontinued</v>
          </cell>
          <cell r="N489" t="str">
            <v>150114-3068-M</v>
          </cell>
        </row>
        <row r="490">
          <cell r="A490" t="str">
            <v>Speck</v>
          </cell>
          <cell r="B490" t="str">
            <v>FUNSPK336</v>
          </cell>
          <cell r="C490" t="str">
            <v>150147-5085</v>
          </cell>
          <cell r="E490" t="str">
            <v>Speck Presidio Perfect Clear Case for iPhone 14 Pro - Clear</v>
          </cell>
          <cell r="F490" t="str">
            <v>Cases iPhone</v>
          </cell>
          <cell r="G490" t="str">
            <v>iPhone 14</v>
          </cell>
          <cell r="H490" t="str">
            <v>iPhone 14 Pro</v>
          </cell>
          <cell r="I490">
            <v>542.5</v>
          </cell>
          <cell r="J490">
            <v>0.30000000000000004</v>
          </cell>
          <cell r="K490">
            <v>899</v>
          </cell>
          <cell r="L490" t="str">
            <v>MacStore</v>
          </cell>
          <cell r="M490" t="str">
            <v>Discontinued</v>
          </cell>
          <cell r="N490" t="str">
            <v>150147-5085-M</v>
          </cell>
        </row>
        <row r="491">
          <cell r="A491" t="str">
            <v>Speck</v>
          </cell>
          <cell r="B491" t="str">
            <v>FUNSPK339</v>
          </cell>
          <cell r="C491" t="str">
            <v>150143-3068</v>
          </cell>
          <cell r="E491" t="str">
            <v>Speck Presidio2 Pro Case for iPhone 14 Pro - Charcoal/Cool Bronze</v>
          </cell>
          <cell r="F491" t="str">
            <v>Cases iPhone</v>
          </cell>
          <cell r="G491" t="str">
            <v>iPhone 14</v>
          </cell>
          <cell r="H491" t="str">
            <v>iPhone 14 Pro</v>
          </cell>
          <cell r="I491">
            <v>542.5</v>
          </cell>
          <cell r="J491">
            <v>0.30000000000000004</v>
          </cell>
          <cell r="K491">
            <v>899</v>
          </cell>
          <cell r="L491" t="str">
            <v>MacStore</v>
          </cell>
          <cell r="M491" t="str">
            <v>Discontinued</v>
          </cell>
          <cell r="N491" t="str">
            <v>150143-3068-M</v>
          </cell>
        </row>
        <row r="492">
          <cell r="A492" t="str">
            <v>Speck</v>
          </cell>
          <cell r="B492" t="str">
            <v>FUNSPK338</v>
          </cell>
          <cell r="C492" t="str">
            <v>150089-5085</v>
          </cell>
          <cell r="D492" t="str">
            <v>840168523016</v>
          </cell>
          <cell r="E492" t="str">
            <v>Speck Presidio Perfect Clear Case for iPhone 14 Pro Max - Clear</v>
          </cell>
          <cell r="F492" t="str">
            <v>Cases iPhone</v>
          </cell>
          <cell r="G492" t="str">
            <v>iPhone 14</v>
          </cell>
          <cell r="H492" t="str">
            <v>iPhone 14 Pro Max</v>
          </cell>
          <cell r="I492">
            <v>542.5</v>
          </cell>
          <cell r="J492">
            <v>0.30000000000000004</v>
          </cell>
          <cell r="K492">
            <v>899</v>
          </cell>
          <cell r="L492" t="str">
            <v>MacStore</v>
          </cell>
          <cell r="M492" t="str">
            <v>Discontinued</v>
          </cell>
          <cell r="N492" t="str">
            <v>150089-5085-M</v>
          </cell>
        </row>
        <row r="493">
          <cell r="A493" t="str">
            <v>Speck</v>
          </cell>
          <cell r="B493" t="str">
            <v>FUNSPK341</v>
          </cell>
          <cell r="C493" t="str">
            <v>150085-3068</v>
          </cell>
          <cell r="E493" t="str">
            <v>Speck Presidio2 Pro Case for iPhone 14 Pro Max - Charcoal/Cool Bronze</v>
          </cell>
          <cell r="F493" t="str">
            <v>Cases iPhone</v>
          </cell>
          <cell r="G493" t="str">
            <v>iPhone 14</v>
          </cell>
          <cell r="H493" t="str">
            <v>iPhone 14 Pro Max</v>
          </cell>
          <cell r="I493">
            <v>542.5</v>
          </cell>
          <cell r="J493">
            <v>0.30000000000000004</v>
          </cell>
          <cell r="K493">
            <v>899</v>
          </cell>
          <cell r="L493" t="str">
            <v>MacStore</v>
          </cell>
          <cell r="M493" t="str">
            <v>Discontinued</v>
          </cell>
          <cell r="N493" t="str">
            <v>150085-3068-M</v>
          </cell>
        </row>
        <row r="494">
          <cell r="A494" t="str">
            <v>Speck</v>
          </cell>
          <cell r="B494" t="str">
            <v>FUNSPK351</v>
          </cell>
          <cell r="C494" t="str">
            <v>150459-3199</v>
          </cell>
          <cell r="D494" t="str">
            <v>840168533381</v>
          </cell>
          <cell r="E494" t="str">
            <v>Speck Presidio® Perfect-Clear Grip Magsafe® Clicklock™ Clear/Clear/Chrome iPhone 15 Plus</v>
          </cell>
          <cell r="F494" t="str">
            <v>Cases iPhone</v>
          </cell>
          <cell r="G494" t="str">
            <v>iPhone 15</v>
          </cell>
          <cell r="H494" t="str">
            <v>iPhone 15 Plus</v>
          </cell>
          <cell r="I494">
            <v>460.75</v>
          </cell>
          <cell r="J494">
            <v>0.46499499499499508</v>
          </cell>
          <cell r="K494">
            <v>999</v>
          </cell>
          <cell r="L494" t="str">
            <v>MacStore</v>
          </cell>
          <cell r="M494" t="str">
            <v>Discontinued</v>
          </cell>
          <cell r="N494" t="str">
            <v>150459-3199-M</v>
          </cell>
        </row>
        <row r="495">
          <cell r="A495" t="str">
            <v>Speck</v>
          </cell>
          <cell r="B495" t="str">
            <v>FUNSPK347</v>
          </cell>
          <cell r="C495" t="str">
            <v>150509-5085</v>
          </cell>
          <cell r="D495" t="str">
            <v>840168535668</v>
          </cell>
          <cell r="E495" t="str">
            <v>Speck GemShell® iPhone 15 Plus</v>
          </cell>
          <cell r="F495" t="str">
            <v>Cases iPhone</v>
          </cell>
          <cell r="G495" t="str">
            <v>iPhone 15</v>
          </cell>
          <cell r="H495" t="str">
            <v>iPhone 15 Plus</v>
          </cell>
          <cell r="I495">
            <v>276.26</v>
          </cell>
          <cell r="J495">
            <v>0.46500567612687815</v>
          </cell>
          <cell r="K495">
            <v>599</v>
          </cell>
          <cell r="L495" t="str">
            <v>MacStore</v>
          </cell>
          <cell r="M495" t="str">
            <v>Discontinued</v>
          </cell>
          <cell r="N495" t="str">
            <v>150509-5085-M</v>
          </cell>
        </row>
        <row r="496">
          <cell r="A496" t="str">
            <v>Speck</v>
          </cell>
          <cell r="B496" t="str">
            <v>FUNSPK352</v>
          </cell>
          <cell r="C496" t="str">
            <v>150451-3199</v>
          </cell>
          <cell r="D496" t="str">
            <v>840168533121</v>
          </cell>
          <cell r="E496" t="str">
            <v>Speck Presidio® Perfect-Clear Grip Magsafe® Clicklock™ Clear/Clear/Chrome iPhone 15 Pro</v>
          </cell>
          <cell r="F496" t="str">
            <v>Cases iPhone</v>
          </cell>
          <cell r="G496" t="str">
            <v>iPhone 15</v>
          </cell>
          <cell r="H496" t="str">
            <v>iPhone 15 Pro</v>
          </cell>
          <cell r="I496">
            <v>460.75</v>
          </cell>
          <cell r="J496">
            <v>0.46499499499499508</v>
          </cell>
          <cell r="K496">
            <v>999</v>
          </cell>
          <cell r="L496" t="str">
            <v>MacStore</v>
          </cell>
          <cell r="M496" t="str">
            <v>Discontinued</v>
          </cell>
          <cell r="N496" t="str">
            <v>150451-3199-M</v>
          </cell>
        </row>
        <row r="497">
          <cell r="A497" t="str">
            <v>Speck</v>
          </cell>
          <cell r="B497" t="str">
            <v>FUNSPK355</v>
          </cell>
          <cell r="C497" t="str">
            <v>150447-3205</v>
          </cell>
          <cell r="D497" t="str">
            <v>840168532995</v>
          </cell>
          <cell r="E497" t="str">
            <v>Speck Presidio®2 Grip Magsafe® Clicklock™ Black / Slate Grey iPhone 15 Pro</v>
          </cell>
          <cell r="F497" t="str">
            <v>Cases iPhone</v>
          </cell>
          <cell r="G497" t="str">
            <v>iPhone 15</v>
          </cell>
          <cell r="H497" t="str">
            <v>iPhone 15 Pro</v>
          </cell>
          <cell r="I497">
            <v>460.75</v>
          </cell>
          <cell r="J497">
            <v>0.46499499499499508</v>
          </cell>
          <cell r="K497">
            <v>999</v>
          </cell>
          <cell r="L497" t="str">
            <v>MacStore</v>
          </cell>
          <cell r="M497" t="str">
            <v>Discontinued</v>
          </cell>
          <cell r="N497" t="str">
            <v>150447-3205-M</v>
          </cell>
        </row>
        <row r="498">
          <cell r="A498" t="str">
            <v>Speck</v>
          </cell>
          <cell r="B498" t="str">
            <v>FUNSPK360</v>
          </cell>
          <cell r="C498" t="str">
            <v>150447-3212</v>
          </cell>
          <cell r="D498" t="str">
            <v>840168533060</v>
          </cell>
          <cell r="E498" t="str">
            <v>Speck Presidio®2 Grip Magsafe® Clicklock™ Charcoal Grey/ Cool Bronze iPhone 15 Pro</v>
          </cell>
          <cell r="F498" t="str">
            <v>Cases iPhone</v>
          </cell>
          <cell r="G498" t="str">
            <v>iPhone 15</v>
          </cell>
          <cell r="H498" t="str">
            <v>iPhone 15 Pro</v>
          </cell>
          <cell r="I498">
            <v>460.75</v>
          </cell>
          <cell r="J498">
            <v>0.46499499499499508</v>
          </cell>
          <cell r="K498">
            <v>999</v>
          </cell>
          <cell r="L498" t="str">
            <v>MacStore</v>
          </cell>
          <cell r="M498" t="str">
            <v>Discontinued</v>
          </cell>
          <cell r="N498" t="str">
            <v>150447-3212-M</v>
          </cell>
        </row>
        <row r="499">
          <cell r="A499" t="str">
            <v>Speck</v>
          </cell>
          <cell r="B499" t="str">
            <v>FUNSPK362</v>
          </cell>
          <cell r="C499" t="str">
            <v>150447-3206</v>
          </cell>
          <cell r="D499" t="str">
            <v>840168533008</v>
          </cell>
          <cell r="E499" t="str">
            <v>Speck Presidio®2 Grip Magsafe® Clicklock™ Costal Blue / Dust Grey iPhone 15 Pro</v>
          </cell>
          <cell r="F499" t="str">
            <v>Cases iPhone</v>
          </cell>
          <cell r="G499" t="str">
            <v>iPhone 15</v>
          </cell>
          <cell r="H499" t="str">
            <v>iPhone 15 Pro</v>
          </cell>
          <cell r="I499">
            <v>460.75</v>
          </cell>
          <cell r="J499">
            <v>0.46499499499499508</v>
          </cell>
          <cell r="K499">
            <v>999</v>
          </cell>
          <cell r="L499" t="str">
            <v>MacStore</v>
          </cell>
          <cell r="M499" t="str">
            <v>Discontinued</v>
          </cell>
          <cell r="N499" t="str">
            <v>150447-3206-M</v>
          </cell>
        </row>
        <row r="500">
          <cell r="A500" t="str">
            <v>Speck</v>
          </cell>
          <cell r="B500" t="str">
            <v>FUNSPK348</v>
          </cell>
          <cell r="C500" t="str">
            <v>150561-3216</v>
          </cell>
          <cell r="D500" t="str">
            <v>840168537518</v>
          </cell>
          <cell r="E500" t="str">
            <v>Speck Presidio® Lux Magsafe® Clear/Clear W/Gold Glitter iPhone 15 Pro</v>
          </cell>
          <cell r="F500" t="str">
            <v>Cases iPhone</v>
          </cell>
          <cell r="G500" t="str">
            <v>iPhone 15</v>
          </cell>
          <cell r="H500" t="str">
            <v>iPhone 15 Pro</v>
          </cell>
          <cell r="I500">
            <v>460.75</v>
          </cell>
          <cell r="J500">
            <v>0.46499499499499508</v>
          </cell>
          <cell r="K500">
            <v>999</v>
          </cell>
          <cell r="L500" t="str">
            <v>MacStore</v>
          </cell>
          <cell r="M500" t="str">
            <v>Discontinued</v>
          </cell>
          <cell r="N500" t="str">
            <v>150561-3216-M</v>
          </cell>
        </row>
        <row r="501">
          <cell r="A501" t="str">
            <v>Speck</v>
          </cell>
          <cell r="B501" t="str">
            <v>FUNSPK364</v>
          </cell>
          <cell r="C501" t="str">
            <v>150447-3211</v>
          </cell>
          <cell r="D501" t="str">
            <v>840168533053</v>
          </cell>
          <cell r="E501" t="str">
            <v>Speck Presidio®2 Grip Magsafe® Clicklock™ Future Blue / Horizon Purple iPhone 15 Pro</v>
          </cell>
          <cell r="F501" t="str">
            <v>Cases iPhone</v>
          </cell>
          <cell r="G501" t="str">
            <v>iPhone 15</v>
          </cell>
          <cell r="H501" t="str">
            <v>iPhone 15 Pro</v>
          </cell>
          <cell r="I501">
            <v>460.75</v>
          </cell>
          <cell r="J501">
            <v>0.46499499499499508</v>
          </cell>
          <cell r="K501">
            <v>999</v>
          </cell>
          <cell r="L501" t="str">
            <v>MacStore</v>
          </cell>
          <cell r="M501" t="str">
            <v>Discontinued</v>
          </cell>
          <cell r="N501" t="str">
            <v>150447-3211-M</v>
          </cell>
        </row>
        <row r="502">
          <cell r="A502" t="str">
            <v>Speck</v>
          </cell>
          <cell r="B502" t="str">
            <v>FUNSPK366</v>
          </cell>
          <cell r="C502" t="str">
            <v>150447-3208</v>
          </cell>
          <cell r="D502" t="str">
            <v>840168533022</v>
          </cell>
          <cell r="E502" t="str">
            <v>Speck Presidio®2 Grip Magsafe® Clicklock™ New Planet/Clay Tan iPhone 15 Pro</v>
          </cell>
          <cell r="F502" t="str">
            <v>Cases iPhone</v>
          </cell>
          <cell r="G502" t="str">
            <v>iPhone 15</v>
          </cell>
          <cell r="H502" t="str">
            <v>iPhone 15 Pro</v>
          </cell>
          <cell r="I502">
            <v>460.75</v>
          </cell>
          <cell r="J502">
            <v>0.46499499499499508</v>
          </cell>
          <cell r="K502">
            <v>999</v>
          </cell>
          <cell r="L502" t="str">
            <v>MacStore</v>
          </cell>
          <cell r="M502" t="str">
            <v>Discontinued</v>
          </cell>
          <cell r="N502" t="str">
            <v>150447-3208-M</v>
          </cell>
        </row>
        <row r="503">
          <cell r="A503" t="str">
            <v>Speck</v>
          </cell>
          <cell r="B503" t="str">
            <v>FUNSPK357</v>
          </cell>
          <cell r="C503" t="str">
            <v>150447-3214</v>
          </cell>
          <cell r="D503" t="str">
            <v>840168533084</v>
          </cell>
          <cell r="E503" t="str">
            <v>Speck Presidio®2 Grip Magsafe® Clicklock™ Bleached Bone/ Heirloom Gold iPhone 15 Pro</v>
          </cell>
          <cell r="F503" t="str">
            <v>Cases iPhone</v>
          </cell>
          <cell r="G503" t="str">
            <v>iPhone 15</v>
          </cell>
          <cell r="H503" t="str">
            <v>iPhone 15 Pro</v>
          </cell>
          <cell r="I503">
            <v>460.75</v>
          </cell>
          <cell r="J503">
            <v>0.46499499499499508</v>
          </cell>
          <cell r="K503">
            <v>999</v>
          </cell>
          <cell r="L503" t="str">
            <v>MacStore</v>
          </cell>
          <cell r="M503" t="str">
            <v>Discontinued</v>
          </cell>
          <cell r="N503" t="str">
            <v>150447-3214-M</v>
          </cell>
        </row>
        <row r="504">
          <cell r="A504" t="str">
            <v>Speck</v>
          </cell>
          <cell r="B504" t="str">
            <v>FUNSPK353</v>
          </cell>
          <cell r="C504" t="str">
            <v>150467-3199</v>
          </cell>
          <cell r="D504" t="str">
            <v>840168533640</v>
          </cell>
          <cell r="E504" t="str">
            <v>Speck Presidio® Perfect-Clear Grip Magsafe® Clicklock™ Clear/Clear/Chrome iPhone 15 Pro Max</v>
          </cell>
          <cell r="F504" t="str">
            <v>Cases iPhone</v>
          </cell>
          <cell r="G504" t="str">
            <v>iPhone 15</v>
          </cell>
          <cell r="H504" t="str">
            <v>iPhone 15 Pro Max</v>
          </cell>
          <cell r="I504">
            <v>460.75</v>
          </cell>
          <cell r="J504">
            <v>0.46499499499499508</v>
          </cell>
          <cell r="K504">
            <v>999</v>
          </cell>
          <cell r="L504" t="str">
            <v>MacStore</v>
          </cell>
          <cell r="M504" t="str">
            <v>Discontinued</v>
          </cell>
          <cell r="N504" t="str">
            <v>150467-3199-M</v>
          </cell>
        </row>
        <row r="505">
          <cell r="A505" t="str">
            <v>Speck</v>
          </cell>
          <cell r="B505" t="str">
            <v>FUNSPK361</v>
          </cell>
          <cell r="C505" t="str">
            <v>150463-3212</v>
          </cell>
          <cell r="D505" t="str">
            <v>840168533589</v>
          </cell>
          <cell r="E505" t="str">
            <v>Speck Presidio®2 Grip Magsafe® Clicklock™ Charcoal Grey/ Cool Bronze iPhone 15 Pro Max</v>
          </cell>
          <cell r="F505" t="str">
            <v>Cases iPhone</v>
          </cell>
          <cell r="G505" t="str">
            <v>iPhone 15</v>
          </cell>
          <cell r="H505" t="str">
            <v>iPhone 15 Pro Max</v>
          </cell>
          <cell r="I505">
            <v>460.75</v>
          </cell>
          <cell r="J505">
            <v>0.46499499499499508</v>
          </cell>
          <cell r="K505">
            <v>999</v>
          </cell>
          <cell r="L505" t="str">
            <v>MacStore</v>
          </cell>
          <cell r="M505" t="str">
            <v>Discontinued</v>
          </cell>
          <cell r="N505" t="str">
            <v>150463-3212-M</v>
          </cell>
        </row>
        <row r="506">
          <cell r="A506" t="str">
            <v>Speck</v>
          </cell>
          <cell r="B506" t="str">
            <v>FUNSPK367</v>
          </cell>
          <cell r="C506" t="str">
            <v>150463-3208</v>
          </cell>
          <cell r="D506" t="str">
            <v>840168533541</v>
          </cell>
          <cell r="E506" t="str">
            <v>Speck Presidio®2 Grip Magsafe® Clicklock™ New Planet/Clay Tan iPhone 15 Pro Max</v>
          </cell>
          <cell r="F506" t="str">
            <v>Cases iPhone</v>
          </cell>
          <cell r="G506" t="str">
            <v>iPhone 15</v>
          </cell>
          <cell r="H506" t="str">
            <v>iPhone 15 Pro Max</v>
          </cell>
          <cell r="I506">
            <v>460.75</v>
          </cell>
          <cell r="J506">
            <v>0.46499499499499508</v>
          </cell>
          <cell r="K506">
            <v>999</v>
          </cell>
          <cell r="L506" t="str">
            <v>MacStore</v>
          </cell>
          <cell r="M506" t="str">
            <v>Discontinued</v>
          </cell>
          <cell r="N506" t="str">
            <v>150463-3208-M</v>
          </cell>
        </row>
        <row r="507">
          <cell r="A507" t="str">
            <v>Speck</v>
          </cell>
          <cell r="B507" t="str">
            <v>FUNSPK365</v>
          </cell>
          <cell r="C507" t="str">
            <v>150463-3211</v>
          </cell>
          <cell r="D507" t="str">
            <v>840168533572</v>
          </cell>
          <cell r="E507" t="str">
            <v>Speck Presidio®2 Grip Magsafe® Clicklock™ Future Blue / Horizon Purple iPhone 15 Pro Max</v>
          </cell>
          <cell r="F507" t="str">
            <v>Cases iPhone</v>
          </cell>
          <cell r="G507" t="str">
            <v>iPhone 15</v>
          </cell>
          <cell r="H507" t="str">
            <v>iPhone 15 Pro Max</v>
          </cell>
          <cell r="I507">
            <v>460.75</v>
          </cell>
          <cell r="J507">
            <v>0.46499499499499508</v>
          </cell>
          <cell r="K507">
            <v>999</v>
          </cell>
          <cell r="L507" t="str">
            <v>MacStore</v>
          </cell>
          <cell r="M507" t="str">
            <v>Discontinued</v>
          </cell>
          <cell r="N507" t="str">
            <v>150463-3211-M</v>
          </cell>
        </row>
        <row r="508">
          <cell r="A508" t="str">
            <v>Speck</v>
          </cell>
          <cell r="B508" t="str">
            <v>FUNSPK349</v>
          </cell>
          <cell r="C508" t="str">
            <v>150573-3216</v>
          </cell>
          <cell r="D508" t="str">
            <v>840168538072</v>
          </cell>
          <cell r="E508" t="str">
            <v>Speck Presidio® Lux Magsafe® Clear/Clear W/Gold Glitter iPhone 15 Pro Max</v>
          </cell>
          <cell r="F508" t="str">
            <v>Cases iPhone</v>
          </cell>
          <cell r="G508" t="str">
            <v>iPhone 15</v>
          </cell>
          <cell r="H508" t="str">
            <v>iPhone 15 Pro Max</v>
          </cell>
          <cell r="I508">
            <v>460.75</v>
          </cell>
          <cell r="J508">
            <v>0.46499499499499508</v>
          </cell>
          <cell r="K508">
            <v>999</v>
          </cell>
          <cell r="L508" t="str">
            <v>MacStore</v>
          </cell>
          <cell r="M508" t="str">
            <v>Discontinued</v>
          </cell>
          <cell r="N508" t="str">
            <v>150573-3216-M</v>
          </cell>
        </row>
        <row r="509">
          <cell r="A509" t="str">
            <v>Speck</v>
          </cell>
          <cell r="B509" t="str">
            <v>FUNSPK356</v>
          </cell>
          <cell r="C509" t="str">
            <v>150463-3205</v>
          </cell>
          <cell r="D509" t="str">
            <v>840168533510</v>
          </cell>
          <cell r="E509" t="str">
            <v>Speck Presidio®2 Grip Magsafe® Clicklock™ Black / Slate Grey iPhone 15 Pro Max</v>
          </cell>
          <cell r="F509" t="str">
            <v>Cases iPhone</v>
          </cell>
          <cell r="G509" t="str">
            <v>iPhone 15</v>
          </cell>
          <cell r="H509" t="str">
            <v>iPhone 15 Pro Max</v>
          </cell>
          <cell r="I509">
            <v>460.75</v>
          </cell>
          <cell r="J509">
            <v>0.46499499499499508</v>
          </cell>
          <cell r="K509">
            <v>999</v>
          </cell>
          <cell r="L509" t="str">
            <v>MacStore</v>
          </cell>
          <cell r="M509" t="str">
            <v>Discontinued</v>
          </cell>
          <cell r="N509" t="str">
            <v>150463-3205-M</v>
          </cell>
        </row>
        <row r="510">
          <cell r="A510" t="str">
            <v>Speck</v>
          </cell>
          <cell r="B510" t="str">
            <v>FUNSPK358</v>
          </cell>
          <cell r="C510" t="str">
            <v>150463-3214</v>
          </cell>
          <cell r="D510" t="str">
            <v>840168533602</v>
          </cell>
          <cell r="E510" t="str">
            <v>Speck Presidio®2 Grip Magsafe® Clicklock™ Bleached Bone/ Heirloom Gold iPhone 15 Pro Max</v>
          </cell>
          <cell r="F510" t="str">
            <v>Cases iPhone</v>
          </cell>
          <cell r="G510" t="str">
            <v>iPhone 15</v>
          </cell>
          <cell r="H510" t="str">
            <v>iPhone 15 Pro Max</v>
          </cell>
          <cell r="I510">
            <v>460.75</v>
          </cell>
          <cell r="J510">
            <v>0.46499499499499508</v>
          </cell>
          <cell r="K510">
            <v>999</v>
          </cell>
          <cell r="L510" t="str">
            <v>MacStore</v>
          </cell>
          <cell r="M510" t="str">
            <v>Discontinued</v>
          </cell>
          <cell r="N510" t="str">
            <v>150463-3214-M</v>
          </cell>
        </row>
        <row r="511">
          <cell r="A511" t="str">
            <v>Speck</v>
          </cell>
          <cell r="B511" t="str">
            <v>FUNSPK363</v>
          </cell>
          <cell r="C511" t="str">
            <v>150463-3206</v>
          </cell>
          <cell r="D511" t="str">
            <v>840168533527</v>
          </cell>
          <cell r="E511" t="str">
            <v>Speck Presidio®2 Grip Magsafe® Clicklock™ Costal Blue / Dust Grey iPhone 15 Pro Max</v>
          </cell>
          <cell r="F511" t="str">
            <v>Cases iPhone</v>
          </cell>
          <cell r="G511" t="str">
            <v>iPhone 15</v>
          </cell>
          <cell r="H511" t="str">
            <v>iPhone 15 Pro Max</v>
          </cell>
          <cell r="I511">
            <v>460.75</v>
          </cell>
          <cell r="J511">
            <v>0.46499499499499508</v>
          </cell>
          <cell r="K511">
            <v>999</v>
          </cell>
          <cell r="L511" t="str">
            <v>MacStore</v>
          </cell>
          <cell r="M511" t="str">
            <v>Discontinued</v>
          </cell>
          <cell r="N511" t="str">
            <v>150463-3206-M</v>
          </cell>
        </row>
        <row r="512">
          <cell r="A512" t="str">
            <v>Speck</v>
          </cell>
          <cell r="B512" t="str">
            <v>FUNSPK346</v>
          </cell>
          <cell r="C512" t="str">
            <v>150491-5085</v>
          </cell>
          <cell r="D512" t="str">
            <v>840168534944</v>
          </cell>
          <cell r="E512" t="str">
            <v>Speck GemShell® iPhone 15</v>
          </cell>
          <cell r="F512" t="str">
            <v>Cases iPhone</v>
          </cell>
          <cell r="G512" t="str">
            <v>iPhone 15</v>
          </cell>
          <cell r="H512" t="str">
            <v>iPhone 16e / 15 / 14 / 13</v>
          </cell>
          <cell r="I512">
            <v>276.26</v>
          </cell>
          <cell r="J512">
            <v>0.46500567612687815</v>
          </cell>
          <cell r="K512">
            <v>599</v>
          </cell>
          <cell r="L512" t="str">
            <v>MacStore</v>
          </cell>
          <cell r="M512" t="str">
            <v>Discontinued</v>
          </cell>
          <cell r="N512" t="str">
            <v>150491-5085-M</v>
          </cell>
        </row>
        <row r="513">
          <cell r="A513" t="str">
            <v>Speck</v>
          </cell>
          <cell r="B513" t="str">
            <v>FUNSPK350</v>
          </cell>
          <cell r="C513" t="str">
            <v>150443-3199</v>
          </cell>
          <cell r="D513" t="str">
            <v>840168532865</v>
          </cell>
          <cell r="E513" t="str">
            <v>Speck Presidio® Perfect-Clear Grip Magsafe® Clicklock™ Clear/Clear/Chrome iPhone 15</v>
          </cell>
          <cell r="F513" t="str">
            <v>Cases iPhone</v>
          </cell>
          <cell r="G513" t="str">
            <v>iPhone 15</v>
          </cell>
          <cell r="H513" t="str">
            <v>iPhone 16e / 15 / 14 / 13</v>
          </cell>
          <cell r="I513">
            <v>460.75</v>
          </cell>
          <cell r="J513">
            <v>0.46499499499499508</v>
          </cell>
          <cell r="K513">
            <v>999</v>
          </cell>
          <cell r="L513" t="str">
            <v>MacStore</v>
          </cell>
          <cell r="M513" t="str">
            <v>Discontinued</v>
          </cell>
          <cell r="N513" t="str">
            <v>150443-3199-M</v>
          </cell>
        </row>
        <row r="514">
          <cell r="A514" t="str">
            <v>Speck</v>
          </cell>
          <cell r="B514" t="str">
            <v>FUNSPK354</v>
          </cell>
          <cell r="C514" t="str">
            <v>150439-3205</v>
          </cell>
          <cell r="D514" t="str">
            <v>840168532735</v>
          </cell>
          <cell r="E514" t="str">
            <v>Speck Presidio®2 Grip Magsafe® Clicklock™ Black / Slate Grey iPhone 15</v>
          </cell>
          <cell r="F514" t="str">
            <v>Cases iPhone</v>
          </cell>
          <cell r="G514" t="str">
            <v>iPhone 15</v>
          </cell>
          <cell r="H514" t="str">
            <v>iPhone 16e / 15 / 14 / 13</v>
          </cell>
          <cell r="I514">
            <v>460.75</v>
          </cell>
          <cell r="J514">
            <v>0.46499499499499508</v>
          </cell>
          <cell r="K514">
            <v>999</v>
          </cell>
          <cell r="L514" t="str">
            <v>MacStore</v>
          </cell>
          <cell r="M514" t="str">
            <v>Discontinued</v>
          </cell>
          <cell r="N514" t="str">
            <v>150439-3205-M</v>
          </cell>
        </row>
        <row r="515">
          <cell r="A515" t="str">
            <v>Speck</v>
          </cell>
          <cell r="B515" t="str">
            <v>FUNSPK359</v>
          </cell>
          <cell r="C515" t="str">
            <v>150439-3212</v>
          </cell>
          <cell r="D515" t="str">
            <v>840168532803</v>
          </cell>
          <cell r="E515" t="str">
            <v>Speck Presidio®2 Grip Magsafe® Clicklock™ Charcoal Grey/ Cool Bronze iPhone 15</v>
          </cell>
          <cell r="F515" t="str">
            <v>Cases iPhone</v>
          </cell>
          <cell r="G515" t="str">
            <v>iPhone 15</v>
          </cell>
          <cell r="H515" t="str">
            <v>iPhone 16e / 15 / 14 / 13</v>
          </cell>
          <cell r="I515">
            <v>460.75</v>
          </cell>
          <cell r="J515">
            <v>0.46499499499499508</v>
          </cell>
          <cell r="K515">
            <v>999</v>
          </cell>
          <cell r="L515" t="str">
            <v>MacStore</v>
          </cell>
          <cell r="M515" t="str">
            <v>Discontinued</v>
          </cell>
          <cell r="N515" t="str">
            <v>150439-3212-M</v>
          </cell>
        </row>
        <row r="516">
          <cell r="A516" t="str">
            <v>Speck</v>
          </cell>
          <cell r="B516" t="str">
            <v>FUNSPK373</v>
          </cell>
          <cell r="C516" t="str">
            <v>150698-9508</v>
          </cell>
          <cell r="D516" t="str">
            <v>840168540662</v>
          </cell>
          <cell r="E516" t="str">
            <v>Speck iPhone 16 Gemshell Clear/ Platinum Glitter</v>
          </cell>
          <cell r="F516" t="str">
            <v>Cases iPhone</v>
          </cell>
          <cell r="G516" t="str">
            <v>iPhone 16</v>
          </cell>
          <cell r="H516" t="str">
            <v>iPhone 16</v>
          </cell>
          <cell r="I516">
            <v>276.26</v>
          </cell>
          <cell r="J516">
            <v>0.46500567612687815</v>
          </cell>
          <cell r="K516">
            <v>599</v>
          </cell>
          <cell r="L516" t="str">
            <v>MacStore</v>
          </cell>
          <cell r="M516" t="str">
            <v>Active</v>
          </cell>
          <cell r="N516" t="str">
            <v>150698-9508-M</v>
          </cell>
        </row>
        <row r="517">
          <cell r="A517" t="str">
            <v>Speck</v>
          </cell>
          <cell r="B517" t="str">
            <v>FUNSPK372</v>
          </cell>
          <cell r="C517" t="str">
            <v>150696-5085</v>
          </cell>
          <cell r="D517" t="str">
            <v>840168540648</v>
          </cell>
          <cell r="E517" t="str">
            <v>Speck iPhone 16 Gemshell Clear/Clear</v>
          </cell>
          <cell r="F517" t="str">
            <v>Cases iPhone</v>
          </cell>
          <cell r="G517" t="str">
            <v>iPhone 16</v>
          </cell>
          <cell r="H517" t="str">
            <v>iPhone 16</v>
          </cell>
          <cell r="I517">
            <v>276.26</v>
          </cell>
          <cell r="J517">
            <v>0.46500567612687815</v>
          </cell>
          <cell r="K517">
            <v>599</v>
          </cell>
          <cell r="L517" t="str">
            <v>MacStore</v>
          </cell>
          <cell r="M517" t="str">
            <v>Discontinued</v>
          </cell>
          <cell r="N517" t="str">
            <v>150696-5085-M</v>
          </cell>
        </row>
        <row r="518">
          <cell r="A518" t="str">
            <v>Speck</v>
          </cell>
          <cell r="B518" t="str">
            <v>FUNSPK375</v>
          </cell>
          <cell r="C518" t="str">
            <v>150722-9508</v>
          </cell>
          <cell r="D518" t="str">
            <v>840168541485</v>
          </cell>
          <cell r="E518" t="str">
            <v>Speck iPhone 16 Plus Gemshell Clear/ Platinum Glitter</v>
          </cell>
          <cell r="F518" t="str">
            <v>Cases iPhone</v>
          </cell>
          <cell r="G518" t="str">
            <v>iPhone 16</v>
          </cell>
          <cell r="H518" t="str">
            <v>iPhone 16 Plus</v>
          </cell>
          <cell r="I518">
            <v>276.26</v>
          </cell>
          <cell r="J518">
            <v>0.46500567612687815</v>
          </cell>
          <cell r="K518">
            <v>599</v>
          </cell>
          <cell r="L518" t="str">
            <v>MacStore</v>
          </cell>
          <cell r="M518" t="str">
            <v>Discontinued</v>
          </cell>
          <cell r="N518" t="str">
            <v>150722-9508-M</v>
          </cell>
        </row>
        <row r="519">
          <cell r="A519" t="str">
            <v>Speck</v>
          </cell>
          <cell r="B519" t="str">
            <v>FUNSPK374</v>
          </cell>
          <cell r="C519" t="str">
            <v>150720-5085</v>
          </cell>
          <cell r="D519" t="str">
            <v>840168541461</v>
          </cell>
          <cell r="E519" t="str">
            <v>Speck iPhone 16 Plus Gemshell Clear/Clear</v>
          </cell>
          <cell r="F519" t="str">
            <v>Cases iPhone</v>
          </cell>
          <cell r="G519" t="str">
            <v>iPhone 16</v>
          </cell>
          <cell r="H519" t="str">
            <v>iPhone 16 Plus</v>
          </cell>
          <cell r="I519">
            <v>276.26</v>
          </cell>
          <cell r="J519">
            <v>0.46500567612687815</v>
          </cell>
          <cell r="K519">
            <v>599</v>
          </cell>
          <cell r="L519" t="str">
            <v>MacStore</v>
          </cell>
          <cell r="M519" t="str">
            <v>Discontinued</v>
          </cell>
          <cell r="N519" t="str">
            <v>150720-5085-M</v>
          </cell>
        </row>
        <row r="520">
          <cell r="A520" t="str">
            <v>Speck</v>
          </cell>
          <cell r="B520" t="str">
            <v>FUNSPK379</v>
          </cell>
          <cell r="C520" t="str">
            <v>150706-9221</v>
          </cell>
          <cell r="D520" t="str">
            <v>840168540945</v>
          </cell>
          <cell r="E520" t="str">
            <v>Speck iPhone 16 Pro Presidio Lux +Cl Clear/Clear /Gold Glitter?</v>
          </cell>
          <cell r="F520" t="str">
            <v>Cases iPhone</v>
          </cell>
          <cell r="G520" t="str">
            <v>iPhone 16</v>
          </cell>
          <cell r="H520" t="str">
            <v>iPhone 16 Pro / iPhone 17</v>
          </cell>
          <cell r="I520">
            <v>460.75</v>
          </cell>
          <cell r="J520">
            <v>0.46499499499499508</v>
          </cell>
          <cell r="K520">
            <v>999</v>
          </cell>
          <cell r="L520" t="str">
            <v>MacStore</v>
          </cell>
          <cell r="M520" t="str">
            <v>Discontinued</v>
          </cell>
          <cell r="N520" t="str">
            <v>150706-9221-M</v>
          </cell>
        </row>
        <row r="521">
          <cell r="A521" t="str">
            <v>Speck</v>
          </cell>
          <cell r="B521" t="str">
            <v>FUNSPK383</v>
          </cell>
          <cell r="C521" t="str">
            <v>150703-3199</v>
          </cell>
          <cell r="D521" t="str">
            <v>840168540846</v>
          </cell>
          <cell r="E521" t="str">
            <v>Speck iPhone 16 Pro Presidio Perfect Clear +Cl Clear/Chrome Fini</v>
          </cell>
          <cell r="F521" t="str">
            <v>Cases iPhone</v>
          </cell>
          <cell r="G521" t="str">
            <v>iPhone 16</v>
          </cell>
          <cell r="H521" t="str">
            <v>iPhone 16 Pro / iPhone 17</v>
          </cell>
          <cell r="I521">
            <v>460.75</v>
          </cell>
          <cell r="J521">
            <v>0.46499499499499508</v>
          </cell>
          <cell r="K521">
            <v>999</v>
          </cell>
          <cell r="L521" t="str">
            <v>MacStore</v>
          </cell>
          <cell r="M521" t="str">
            <v>Discontinued</v>
          </cell>
          <cell r="N521" t="str">
            <v>150703-3199-M</v>
          </cell>
        </row>
        <row r="522">
          <cell r="A522" t="str">
            <v>Speck</v>
          </cell>
          <cell r="B522" t="str">
            <v>FUNSPK385</v>
          </cell>
          <cell r="C522" t="str">
            <v>150765-3237</v>
          </cell>
          <cell r="D522" t="str">
            <v>840168543175</v>
          </cell>
          <cell r="E522" t="str">
            <v>Speck iPhone 16 Pro Presidio2 Lux +Ms Amazing Purple/Clear</v>
          </cell>
          <cell r="F522" t="str">
            <v>Cases iPhone</v>
          </cell>
          <cell r="G522" t="str">
            <v>iPhone 16</v>
          </cell>
          <cell r="H522" t="str">
            <v>iPhone 16 Pro / iPhone 17</v>
          </cell>
          <cell r="I522">
            <v>460.75</v>
          </cell>
          <cell r="J522">
            <v>0.46499499499499508</v>
          </cell>
          <cell r="K522">
            <v>999</v>
          </cell>
          <cell r="L522" t="str">
            <v>MacStore</v>
          </cell>
          <cell r="M522" t="str">
            <v>Discontinued</v>
          </cell>
          <cell r="N522" t="str">
            <v>150765-3237-M</v>
          </cell>
        </row>
        <row r="523">
          <cell r="A523" t="str">
            <v>Speck</v>
          </cell>
          <cell r="B523" t="str">
            <v>FUNSPK381</v>
          </cell>
          <cell r="C523" t="str">
            <v>150701-3205</v>
          </cell>
          <cell r="D523" t="str">
            <v>840168540761</v>
          </cell>
          <cell r="E523" t="str">
            <v>Speck iPhone 16 Pro Presidio2 Grip +Cl Black / Slate Grey /White</v>
          </cell>
          <cell r="F523" t="str">
            <v>Cases iPhone</v>
          </cell>
          <cell r="G523" t="str">
            <v>iPhone 16</v>
          </cell>
          <cell r="H523" t="str">
            <v>iPhone 16 Pro / iPhone 17</v>
          </cell>
          <cell r="I523">
            <v>460.75</v>
          </cell>
          <cell r="J523">
            <v>0.46499499499499508</v>
          </cell>
          <cell r="K523">
            <v>999</v>
          </cell>
          <cell r="L523" t="str">
            <v>MacStore</v>
          </cell>
          <cell r="M523" t="str">
            <v>Discontinued</v>
          </cell>
          <cell r="N523" t="str">
            <v>150701-3205-M</v>
          </cell>
        </row>
        <row r="524">
          <cell r="A524" t="str">
            <v>Speck</v>
          </cell>
          <cell r="B524" t="str">
            <v>FUNSPK377</v>
          </cell>
          <cell r="C524" t="str">
            <v>150703-3258</v>
          </cell>
          <cell r="D524" t="str">
            <v>840168544509</v>
          </cell>
          <cell r="E524" t="str">
            <v>Speck iPhone 16 Pro Presidio Perfect Clear Clear Frosted Black</v>
          </cell>
          <cell r="F524" t="str">
            <v>Cases iPhone</v>
          </cell>
          <cell r="G524" t="str">
            <v>iPhone 16</v>
          </cell>
          <cell r="H524" t="str">
            <v>iPhone 16 Pro / iPhone 17</v>
          </cell>
          <cell r="I524">
            <v>460.75</v>
          </cell>
          <cell r="J524">
            <v>0.46499499499499508</v>
          </cell>
          <cell r="K524">
            <v>999</v>
          </cell>
          <cell r="L524" t="str">
            <v>MacStore</v>
          </cell>
          <cell r="M524" t="str">
            <v>Discontinued</v>
          </cell>
          <cell r="N524" t="str">
            <v>150703-3258-M</v>
          </cell>
        </row>
        <row r="525">
          <cell r="A525" t="str">
            <v>Speck</v>
          </cell>
          <cell r="B525" t="str">
            <v>FUNSPK382</v>
          </cell>
          <cell r="C525" t="str">
            <v>150727-3199</v>
          </cell>
          <cell r="D525" t="str">
            <v>840168544561</v>
          </cell>
          <cell r="E525" t="str">
            <v>Speck iPhone 16 Pro Max Presidio Perfect Clear +Cl Clear/Clear/Chrome Finish/Serene Silver</v>
          </cell>
          <cell r="F525" t="str">
            <v>Cases iPhone</v>
          </cell>
          <cell r="G525" t="str">
            <v>iPhone 16</v>
          </cell>
          <cell r="H525" t="str">
            <v>iPhone 16 Pro Max</v>
          </cell>
          <cell r="I525">
            <v>460.75</v>
          </cell>
          <cell r="J525">
            <v>0.46499499499499508</v>
          </cell>
          <cell r="K525">
            <v>999</v>
          </cell>
          <cell r="L525" t="str">
            <v>MacStore</v>
          </cell>
          <cell r="M525" t="str">
            <v>Discontinued</v>
          </cell>
          <cell r="N525" t="str">
            <v>150727-3199-M</v>
          </cell>
        </row>
        <row r="526">
          <cell r="A526" t="str">
            <v>Speck</v>
          </cell>
          <cell r="B526" t="str">
            <v>FUNSPK384</v>
          </cell>
          <cell r="C526" t="str">
            <v>150775-3237</v>
          </cell>
          <cell r="D526" t="str">
            <v>840168543656</v>
          </cell>
          <cell r="E526" t="str">
            <v>Speck iPhone 16 Pro Max Presidio2 Lux +Ms Amazing Purple/Clear</v>
          </cell>
          <cell r="F526" t="str">
            <v>Cases iPhone</v>
          </cell>
          <cell r="G526" t="str">
            <v>iPhone 16</v>
          </cell>
          <cell r="H526" t="str">
            <v>iPhone 16 Pro Max</v>
          </cell>
          <cell r="I526">
            <v>460.75</v>
          </cell>
          <cell r="J526">
            <v>0.46499499499499508</v>
          </cell>
          <cell r="K526">
            <v>999</v>
          </cell>
          <cell r="L526" t="str">
            <v>MacStore</v>
          </cell>
          <cell r="M526" t="str">
            <v>Discontinued</v>
          </cell>
          <cell r="N526" t="str">
            <v>150775-3237-M</v>
          </cell>
        </row>
        <row r="527">
          <cell r="A527" t="str">
            <v>Speck</v>
          </cell>
          <cell r="B527" t="str">
            <v>FUNSPK378</v>
          </cell>
          <cell r="C527" t="str">
            <v>150730-9221</v>
          </cell>
          <cell r="D527" t="str">
            <v>840168543953</v>
          </cell>
          <cell r="E527" t="str">
            <v>Speck iPhone 16 Pro Max Presidio Lux +Cl Clear/Gold Glitter</v>
          </cell>
          <cell r="F527" t="str">
            <v>Cases iPhone</v>
          </cell>
          <cell r="G527" t="str">
            <v>iPhone 16</v>
          </cell>
          <cell r="H527" t="str">
            <v>iPhone 16 Pro Max</v>
          </cell>
          <cell r="I527">
            <v>460.75</v>
          </cell>
          <cell r="J527">
            <v>0.46499499499499508</v>
          </cell>
          <cell r="K527">
            <v>999</v>
          </cell>
          <cell r="L527" t="str">
            <v>MacStore</v>
          </cell>
          <cell r="M527" t="str">
            <v>Discontinued</v>
          </cell>
          <cell r="N527" t="str">
            <v>150730-9221-M</v>
          </cell>
        </row>
        <row r="528">
          <cell r="A528" t="str">
            <v>Speck</v>
          </cell>
          <cell r="B528" t="str">
            <v>FUNSPK380</v>
          </cell>
          <cell r="C528" t="str">
            <v>150725-3205</v>
          </cell>
          <cell r="D528" t="str">
            <v>840168541584</v>
          </cell>
          <cell r="E528" t="str">
            <v>Speck iPhone 16 Pro Max Presidio2 Grip +Cl Black / Slate Grey</v>
          </cell>
          <cell r="F528" t="str">
            <v>Cases iPhone</v>
          </cell>
          <cell r="G528" t="str">
            <v>iPhone 16</v>
          </cell>
          <cell r="H528" t="str">
            <v>iPhone 16 Pro Max</v>
          </cell>
          <cell r="I528">
            <v>460.75</v>
          </cell>
          <cell r="J528">
            <v>0.46499499499499508</v>
          </cell>
          <cell r="K528">
            <v>999</v>
          </cell>
          <cell r="L528" t="str">
            <v>MacStore</v>
          </cell>
          <cell r="M528" t="str">
            <v>Discontinued</v>
          </cell>
          <cell r="N528" t="str">
            <v>150725-3205-M</v>
          </cell>
        </row>
        <row r="529">
          <cell r="A529" t="str">
            <v>Speck</v>
          </cell>
          <cell r="B529" t="str">
            <v>FUNSPK376</v>
          </cell>
          <cell r="C529" t="str">
            <v>150727-3258</v>
          </cell>
          <cell r="D529" t="str">
            <v>840168544530</v>
          </cell>
          <cell r="E529" t="str">
            <v>Speck iPhone 16 Pro Max Presidio Perfect Clear Clear Frosted Blk</v>
          </cell>
          <cell r="F529" t="str">
            <v>Cases iPhone</v>
          </cell>
          <cell r="G529" t="str">
            <v>iPhone 16</v>
          </cell>
          <cell r="H529" t="str">
            <v>iPhone 16 Pro Max</v>
          </cell>
          <cell r="I529">
            <v>460.75</v>
          </cell>
          <cell r="J529">
            <v>0.46499499499499508</v>
          </cell>
          <cell r="K529">
            <v>999</v>
          </cell>
          <cell r="L529" t="str">
            <v>MacStore</v>
          </cell>
          <cell r="M529" t="str">
            <v>Discontinued</v>
          </cell>
          <cell r="N529" t="str">
            <v>150727-3258-M</v>
          </cell>
        </row>
        <row r="530">
          <cell r="A530" t="str">
            <v>Speck</v>
          </cell>
          <cell r="B530" t="str">
            <v>FUNSPK394</v>
          </cell>
          <cell r="C530" t="str">
            <v>150960-9221</v>
          </cell>
          <cell r="D530" t="str">
            <v>840168546190</v>
          </cell>
          <cell r="E530" t="str">
            <v>Speck iPhone 17 Presidio Lux +Ms Glitter/Gold Metallic</v>
          </cell>
          <cell r="F530" t="str">
            <v>Cases iPhone</v>
          </cell>
          <cell r="G530" t="str">
            <v>iPhone 17</v>
          </cell>
          <cell r="H530" t="str">
            <v>iPhone 17</v>
          </cell>
          <cell r="I530">
            <v>460.75</v>
          </cell>
          <cell r="J530">
            <v>0.46499499499499508</v>
          </cell>
          <cell r="K530">
            <v>999</v>
          </cell>
          <cell r="L530" t="str">
            <v>MacStore</v>
          </cell>
          <cell r="M530" t="str">
            <v>Discontinued</v>
          </cell>
          <cell r="N530" t="str">
            <v>150960-9221</v>
          </cell>
        </row>
        <row r="531">
          <cell r="A531" t="str">
            <v>Speck</v>
          </cell>
          <cell r="B531" t="str">
            <v>FUNSPK398</v>
          </cell>
          <cell r="C531" t="str">
            <v>150963-3240</v>
          </cell>
          <cell r="D531" t="str">
            <v>840168546244</v>
          </cell>
          <cell r="E531" t="str">
            <v>Speck Presidio Perfect-Clear  iPhone 17 Air Clear</v>
          </cell>
          <cell r="F531" t="str">
            <v>Cases iPhone</v>
          </cell>
          <cell r="G531" t="str">
            <v>iPhone 17</v>
          </cell>
          <cell r="H531" t="str">
            <v>iPhone 17 Air</v>
          </cell>
          <cell r="I531">
            <v>460.75</v>
          </cell>
          <cell r="J531">
            <v>0.46499499499499508</v>
          </cell>
          <cell r="K531">
            <v>999</v>
          </cell>
          <cell r="L531" t="str">
            <v>MacStore</v>
          </cell>
          <cell r="M531" t="str">
            <v>Discontinued</v>
          </cell>
          <cell r="N531" t="str">
            <v>150963-3240</v>
          </cell>
        </row>
        <row r="532">
          <cell r="A532" t="str">
            <v>Speck</v>
          </cell>
          <cell r="B532" t="str">
            <v>FUNSPK395</v>
          </cell>
          <cell r="C532" t="str">
            <v>150969-9221</v>
          </cell>
          <cell r="D532" t="str">
            <v>840168546336</v>
          </cell>
          <cell r="E532" t="str">
            <v>Speck iPhone 17 Air Presidio Lux +Ms Glitter/Gold Metallic</v>
          </cell>
          <cell r="F532" t="str">
            <v>Cases iPhone</v>
          </cell>
          <cell r="G532" t="str">
            <v>iPhone 17</v>
          </cell>
          <cell r="H532" t="str">
            <v>iPhone 17 Air</v>
          </cell>
          <cell r="I532">
            <v>460.75</v>
          </cell>
          <cell r="J532">
            <v>0.46499499499499508</v>
          </cell>
          <cell r="K532">
            <v>999</v>
          </cell>
          <cell r="L532" t="str">
            <v>MacStore</v>
          </cell>
          <cell r="M532" t="str">
            <v>Discontinued</v>
          </cell>
          <cell r="N532" t="str">
            <v>150969-9221</v>
          </cell>
        </row>
        <row r="533">
          <cell r="A533" t="str">
            <v>Speck</v>
          </cell>
          <cell r="B533" t="str">
            <v>FUNSPK399</v>
          </cell>
          <cell r="C533" t="str">
            <v>150972-3240</v>
          </cell>
          <cell r="D533" t="str">
            <v>840168546381</v>
          </cell>
          <cell r="E533" t="str">
            <v>Speck Presidio Perfect-Clear  iPhone 17 Pro Clear</v>
          </cell>
          <cell r="F533" t="str">
            <v>Cases iPhone</v>
          </cell>
          <cell r="G533" t="str">
            <v>iPhone 17</v>
          </cell>
          <cell r="H533" t="str">
            <v>iPhone 17 Pro</v>
          </cell>
          <cell r="I533">
            <v>460.75</v>
          </cell>
          <cell r="J533">
            <v>0.46499499499499508</v>
          </cell>
          <cell r="K533">
            <v>999</v>
          </cell>
          <cell r="L533" t="str">
            <v>MacStore</v>
          </cell>
          <cell r="M533" t="str">
            <v>Active</v>
          </cell>
          <cell r="N533" t="str">
            <v>150972-3240</v>
          </cell>
        </row>
        <row r="534">
          <cell r="A534" t="str">
            <v>Speck</v>
          </cell>
          <cell r="B534" t="str">
            <v>FUNSPK396</v>
          </cell>
          <cell r="C534" t="str">
            <v>150978-9221</v>
          </cell>
          <cell r="D534" t="str">
            <v>840168546473</v>
          </cell>
          <cell r="E534" t="str">
            <v>Speck Presidio Lux iPhone 17 Pro Glitter/Gold</v>
          </cell>
          <cell r="F534" t="str">
            <v>Cases iPhone</v>
          </cell>
          <cell r="G534" t="str">
            <v>iPhone 17</v>
          </cell>
          <cell r="H534" t="str">
            <v>iPhone 17 Pro</v>
          </cell>
          <cell r="I534">
            <v>460.75</v>
          </cell>
          <cell r="J534">
            <v>0.46499499499499508</v>
          </cell>
          <cell r="K534">
            <v>999</v>
          </cell>
          <cell r="L534" t="str">
            <v>MacStore</v>
          </cell>
          <cell r="M534" t="str">
            <v>Active</v>
          </cell>
          <cell r="N534" t="str">
            <v>150978-9221</v>
          </cell>
        </row>
        <row r="535">
          <cell r="A535" t="str">
            <v>Speck</v>
          </cell>
          <cell r="B535" t="str">
            <v>FUNSPK401</v>
          </cell>
          <cell r="C535" t="str">
            <v>150986-D143</v>
          </cell>
          <cell r="D535" t="str">
            <v>840168546589</v>
          </cell>
          <cell r="E535" t="str">
            <v>Speck Presidio2 Grip iPhone 17 Pro Max Black</v>
          </cell>
          <cell r="F535" t="str">
            <v>Cases iPhone</v>
          </cell>
          <cell r="G535" t="str">
            <v>iPhone 17</v>
          </cell>
          <cell r="H535" t="str">
            <v>iPhone 17 Pro Max</v>
          </cell>
          <cell r="I535">
            <v>460.75</v>
          </cell>
          <cell r="J535">
            <v>0.46499499499499508</v>
          </cell>
          <cell r="K535">
            <v>999</v>
          </cell>
          <cell r="L535" t="str">
            <v>MacStore</v>
          </cell>
          <cell r="M535" t="str">
            <v>Active</v>
          </cell>
          <cell r="N535" t="str">
            <v>150986-D143</v>
          </cell>
        </row>
        <row r="536">
          <cell r="A536" t="str">
            <v>Speck</v>
          </cell>
          <cell r="B536" t="str">
            <v>FUNSPK397</v>
          </cell>
          <cell r="C536" t="str">
            <v>150987-9221</v>
          </cell>
          <cell r="D536" t="str">
            <v>840168546619</v>
          </cell>
          <cell r="E536" t="str">
            <v>Speck Presidio Lux iPhone 17 Pro Max Glitter/Gold</v>
          </cell>
          <cell r="F536" t="str">
            <v>Cases iPhone</v>
          </cell>
          <cell r="G536" t="str">
            <v>iPhone 17</v>
          </cell>
          <cell r="H536" t="str">
            <v>iPhone 17 Pro Max</v>
          </cell>
          <cell r="I536">
            <v>460.75</v>
          </cell>
          <cell r="J536">
            <v>0.46499499499499508</v>
          </cell>
          <cell r="K536">
            <v>999</v>
          </cell>
          <cell r="L536" t="str">
            <v>MacStore</v>
          </cell>
          <cell r="M536" t="str">
            <v>Active</v>
          </cell>
          <cell r="N536" t="str">
            <v>150987-9221</v>
          </cell>
        </row>
        <row r="537">
          <cell r="A537" t="str">
            <v>Speck</v>
          </cell>
          <cell r="B537" t="str">
            <v>FUNSPK400</v>
          </cell>
          <cell r="C537" t="str">
            <v>150981-3240</v>
          </cell>
          <cell r="D537" t="str">
            <v>840168546527</v>
          </cell>
          <cell r="E537" t="str">
            <v>Speck Presidio Perfect-Clear  iPhone 17 Pro Max Clear</v>
          </cell>
          <cell r="F537" t="str">
            <v>Cases iPhone</v>
          </cell>
          <cell r="G537" t="str">
            <v>iPhone 17</v>
          </cell>
          <cell r="H537" t="str">
            <v>iPhone 17 Pro Max</v>
          </cell>
          <cell r="I537">
            <v>460.75</v>
          </cell>
          <cell r="J537">
            <v>0.46499499499499508</v>
          </cell>
          <cell r="K537">
            <v>999</v>
          </cell>
          <cell r="L537" t="str">
            <v>MacStore</v>
          </cell>
          <cell r="M537" t="str">
            <v>Active</v>
          </cell>
          <cell r="N537" t="str">
            <v>150981-3240</v>
          </cell>
        </row>
        <row r="538">
          <cell r="A538" t="str">
            <v>Speck</v>
          </cell>
          <cell r="B538" t="str">
            <v>CARSPK106</v>
          </cell>
          <cell r="C538" t="str">
            <v>150225-3086</v>
          </cell>
          <cell r="D538" t="str">
            <v>840168528141</v>
          </cell>
          <cell r="E538" t="str">
            <v>Speck Smartshell Case for Macbook Air 13" M2 2022 - Cozy Pink</v>
          </cell>
          <cell r="F538" t="str">
            <v>Cases Macbook</v>
          </cell>
          <cell r="G538" t="str">
            <v>Macbook</v>
          </cell>
          <cell r="H538" t="str">
            <v>MacBook Air 13" M4/M3/M2</v>
          </cell>
          <cell r="I538">
            <v>503.81</v>
          </cell>
          <cell r="J538">
            <v>0.41499539539539543</v>
          </cell>
          <cell r="K538">
            <v>999</v>
          </cell>
          <cell r="L538" t="str">
            <v>MacStore</v>
          </cell>
          <cell r="M538" t="str">
            <v>Active</v>
          </cell>
          <cell r="N538" t="str">
            <v>150225-3086-M</v>
          </cell>
        </row>
        <row r="539">
          <cell r="A539" t="str">
            <v>Speck</v>
          </cell>
          <cell r="B539" t="str">
            <v>CARSPK105</v>
          </cell>
          <cell r="C539" t="str">
            <v>150225-9992</v>
          </cell>
          <cell r="D539" t="str">
            <v>840168528127</v>
          </cell>
          <cell r="E539" t="str">
            <v>Speck Smartshell Case for Macbook Air 13" M2 2022 - Clear</v>
          </cell>
          <cell r="F539" t="str">
            <v>Cases Macbook</v>
          </cell>
          <cell r="G539" t="str">
            <v>Macbook</v>
          </cell>
          <cell r="H539" t="str">
            <v>MacBook Air 13" M4/M3/M2</v>
          </cell>
          <cell r="I539">
            <v>503.81</v>
          </cell>
          <cell r="J539">
            <v>0.41499539539539543</v>
          </cell>
          <cell r="K539">
            <v>999</v>
          </cell>
          <cell r="L539" t="str">
            <v>MacStore</v>
          </cell>
          <cell r="M539" t="str">
            <v>Active</v>
          </cell>
          <cell r="N539" t="str">
            <v>150225-9992-M</v>
          </cell>
        </row>
        <row r="540">
          <cell r="A540" t="str">
            <v>Speck</v>
          </cell>
          <cell r="B540" t="str">
            <v>CARSPK107</v>
          </cell>
          <cell r="C540" t="str">
            <v>150225-3085</v>
          </cell>
          <cell r="D540" t="str">
            <v>840168528134</v>
          </cell>
          <cell r="E540" t="str">
            <v>Speck Smartshell Case for Macbook Air 13" M2 2022 - Obsidian</v>
          </cell>
          <cell r="F540" t="str">
            <v>Cases Macbook</v>
          </cell>
          <cell r="G540" t="str">
            <v>Macbook</v>
          </cell>
          <cell r="H540" t="str">
            <v>MacBook Air 13" M4/M3/M2</v>
          </cell>
          <cell r="I540">
            <v>503.81</v>
          </cell>
          <cell r="J540">
            <v>0.41499539539539543</v>
          </cell>
          <cell r="K540">
            <v>999</v>
          </cell>
          <cell r="L540" t="str">
            <v>MacStore</v>
          </cell>
          <cell r="M540" t="str">
            <v>Active</v>
          </cell>
          <cell r="N540" t="str">
            <v>150225-3085-M</v>
          </cell>
        </row>
        <row r="541">
          <cell r="A541" t="str">
            <v>Tech21</v>
          </cell>
          <cell r="B541" t="str">
            <v>FUNTEC129</v>
          </cell>
          <cell r="C541" t="str">
            <v>T21-11240</v>
          </cell>
          <cell r="D541" t="str">
            <v>5056586746745</v>
          </cell>
          <cell r="E541" t="str">
            <v>Tech21 EvoLite for AirPods 4 - Clear</v>
          </cell>
          <cell r="F541" t="str">
            <v>Cases Airpods</v>
          </cell>
          <cell r="G541" t="str">
            <v>Airpods</v>
          </cell>
          <cell r="H541" t="str">
            <v>Airpods 4</v>
          </cell>
          <cell r="I541">
            <v>226.43</v>
          </cell>
          <cell r="J541">
            <v>0.41501380846325175</v>
          </cell>
          <cell r="K541">
            <v>449</v>
          </cell>
          <cell r="L541" t="str">
            <v>MacStore</v>
          </cell>
          <cell r="M541" t="str">
            <v>Active</v>
          </cell>
          <cell r="N541" t="str">
            <v>T21-11240</v>
          </cell>
        </row>
        <row r="542">
          <cell r="A542" t="str">
            <v>Tech21</v>
          </cell>
          <cell r="B542" t="str">
            <v>FUNTEC125</v>
          </cell>
          <cell r="C542" t="str">
            <v>T21-10201</v>
          </cell>
          <cell r="D542" t="str">
            <v>5056586731871</v>
          </cell>
          <cell r="E542" t="str">
            <v>Tech21 EvoMax for iPad 10th Gen - Black (w/Handstrap)</v>
          </cell>
          <cell r="F542" t="str">
            <v>Cases iPad</v>
          </cell>
          <cell r="G542" t="str">
            <v>iPad</v>
          </cell>
          <cell r="H542" t="str">
            <v>iPad 10th / 11 th</v>
          </cell>
          <cell r="I542">
            <v>1099.97</v>
          </cell>
          <cell r="J542">
            <v>0.36169824912456239</v>
          </cell>
          <cell r="K542">
            <v>1999</v>
          </cell>
          <cell r="L542" t="str">
            <v>MacStore</v>
          </cell>
          <cell r="M542" t="str">
            <v>Discontinued</v>
          </cell>
          <cell r="N542" t="str">
            <v>T21-10201</v>
          </cell>
        </row>
        <row r="543">
          <cell r="A543" t="str">
            <v>Tech21</v>
          </cell>
          <cell r="B543" t="str">
            <v>FUNTEC126</v>
          </cell>
          <cell r="C543" t="str">
            <v>T21-10210</v>
          </cell>
          <cell r="D543" t="str">
            <v>5056586718872</v>
          </cell>
          <cell r="E543" t="str">
            <v>Tech21 EvoFolio for iPad 10th Gen - Teal</v>
          </cell>
          <cell r="F543" t="str">
            <v>Cases iPad</v>
          </cell>
          <cell r="G543" t="str">
            <v>iPad</v>
          </cell>
          <cell r="H543" t="str">
            <v>iPad 10th / 11 th</v>
          </cell>
          <cell r="I543">
            <v>656.36</v>
          </cell>
          <cell r="J543">
            <v>0.3649894912427023</v>
          </cell>
          <cell r="K543">
            <v>1199</v>
          </cell>
          <cell r="L543" t="str">
            <v>MacStore</v>
          </cell>
          <cell r="M543" t="str">
            <v>Discontinued</v>
          </cell>
          <cell r="N543" t="str">
            <v>T21-10210</v>
          </cell>
        </row>
        <row r="544">
          <cell r="A544" t="str">
            <v>Tech21</v>
          </cell>
          <cell r="B544" t="str">
            <v>FUNTEC127</v>
          </cell>
          <cell r="C544" t="str">
            <v>T21-10208</v>
          </cell>
          <cell r="D544" t="str">
            <v>5056586718810</v>
          </cell>
          <cell r="E544" t="str">
            <v>Tech21 EvoFolio for iPad 10th Gen - Blue</v>
          </cell>
          <cell r="F544" t="str">
            <v>Cases iPad</v>
          </cell>
          <cell r="G544" t="str">
            <v>iPad</v>
          </cell>
          <cell r="H544" t="str">
            <v>iPad 10th / 11 th</v>
          </cell>
          <cell r="I544">
            <v>656.36</v>
          </cell>
          <cell r="J544">
            <v>0.3649894912427023</v>
          </cell>
          <cell r="K544">
            <v>1199</v>
          </cell>
          <cell r="L544" t="str">
            <v>MacStore</v>
          </cell>
          <cell r="M544" t="str">
            <v>Discontinued</v>
          </cell>
          <cell r="N544" t="str">
            <v>T21-10208</v>
          </cell>
        </row>
        <row r="545">
          <cell r="A545" t="str">
            <v>Tech21</v>
          </cell>
          <cell r="B545" t="str">
            <v>FUNTEC128</v>
          </cell>
          <cell r="C545" t="str">
            <v>T21-10424</v>
          </cell>
          <cell r="D545" t="str">
            <v>5056586719688</v>
          </cell>
          <cell r="E545" t="str">
            <v>Tech21 EvoFolio for iPad 10th/11th Gen - Tan</v>
          </cell>
          <cell r="F545" t="str">
            <v>Cases iPad</v>
          </cell>
          <cell r="G545" t="str">
            <v>iPad</v>
          </cell>
          <cell r="H545" t="str">
            <v>iPad 10th / 11 th</v>
          </cell>
          <cell r="I545">
            <v>656.36</v>
          </cell>
          <cell r="J545">
            <v>0.3649894912427023</v>
          </cell>
          <cell r="K545">
            <v>1199</v>
          </cell>
          <cell r="L545" t="str">
            <v>MacStore</v>
          </cell>
          <cell r="M545" t="str">
            <v>Discontinued</v>
          </cell>
          <cell r="N545" t="str">
            <v>T21-10424</v>
          </cell>
        </row>
        <row r="546">
          <cell r="A546" t="str">
            <v>Tech21</v>
          </cell>
          <cell r="B546" t="str">
            <v>FUNTEC108</v>
          </cell>
          <cell r="C546" t="str">
            <v>T21-7263</v>
          </cell>
          <cell r="D546" t="str">
            <v>5056234729854</v>
          </cell>
          <cell r="E546" t="str">
            <v>Tech21 Apple iPhone 11 Studio Colour Case - Black</v>
          </cell>
          <cell r="F546" t="str">
            <v>Cases iPhone</v>
          </cell>
          <cell r="G546" t="str">
            <v>iPhone 11</v>
          </cell>
          <cell r="H546" t="str">
            <v>iPhone 11</v>
          </cell>
          <cell r="I546">
            <v>206.38</v>
          </cell>
          <cell r="J546">
            <v>0.39999799498746869</v>
          </cell>
          <cell r="K546">
            <v>399</v>
          </cell>
          <cell r="L546" t="str">
            <v>MacStore</v>
          </cell>
          <cell r="M546" t="str">
            <v>Discontinued</v>
          </cell>
          <cell r="N546" t="str">
            <v>T21-7263-M</v>
          </cell>
        </row>
        <row r="547">
          <cell r="A547" t="str">
            <v>Tech21</v>
          </cell>
          <cell r="B547" t="str">
            <v>FUNTEC109</v>
          </cell>
          <cell r="C547" t="str">
            <v>T21-8632</v>
          </cell>
          <cell r="D547" t="str">
            <v>5056234763650</v>
          </cell>
          <cell r="E547" t="str">
            <v>Tech21 Evo Clear Case for iPhone 11 - Clear</v>
          </cell>
          <cell r="F547" t="str">
            <v>Cases iPhone</v>
          </cell>
          <cell r="G547" t="str">
            <v>iPhone 11</v>
          </cell>
          <cell r="H547" t="str">
            <v>iPhone 11</v>
          </cell>
          <cell r="I547">
            <v>171.98</v>
          </cell>
          <cell r="J547">
            <v>0.5</v>
          </cell>
          <cell r="K547">
            <v>399</v>
          </cell>
          <cell r="L547" t="str">
            <v>MacStore</v>
          </cell>
          <cell r="M547" t="str">
            <v>Discontinued</v>
          </cell>
          <cell r="N547" t="str">
            <v>T21-8632</v>
          </cell>
        </row>
        <row r="548">
          <cell r="A548" t="str">
            <v>Tech21</v>
          </cell>
          <cell r="B548" t="str">
            <v>FUNTEC118</v>
          </cell>
          <cell r="C548" t="str">
            <v>T21-9054</v>
          </cell>
          <cell r="D548" t="str">
            <v>5056234773741</v>
          </cell>
          <cell r="E548" t="str">
            <v>Tech21 Evo Lite Negro Iphone 12 Pro/12</v>
          </cell>
          <cell r="F548" t="str">
            <v>Cases iPhone</v>
          </cell>
          <cell r="G548" t="str">
            <v>iPhone 12</v>
          </cell>
          <cell r="H548" t="str">
            <v>iPhone 12/iPhone 12 Pro</v>
          </cell>
          <cell r="I548">
            <v>206.38</v>
          </cell>
          <cell r="J548">
            <v>0.39999799498746869</v>
          </cell>
          <cell r="K548">
            <v>399</v>
          </cell>
          <cell r="L548" t="str">
            <v>MacStore</v>
          </cell>
          <cell r="M548" t="str">
            <v>Discontinued</v>
          </cell>
          <cell r="N548" t="str">
            <v>T21-9054-M</v>
          </cell>
        </row>
        <row r="549">
          <cell r="A549" t="str">
            <v>Tech21</v>
          </cell>
          <cell r="B549" t="str">
            <v>FUNTEC130</v>
          </cell>
          <cell r="C549" t="str">
            <v>T21-10260</v>
          </cell>
          <cell r="D549" t="str">
            <v>5056586721094</v>
          </cell>
          <cell r="E549" t="str">
            <v>Tech21 EvoLite for iPhone 15 - Clear</v>
          </cell>
          <cell r="F549" t="str">
            <v>Cases iPhone</v>
          </cell>
          <cell r="G549" t="str">
            <v>iPhone 15</v>
          </cell>
          <cell r="H549" t="str">
            <v>iPhone 16e / 15 / 14 / 13</v>
          </cell>
          <cell r="I549">
            <v>251.63</v>
          </cell>
          <cell r="J549">
            <v>0.41504849699398805</v>
          </cell>
          <cell r="K549">
            <v>499</v>
          </cell>
          <cell r="L549" t="str">
            <v>MacStore</v>
          </cell>
          <cell r="M549" t="str">
            <v>Discontinued</v>
          </cell>
          <cell r="N549" t="str">
            <v>T21-10260</v>
          </cell>
        </row>
        <row r="550">
          <cell r="A550" t="str">
            <v>Tech21</v>
          </cell>
          <cell r="B550" t="str">
            <v>FUNTEC120</v>
          </cell>
          <cell r="C550" t="str">
            <v>T21-10860</v>
          </cell>
          <cell r="D550" t="str">
            <v>5056586735343</v>
          </cell>
          <cell r="E550" t="str">
            <v>Tech21 EvoCrystal w/MagSafe for iPhone 16 - Pink</v>
          </cell>
          <cell r="F550" t="str">
            <v>Cases iPhone</v>
          </cell>
          <cell r="G550" t="str">
            <v>iPhone 16</v>
          </cell>
          <cell r="H550" t="str">
            <v>iPhone 16</v>
          </cell>
          <cell r="I550">
            <v>503.81</v>
          </cell>
          <cell r="J550">
            <v>0.41499539539539543</v>
          </cell>
          <cell r="K550">
            <v>999</v>
          </cell>
          <cell r="L550" t="str">
            <v>MacStore</v>
          </cell>
          <cell r="M550" t="str">
            <v>Discontinued</v>
          </cell>
          <cell r="N550" t="str">
            <v>T21-10860</v>
          </cell>
        </row>
        <row r="551">
          <cell r="A551" t="str">
            <v>Tech21</v>
          </cell>
          <cell r="B551" t="str">
            <v>FUNTEC119</v>
          </cell>
          <cell r="C551" t="str">
            <v>T21-10858</v>
          </cell>
          <cell r="D551" t="str">
            <v>5056586735282</v>
          </cell>
          <cell r="E551" t="str">
            <v>Tech21 EvoCrystal w/MagSafe for iPhone 16 - Blue</v>
          </cell>
          <cell r="F551" t="str">
            <v>Cases iPhone</v>
          </cell>
          <cell r="G551" t="str">
            <v>iPhone 16</v>
          </cell>
          <cell r="H551" t="str">
            <v>iPhone 16</v>
          </cell>
          <cell r="I551">
            <v>503.81</v>
          </cell>
          <cell r="J551">
            <v>0.41499539539539543</v>
          </cell>
          <cell r="K551">
            <v>999</v>
          </cell>
          <cell r="L551" t="str">
            <v>MacStore</v>
          </cell>
          <cell r="M551" t="str">
            <v>Discontinued</v>
          </cell>
          <cell r="N551" t="str">
            <v>T21-10858</v>
          </cell>
        </row>
        <row r="552">
          <cell r="A552" t="str">
            <v>Tech21</v>
          </cell>
          <cell r="B552" t="str">
            <v>FUNTEC124</v>
          </cell>
          <cell r="C552" t="str">
            <v>T21-10992</v>
          </cell>
          <cell r="D552" t="str">
            <v>5056586739303</v>
          </cell>
          <cell r="E552" t="str">
            <v>Tech21 EvoPro w/MagSafe for iPhone 16 Pro - Clear/Black</v>
          </cell>
          <cell r="F552" t="str">
            <v>Cases iPhone</v>
          </cell>
          <cell r="G552" t="str">
            <v>iPhone 16</v>
          </cell>
          <cell r="H552" t="str">
            <v>iPhone 16 Pro / iPhone 17</v>
          </cell>
          <cell r="I552">
            <v>604.66999999999996</v>
          </cell>
          <cell r="J552">
            <v>0.41499816513761478</v>
          </cell>
          <cell r="K552">
            <v>1199</v>
          </cell>
          <cell r="L552" t="str">
            <v>MacStore</v>
          </cell>
          <cell r="M552" t="str">
            <v>Discontinued</v>
          </cell>
          <cell r="N552" t="str">
            <v>T21-10992</v>
          </cell>
        </row>
        <row r="553">
          <cell r="A553" t="str">
            <v>Tech21</v>
          </cell>
          <cell r="B553" t="str">
            <v>FUNTEC122</v>
          </cell>
          <cell r="C553" t="str">
            <v>T21-10989</v>
          </cell>
          <cell r="D553" t="str">
            <v>5056586739211</v>
          </cell>
          <cell r="E553" t="str">
            <v>Tech21 EvoPro w/MagSafe for iPhone 16 Pro - Clear iPhone 16 Pro</v>
          </cell>
          <cell r="F553" t="str">
            <v>Cases iPhone</v>
          </cell>
          <cell r="G553" t="str">
            <v>iPhone 16</v>
          </cell>
          <cell r="H553" t="str">
            <v>iPhone 16 Pro / iPhone 17</v>
          </cell>
          <cell r="I553">
            <v>604.66999999999996</v>
          </cell>
          <cell r="J553">
            <v>0.41499816513761478</v>
          </cell>
          <cell r="K553">
            <v>1199</v>
          </cell>
          <cell r="L553" t="str">
            <v>MacStore</v>
          </cell>
          <cell r="M553" t="str">
            <v>Discontinued</v>
          </cell>
          <cell r="N553" t="str">
            <v>T21-10989</v>
          </cell>
        </row>
        <row r="554">
          <cell r="A554" t="str">
            <v>Tech21</v>
          </cell>
          <cell r="B554" t="str">
            <v>FUNTEC123</v>
          </cell>
          <cell r="C554" t="str">
            <v>T21-11051</v>
          </cell>
          <cell r="D554" t="str">
            <v>5056586741078</v>
          </cell>
          <cell r="E554" t="str">
            <v>Tech21 EvoPro w/MagSafe for iPhone 16 Pro Max - Clear/Black</v>
          </cell>
          <cell r="F554" t="str">
            <v>Cases iPhone</v>
          </cell>
          <cell r="G554" t="str">
            <v>iPhone 16</v>
          </cell>
          <cell r="H554" t="str">
            <v>iPhone 16 Pro Max</v>
          </cell>
          <cell r="I554">
            <v>604.66999999999996</v>
          </cell>
          <cell r="J554">
            <v>0.41499816513761478</v>
          </cell>
          <cell r="K554">
            <v>1199</v>
          </cell>
          <cell r="L554" t="str">
            <v>MacStore</v>
          </cell>
          <cell r="M554" t="str">
            <v>Discontinued</v>
          </cell>
          <cell r="N554" t="str">
            <v>T21-11051</v>
          </cell>
        </row>
        <row r="555">
          <cell r="A555" t="str">
            <v>Tech21</v>
          </cell>
          <cell r="B555" t="str">
            <v>FUNTEC121</v>
          </cell>
          <cell r="C555" t="str">
            <v>T21-11048</v>
          </cell>
          <cell r="D555" t="str">
            <v>5056586740989</v>
          </cell>
          <cell r="E555" t="str">
            <v>Tech21 EvoPro w/MagSafe for iPhone 16 Pro Max - Clear</v>
          </cell>
          <cell r="F555" t="str">
            <v>Cases iPhone</v>
          </cell>
          <cell r="G555" t="str">
            <v>iPhone 16</v>
          </cell>
          <cell r="H555" t="str">
            <v>iPhone 16 Pro Max</v>
          </cell>
          <cell r="I555">
            <v>604.66999999999996</v>
          </cell>
          <cell r="J555">
            <v>0.41499816513761478</v>
          </cell>
          <cell r="K555">
            <v>1199</v>
          </cell>
          <cell r="L555" t="str">
            <v>MacStore</v>
          </cell>
          <cell r="M555" t="str">
            <v>Discontinued</v>
          </cell>
          <cell r="N555" t="str">
            <v>T21-11048</v>
          </cell>
        </row>
        <row r="556">
          <cell r="A556" t="str">
            <v>Tech21</v>
          </cell>
          <cell r="B556" t="str">
            <v>FUNTEC131</v>
          </cell>
          <cell r="C556" t="str">
            <v>T21-11304</v>
          </cell>
          <cell r="D556" t="str">
            <v>840459607043</v>
          </cell>
          <cell r="E556" t="str">
            <v>Tech21 EvoCrystal iPhone 17 Black</v>
          </cell>
          <cell r="F556" t="str">
            <v>Cases iPhone</v>
          </cell>
          <cell r="G556" t="str">
            <v>iPhone 17</v>
          </cell>
          <cell r="H556" t="str">
            <v>iPhone 17</v>
          </cell>
          <cell r="I556">
            <v>453.38</v>
          </cell>
          <cell r="J556">
            <v>0.41499354838709679</v>
          </cell>
          <cell r="K556">
            <v>899</v>
          </cell>
          <cell r="L556" t="str">
            <v>MacStore</v>
          </cell>
          <cell r="M556" t="str">
            <v>Discontinued</v>
          </cell>
          <cell r="N556" t="str">
            <v>T21-11304</v>
          </cell>
        </row>
        <row r="557">
          <cell r="A557" t="str">
            <v>Tech21</v>
          </cell>
          <cell r="B557" t="str">
            <v>FUNTEC135</v>
          </cell>
          <cell r="C557" t="str">
            <v>T21-11344</v>
          </cell>
          <cell r="D557" t="str">
            <v>840459607487</v>
          </cell>
          <cell r="E557" t="str">
            <v>Tech21 EvoCrystal iPhone 17 Iridescent</v>
          </cell>
          <cell r="F557" t="str">
            <v>Cases iPhone</v>
          </cell>
          <cell r="G557" t="str">
            <v>iPhone 17</v>
          </cell>
          <cell r="H557" t="str">
            <v>iPhone 17</v>
          </cell>
          <cell r="I557">
            <v>453.38</v>
          </cell>
          <cell r="J557">
            <v>0.41499354838709679</v>
          </cell>
          <cell r="K557">
            <v>899</v>
          </cell>
          <cell r="L557" t="str">
            <v>MacStore</v>
          </cell>
          <cell r="M557" t="str">
            <v>Discontinued</v>
          </cell>
          <cell r="N557" t="str">
            <v>T21-11344</v>
          </cell>
        </row>
        <row r="558">
          <cell r="A558" t="str">
            <v>Tech21</v>
          </cell>
          <cell r="B558" t="str">
            <v>FUNTEC132</v>
          </cell>
          <cell r="C558" t="str">
            <v>T21-11348</v>
          </cell>
          <cell r="D558" t="str">
            <v>840459607524</v>
          </cell>
          <cell r="E558" t="str">
            <v>Tech21 EvoCrystal iPhone 17 Air Black</v>
          </cell>
          <cell r="F558" t="str">
            <v>Cases iPhone</v>
          </cell>
          <cell r="G558" t="str">
            <v>iPhone 17</v>
          </cell>
          <cell r="H558" t="str">
            <v>iPhone 17 Air</v>
          </cell>
          <cell r="I558">
            <v>453.38</v>
          </cell>
          <cell r="J558">
            <v>0.41499354838709679</v>
          </cell>
          <cell r="K558">
            <v>899</v>
          </cell>
          <cell r="L558" t="str">
            <v>MacStore</v>
          </cell>
          <cell r="M558" t="str">
            <v>Discontinued</v>
          </cell>
          <cell r="N558" t="str">
            <v>T21-11348</v>
          </cell>
        </row>
        <row r="559">
          <cell r="A559" t="str">
            <v>Tech21</v>
          </cell>
          <cell r="B559" t="str">
            <v>FUNTEC136</v>
          </cell>
          <cell r="C559" t="str">
            <v>T21-11349</v>
          </cell>
          <cell r="D559" t="str">
            <v>840459607531</v>
          </cell>
          <cell r="E559" t="str">
            <v>Tech21 EvoCrystal iPhone 17 Air Iridescent</v>
          </cell>
          <cell r="F559" t="str">
            <v>Cases iPhone</v>
          </cell>
          <cell r="G559" t="str">
            <v>iPhone 17</v>
          </cell>
          <cell r="H559" t="str">
            <v>iPhone 17 Air</v>
          </cell>
          <cell r="I559">
            <v>453.38</v>
          </cell>
          <cell r="J559">
            <v>0.41499354838709679</v>
          </cell>
          <cell r="K559">
            <v>899</v>
          </cell>
          <cell r="L559" t="str">
            <v>MacStore</v>
          </cell>
          <cell r="M559" t="str">
            <v>Discontinued</v>
          </cell>
          <cell r="N559" t="str">
            <v>T21-11349</v>
          </cell>
        </row>
        <row r="560">
          <cell r="A560" t="str">
            <v>Tech21</v>
          </cell>
          <cell r="B560" t="str">
            <v>FUNTEC133</v>
          </cell>
          <cell r="C560" t="str">
            <v>T21-11324</v>
          </cell>
          <cell r="D560" t="str">
            <v>840459607265</v>
          </cell>
          <cell r="E560" t="str">
            <v>Tech21 EvoCrystal iPhone 17 Pro Black</v>
          </cell>
          <cell r="F560" t="str">
            <v>Cases iPhone</v>
          </cell>
          <cell r="G560" t="str">
            <v>iPhone 17</v>
          </cell>
          <cell r="H560" t="str">
            <v>iPhone 17 Pro</v>
          </cell>
          <cell r="I560">
            <v>453.38</v>
          </cell>
          <cell r="J560">
            <v>0.41499354838709679</v>
          </cell>
          <cell r="K560">
            <v>899</v>
          </cell>
          <cell r="L560" t="str">
            <v>MacStore</v>
          </cell>
          <cell r="M560" t="str">
            <v>Discontinued</v>
          </cell>
          <cell r="N560" t="str">
            <v>T21-11324</v>
          </cell>
        </row>
        <row r="561">
          <cell r="A561" t="str">
            <v>Tech21</v>
          </cell>
          <cell r="B561" t="str">
            <v>FUNTEC137</v>
          </cell>
          <cell r="C561" t="str">
            <v>T21-11353</v>
          </cell>
          <cell r="D561" t="str">
            <v>840459607579</v>
          </cell>
          <cell r="E561" t="str">
            <v>Tech21 EvoCrystal iPhone 17 Pro Iridescent</v>
          </cell>
          <cell r="F561" t="str">
            <v>Cases iPhone</v>
          </cell>
          <cell r="G561" t="str">
            <v>iPhone 17</v>
          </cell>
          <cell r="H561" t="str">
            <v>iPhone 17 Pro</v>
          </cell>
          <cell r="I561">
            <v>453.38</v>
          </cell>
          <cell r="J561">
            <v>0.41499354838709679</v>
          </cell>
          <cell r="K561">
            <v>899</v>
          </cell>
          <cell r="L561" t="str">
            <v>MacStore</v>
          </cell>
          <cell r="M561" t="str">
            <v>Active</v>
          </cell>
          <cell r="N561" t="str">
            <v>T21-11353</v>
          </cell>
        </row>
        <row r="562">
          <cell r="A562" t="str">
            <v>Tech21</v>
          </cell>
          <cell r="B562" t="str">
            <v>FUNTEC134</v>
          </cell>
          <cell r="C562" t="str">
            <v>T21-11335</v>
          </cell>
          <cell r="D562" t="str">
            <v>840459607388</v>
          </cell>
          <cell r="E562" t="str">
            <v>Tech21 EvoCrystal iPhone 17 Pro Max Black</v>
          </cell>
          <cell r="F562" t="str">
            <v>Cases iPhone</v>
          </cell>
          <cell r="G562" t="str">
            <v>iPhone 17</v>
          </cell>
          <cell r="H562" t="str">
            <v>iPhone 17 Pro Max</v>
          </cell>
          <cell r="I562">
            <v>453.38</v>
          </cell>
          <cell r="J562">
            <v>0.41499354838709679</v>
          </cell>
          <cell r="K562">
            <v>899</v>
          </cell>
          <cell r="L562" t="str">
            <v>MacStore</v>
          </cell>
          <cell r="M562" t="str">
            <v>Active</v>
          </cell>
          <cell r="N562" t="str">
            <v>T21-11335</v>
          </cell>
        </row>
        <row r="563">
          <cell r="A563" t="str">
            <v>Tech21</v>
          </cell>
          <cell r="B563" t="str">
            <v>FUNTEC138</v>
          </cell>
          <cell r="C563" t="str">
            <v>T21-11357</v>
          </cell>
          <cell r="D563" t="str">
            <v>840459607616</v>
          </cell>
          <cell r="E563" t="str">
            <v>Tech21 EvoCrystal iPhone 17 Pro Max Iridescent</v>
          </cell>
          <cell r="F563" t="str">
            <v>Cases iPhone</v>
          </cell>
          <cell r="G563" t="str">
            <v>iPhone 17</v>
          </cell>
          <cell r="H563" t="str">
            <v>iPhone 17 Pro Max</v>
          </cell>
          <cell r="I563">
            <v>453.38</v>
          </cell>
          <cell r="J563">
            <v>0.41499354838709679</v>
          </cell>
          <cell r="K563">
            <v>899</v>
          </cell>
          <cell r="L563" t="str">
            <v>MacStore</v>
          </cell>
          <cell r="M563" t="str">
            <v>Active</v>
          </cell>
          <cell r="N563" t="str">
            <v>T21-11357</v>
          </cell>
        </row>
        <row r="564">
          <cell r="A564" t="str">
            <v>Tech21</v>
          </cell>
          <cell r="B564" t="str">
            <v>CARTEC003</v>
          </cell>
          <cell r="C564" t="str">
            <v>T21-10059</v>
          </cell>
          <cell r="D564" t="str">
            <v>5056586714584</v>
          </cell>
          <cell r="E564" t="str">
            <v>Tech21 EvoHardshell for MacBook Air 13" (2022-2024) - Clear</v>
          </cell>
          <cell r="F564" t="str">
            <v>Cases Macbook</v>
          </cell>
          <cell r="G564" t="str">
            <v>MacBook</v>
          </cell>
          <cell r="H564" t="str">
            <v>MacBook Air 13" M4/M3/M2</v>
          </cell>
          <cell r="I564">
            <v>656.35</v>
          </cell>
          <cell r="J564">
            <v>0.36499999999999999</v>
          </cell>
          <cell r="K564">
            <v>1199</v>
          </cell>
          <cell r="L564" t="str">
            <v>MacStore</v>
          </cell>
          <cell r="M564" t="str">
            <v>Discontinued</v>
          </cell>
          <cell r="N564" t="str">
            <v>T21-10059</v>
          </cell>
        </row>
        <row r="565">
          <cell r="A565" t="str">
            <v>Tech21</v>
          </cell>
          <cell r="B565" t="str">
            <v>CARTEC004</v>
          </cell>
          <cell r="C565" t="str">
            <v>T21-10067</v>
          </cell>
          <cell r="D565" t="str">
            <v>5056586714768</v>
          </cell>
          <cell r="E565" t="str">
            <v>Tech21 EvoHardshell for MacBook Air 13" (2022-2024) - Pewter Blue</v>
          </cell>
          <cell r="F565" t="str">
            <v>Cases Macbook</v>
          </cell>
          <cell r="G565" t="str">
            <v>MacBook</v>
          </cell>
          <cell r="H565" t="str">
            <v>MacBook Air 13" M4/M3/M2</v>
          </cell>
          <cell r="I565">
            <v>656.35</v>
          </cell>
          <cell r="J565">
            <v>0.36499999999999999</v>
          </cell>
          <cell r="K565">
            <v>1199</v>
          </cell>
          <cell r="L565" t="str">
            <v>MacStore</v>
          </cell>
          <cell r="M565" t="str">
            <v>Discontinued</v>
          </cell>
          <cell r="N565" t="str">
            <v>T21-10067</v>
          </cell>
        </row>
        <row r="566">
          <cell r="A566" t="str">
            <v>Vivitar</v>
          </cell>
          <cell r="B566" t="str">
            <v>ACCVIV003</v>
          </cell>
          <cell r="C566" t="str">
            <v>VIVTR595VG-BLK</v>
          </cell>
          <cell r="D566" t="str">
            <v>681066017258</v>
          </cell>
          <cell r="E566" t="str">
            <v>Selfie, Tripie, Base De Teléfono Con Control Remoto.</v>
          </cell>
          <cell r="F566" t="str">
            <v>Hardware</v>
          </cell>
          <cell r="G566" t="str">
            <v>STAND</v>
          </cell>
          <cell r="H566" t="str">
            <v>STAND</v>
          </cell>
          <cell r="I566">
            <v>355.13</v>
          </cell>
          <cell r="J566">
            <v>0.44999893190921236</v>
          </cell>
          <cell r="K566">
            <v>749</v>
          </cell>
          <cell r="L566" t="str">
            <v>MacStore</v>
          </cell>
          <cell r="M566" t="str">
            <v>Discontinued</v>
          </cell>
          <cell r="N566" t="str">
            <v>VIVTR595VG-BLK</v>
          </cell>
        </row>
        <row r="567">
          <cell r="A567" t="str">
            <v>Vivitar</v>
          </cell>
          <cell r="B567" t="str">
            <v>ACCVIV001</v>
          </cell>
          <cell r="C567" t="str">
            <v>VIVTR13KIT-NOC</v>
          </cell>
          <cell r="D567" t="str">
            <v>681066016190</v>
          </cell>
          <cell r="E567" t="str">
            <v>Vivitar Tripié Plegable De Bolsillo Con Control Bt, Extensible Hasta 16". Color Negro</v>
          </cell>
          <cell r="F567" t="str">
            <v>Hardware</v>
          </cell>
          <cell r="G567" t="str">
            <v>Tripod</v>
          </cell>
          <cell r="H567" t="str">
            <v>16"</v>
          </cell>
          <cell r="I567">
            <v>189.18</v>
          </cell>
          <cell r="J567">
            <v>0.45000300751879696</v>
          </cell>
          <cell r="K567">
            <v>399</v>
          </cell>
          <cell r="L567" t="str">
            <v>MacStore</v>
          </cell>
          <cell r="M567" t="str">
            <v>Discontinued</v>
          </cell>
          <cell r="N567" t="str">
            <v>VIVTR13KIT-NOC</v>
          </cell>
        </row>
        <row r="568">
          <cell r="A568" t="str">
            <v>Vivitar</v>
          </cell>
          <cell r="B568" t="str">
            <v>EXHVIV001</v>
          </cell>
          <cell r="C568" t="str">
            <v>VIVTR13KIT-NOC</v>
          </cell>
          <cell r="D568" t="str">
            <v>681066016190</v>
          </cell>
          <cell r="E568" t="str">
            <v>Vivitar Tripié Plegable De Bolsillo Con Control Bt, Extensible Hasta 16". Color Negro</v>
          </cell>
          <cell r="F568" t="str">
            <v>Hardware</v>
          </cell>
          <cell r="G568" t="str">
            <v>Tripod</v>
          </cell>
          <cell r="H568" t="str">
            <v>16"</v>
          </cell>
          <cell r="I568">
            <v>0.01</v>
          </cell>
          <cell r="J568">
            <v>0.27500000000000002</v>
          </cell>
          <cell r="K568">
            <v>1.6E-2</v>
          </cell>
          <cell r="L568" t="str">
            <v>MacStore</v>
          </cell>
          <cell r="M568" t="str">
            <v>Exhibición</v>
          </cell>
          <cell r="N568" t="str">
            <v>VIVTR13KIT-NOC</v>
          </cell>
        </row>
        <row r="569">
          <cell r="A569" t="str">
            <v>Vivitar</v>
          </cell>
          <cell r="B569" t="str">
            <v>ACCVIV002</v>
          </cell>
          <cell r="C569" t="str">
            <v>VIVVT4KIT1-NOC</v>
          </cell>
          <cell r="D569" t="str">
            <v>681066891681</v>
          </cell>
          <cell r="E569" t="str">
            <v>Vivitar Mini Soporte De Pistola. Combinación, De Soporte Para Teléfono, Selfie Stick Y Tripié En Un Solo</v>
          </cell>
          <cell r="F569" t="str">
            <v>Hardware</v>
          </cell>
          <cell r="G569" t="str">
            <v>Tripod</v>
          </cell>
          <cell r="H569" t="str">
            <v>PISTOL GRIP</v>
          </cell>
          <cell r="I569">
            <v>122.8</v>
          </cell>
          <cell r="J569">
            <v>0.4500077220077221</v>
          </cell>
          <cell r="K569">
            <v>259</v>
          </cell>
          <cell r="L569" t="str">
            <v>MacStore</v>
          </cell>
          <cell r="M569" t="str">
            <v>Discontinued</v>
          </cell>
          <cell r="N569" t="str">
            <v>VIVVT4KIT1-NOC</v>
          </cell>
        </row>
        <row r="570">
          <cell r="A570" t="str">
            <v>Vivitar</v>
          </cell>
          <cell r="B570" t="str">
            <v>EXHVIV000</v>
          </cell>
          <cell r="C570" t="str">
            <v>VIVVT4KIT1-NOC</v>
          </cell>
          <cell r="D570" t="str">
            <v>681066891681</v>
          </cell>
          <cell r="E570" t="str">
            <v>Vivitar Mini Soporte De Pistola. Combinación, De Soporte Para Teléfono, Selfie Stick Y Tripié En Un Solo</v>
          </cell>
          <cell r="F570" t="str">
            <v>Hardware</v>
          </cell>
          <cell r="G570" t="str">
            <v>Tripod</v>
          </cell>
          <cell r="H570" t="str">
            <v>PISTOL GRIP</v>
          </cell>
          <cell r="I570">
            <v>0.01</v>
          </cell>
          <cell r="J570">
            <v>0.27500000000000002</v>
          </cell>
          <cell r="K570">
            <v>1.6E-2</v>
          </cell>
          <cell r="L570" t="str">
            <v>MacStore</v>
          </cell>
          <cell r="M570" t="str">
            <v>Exhibición</v>
          </cell>
          <cell r="N570" t="str">
            <v>VIVVT4KIT1-NOC</v>
          </cell>
        </row>
        <row r="571">
          <cell r="A571" t="str">
            <v>Tech21</v>
          </cell>
          <cell r="B571" t="str">
            <v>FUNTEC139</v>
          </cell>
          <cell r="C571" t="str">
            <v>T21-11515</v>
          </cell>
          <cell r="D571" t="str">
            <v>840459609283</v>
          </cell>
          <cell r="E571" t="str">
            <v>Tech21 FlexFolio - Apple iPad Air 10.9-11-inch (2020-2025) / iPad Pro 11-inch (2018-2021) Case - Clear</v>
          </cell>
          <cell r="F571" t="str">
            <v>Cases iPad</v>
          </cell>
          <cell r="G571" t="str">
            <v>iPad</v>
          </cell>
          <cell r="H571" t="str">
            <v>iPad Pro 11" 2/3/4/Air 4/5</v>
          </cell>
          <cell r="I571">
            <v>711.09</v>
          </cell>
          <cell r="J571">
            <v>0.36500046189376445</v>
          </cell>
          <cell r="K571">
            <v>1299</v>
          </cell>
          <cell r="L571" t="str">
            <v>MacStore</v>
          </cell>
          <cell r="M571" t="str">
            <v>Active</v>
          </cell>
          <cell r="N571" t="str">
            <v>T21-11515</v>
          </cell>
        </row>
        <row r="572">
          <cell r="A572" t="str">
            <v>Tech21</v>
          </cell>
          <cell r="B572" t="str">
            <v>FUNTEC140</v>
          </cell>
          <cell r="C572" t="str">
            <v>T21-11516</v>
          </cell>
          <cell r="D572" t="str">
            <v>840459609290</v>
          </cell>
          <cell r="E572" t="str">
            <v>Tech21 FlexFolio - Apple iPad Air 10.9-11-inch (2020-2025) / iPad Pro 11-inch (2018-2021) Case - Tint</v>
          </cell>
          <cell r="F572" t="str">
            <v>Cases iPad</v>
          </cell>
          <cell r="G572" t="str">
            <v>iPad</v>
          </cell>
          <cell r="H572" t="str">
            <v>iPad Pro 11" 2/3/4/Air 4/5</v>
          </cell>
          <cell r="I572">
            <v>711.09</v>
          </cell>
          <cell r="J572">
            <v>0.36500046189376445</v>
          </cell>
          <cell r="K572">
            <v>1299</v>
          </cell>
          <cell r="L572" t="str">
            <v>MacStore</v>
          </cell>
          <cell r="M572" t="str">
            <v>Active</v>
          </cell>
          <cell r="N572" t="str">
            <v>T21-11516</v>
          </cell>
        </row>
        <row r="573">
          <cell r="A573" t="str">
            <v>Tech21</v>
          </cell>
          <cell r="B573" t="str">
            <v>CARTEC005</v>
          </cell>
          <cell r="C573" t="str">
            <v>T21-11443</v>
          </cell>
          <cell r="D573" t="str">
            <v>840459608569</v>
          </cell>
          <cell r="E573" t="str">
            <v>Tech21 Apple MacBook Air 13 EvoShell - Clear</v>
          </cell>
          <cell r="F573" t="str">
            <v>Cases Macbook</v>
          </cell>
          <cell r="G573" t="str">
            <v>MacBook</v>
          </cell>
          <cell r="H573" t="str">
            <v>MacBook Air 13" M4/M3/M2</v>
          </cell>
          <cell r="I573">
            <v>656.36</v>
          </cell>
          <cell r="J573">
            <v>0.36499999999999999</v>
          </cell>
          <cell r="K573">
            <v>1199</v>
          </cell>
          <cell r="L573" t="str">
            <v>MacStore</v>
          </cell>
          <cell r="M573" t="str">
            <v>Active</v>
          </cell>
          <cell r="N573" t="str">
            <v>T21-11443</v>
          </cell>
        </row>
        <row r="574">
          <cell r="A574" t="str">
            <v>Nomad</v>
          </cell>
          <cell r="B574">
            <v>856504014827</v>
          </cell>
          <cell r="C574" t="str">
            <v>NM014827858</v>
          </cell>
          <cell r="D574" t="str">
            <v>856504014827</v>
          </cell>
          <cell r="E574" t="str">
            <v>Nomad Rocky Point Band - 46mm/49mm | Atlantic | Black Hardware</v>
          </cell>
          <cell r="F574" t="str">
            <v>Straps</v>
          </cell>
          <cell r="G574" t="str">
            <v>APPLE WATCH</v>
          </cell>
          <cell r="H574" t="str">
            <v>49/45/44/42 mm</v>
          </cell>
          <cell r="I574">
            <v>775.43</v>
          </cell>
          <cell r="J574">
            <v>0.5</v>
          </cell>
          <cell r="K574">
            <v>1799</v>
          </cell>
          <cell r="L574" t="str">
            <v>iShop</v>
          </cell>
          <cell r="M574" t="str">
            <v>Active</v>
          </cell>
          <cell r="N574" t="str">
            <v>NM014827858</v>
          </cell>
        </row>
        <row r="575">
          <cell r="A575" t="str">
            <v>Cubitt</v>
          </cell>
          <cell r="B575" t="str">
            <v>B09WC6843J</v>
          </cell>
          <cell r="C575" t="str">
            <v>CT-SOUND8</v>
          </cell>
          <cell r="D575" t="str">
            <v>608011863272</v>
          </cell>
          <cell r="E575" t="str">
            <v>Cubitt Waterproof Speakers White</v>
          </cell>
          <cell r="F575" t="str">
            <v>Audio</v>
          </cell>
          <cell r="G575" t="str">
            <v>Speakers</v>
          </cell>
          <cell r="H575" t="str">
            <v>Cubitt</v>
          </cell>
          <cell r="I575">
            <v>857.90517241379314</v>
          </cell>
          <cell r="J575">
            <v>0.17</v>
          </cell>
          <cell r="K575">
            <v>1199</v>
          </cell>
          <cell r="L575" t="str">
            <v>Amazon</v>
          </cell>
          <cell r="M575" t="str">
            <v>Discontinued</v>
          </cell>
          <cell r="N575" t="str">
            <v>CT-SOUND8</v>
          </cell>
        </row>
        <row r="576">
          <cell r="A576" t="str">
            <v>Cubitt</v>
          </cell>
          <cell r="C576" t="str">
            <v>CT-SCALE7</v>
          </cell>
          <cell r="D576" t="str">
            <v>715834798534</v>
          </cell>
          <cell r="E576" t="str">
            <v>Cubitt Scale Alpine White</v>
          </cell>
          <cell r="F576" t="str">
            <v>Wearable</v>
          </cell>
          <cell r="G576" t="str">
            <v>Scale</v>
          </cell>
          <cell r="H576" t="str">
            <v>CT-SCALE</v>
          </cell>
          <cell r="I576">
            <v>714.80172413793105</v>
          </cell>
          <cell r="J576">
            <v>0.17</v>
          </cell>
          <cell r="K576">
            <v>999</v>
          </cell>
          <cell r="L576" t="str">
            <v>Amazon</v>
          </cell>
          <cell r="M576" t="str">
            <v>Discontinued</v>
          </cell>
          <cell r="N576" t="str">
            <v>CT-SCALE7</v>
          </cell>
        </row>
        <row r="577">
          <cell r="A577" t="str">
            <v>Cubitt</v>
          </cell>
          <cell r="C577" t="str">
            <v>CTK-7</v>
          </cell>
          <cell r="D577" t="str">
            <v>719284923652</v>
          </cell>
          <cell r="E577" t="str">
            <v>Cubitt Scale Mini Alpine White</v>
          </cell>
          <cell r="F577" t="str">
            <v>Wearable</v>
          </cell>
          <cell r="G577" t="str">
            <v>Scale</v>
          </cell>
          <cell r="H577" t="str">
            <v>CTK</v>
          </cell>
          <cell r="I577">
            <v>571.69827586206895</v>
          </cell>
          <cell r="J577">
            <v>0.17</v>
          </cell>
          <cell r="K577">
            <v>799</v>
          </cell>
          <cell r="L577" t="str">
            <v>Amazon</v>
          </cell>
          <cell r="M577" t="str">
            <v>Active</v>
          </cell>
          <cell r="N577" t="str">
            <v>CTK-7</v>
          </cell>
        </row>
        <row r="578">
          <cell r="A578" t="str">
            <v>Cubitt</v>
          </cell>
          <cell r="B578" t="str">
            <v>B09FKLQWYJ</v>
          </cell>
          <cell r="C578" t="str">
            <v>CT4G-11</v>
          </cell>
          <cell r="D578" t="str">
            <v>719284923928</v>
          </cell>
          <cell r="E578" t="str">
            <v>Cubitt CT4P Black</v>
          </cell>
          <cell r="F578" t="str">
            <v>Wearable</v>
          </cell>
          <cell r="G578" t="str">
            <v>Smartwatch</v>
          </cell>
          <cell r="H578" t="str">
            <v>CT4GPS</v>
          </cell>
          <cell r="I578">
            <v>2145.8362068965516</v>
          </cell>
          <cell r="J578">
            <v>0.17</v>
          </cell>
          <cell r="K578">
            <v>2999</v>
          </cell>
          <cell r="L578" t="str">
            <v>Amazon</v>
          </cell>
          <cell r="M578" t="str">
            <v>Active</v>
          </cell>
          <cell r="N578" t="str">
            <v>CT4G-11</v>
          </cell>
        </row>
        <row r="579">
          <cell r="A579" t="str">
            <v>Hypergear</v>
          </cell>
          <cell r="B579" t="str">
            <v>B09SVW2KM2</v>
          </cell>
          <cell r="C579">
            <v>15593</v>
          </cell>
          <cell r="D579" t="str">
            <v>633755142987</v>
          </cell>
          <cell r="E579" t="str">
            <v>Naztech MaxDrive7 Universal USB-C Adapter Hub Space Grey</v>
          </cell>
          <cell r="F579" t="str">
            <v>Cables</v>
          </cell>
          <cell r="G579" t="str">
            <v>Hub</v>
          </cell>
          <cell r="H579" t="str">
            <v>ALL IN ONE</v>
          </cell>
          <cell r="I579">
            <v>569.74</v>
          </cell>
          <cell r="J579">
            <v>0.17284305381727172</v>
          </cell>
          <cell r="K579">
            <v>799</v>
          </cell>
          <cell r="L579" t="str">
            <v>Amazon</v>
          </cell>
          <cell r="M579" t="str">
            <v>Active</v>
          </cell>
          <cell r="N579" t="str">
            <v>15593-M</v>
          </cell>
        </row>
        <row r="580">
          <cell r="A580" t="str">
            <v>Hypergear</v>
          </cell>
          <cell r="B580" t="str">
            <v>B07V5BBDRX</v>
          </cell>
          <cell r="C580">
            <v>14298</v>
          </cell>
          <cell r="D580" t="str">
            <v>633755142987</v>
          </cell>
          <cell r="E580" t="str">
            <v>HyperGear All-in-one World Travel Adapter Black</v>
          </cell>
          <cell r="F580" t="str">
            <v>Charger</v>
          </cell>
          <cell r="G580" t="str">
            <v>Wall Charger</v>
          </cell>
          <cell r="H580" t="str">
            <v>Travel</v>
          </cell>
          <cell r="I580">
            <v>428.59482758620697</v>
          </cell>
          <cell r="J580">
            <v>0.17</v>
          </cell>
          <cell r="K580">
            <v>599</v>
          </cell>
          <cell r="L580" t="str">
            <v>Amazon</v>
          </cell>
          <cell r="M580" t="str">
            <v>Active</v>
          </cell>
          <cell r="N580" t="str">
            <v>14298-M</v>
          </cell>
        </row>
        <row r="581">
          <cell r="A581" t="str">
            <v>HYPERGEAR</v>
          </cell>
          <cell r="B581" t="str">
            <v>B09VYGYC22</v>
          </cell>
          <cell r="C581">
            <v>15555</v>
          </cell>
          <cell r="D581" t="str">
            <v>633755155550</v>
          </cell>
          <cell r="E581" t="str">
            <v>HyperGear Kombat Kitty Gaming Headset Purple</v>
          </cell>
          <cell r="F581" t="str">
            <v>Gaming</v>
          </cell>
          <cell r="G581" t="str">
            <v>Headset</v>
          </cell>
          <cell r="H581" t="str">
            <v>Kombat</v>
          </cell>
          <cell r="I581">
            <v>357.53</v>
          </cell>
          <cell r="J581">
            <v>0.32999224555735063</v>
          </cell>
          <cell r="K581">
            <v>619</v>
          </cell>
          <cell r="L581" t="str">
            <v>Amazon</v>
          </cell>
          <cell r="M581" t="str">
            <v>Active</v>
          </cell>
          <cell r="N581" t="str">
            <v>15555-M</v>
          </cell>
        </row>
        <row r="582">
          <cell r="A582" t="str">
            <v>Hypergear</v>
          </cell>
          <cell r="B582" t="str">
            <v>B09VYGYC22</v>
          </cell>
          <cell r="C582" t="str">
            <v>15555</v>
          </cell>
          <cell r="D582" t="str">
            <v>633755155550</v>
          </cell>
          <cell r="E582" t="str">
            <v>HyperGear Kombat Kitty Gaming Headset Purple</v>
          </cell>
          <cell r="F582" t="str">
            <v>Gaming</v>
          </cell>
          <cell r="G582" t="str">
            <v>Headset</v>
          </cell>
          <cell r="H582" t="str">
            <v>Kombat</v>
          </cell>
          <cell r="I582">
            <v>428.59482758620697</v>
          </cell>
          <cell r="J582">
            <v>0.17</v>
          </cell>
          <cell r="K582">
            <v>599</v>
          </cell>
          <cell r="L582" t="str">
            <v>Amazon</v>
          </cell>
          <cell r="M582" t="str">
            <v>Active</v>
          </cell>
          <cell r="N582" t="str">
            <v>15555-M</v>
          </cell>
        </row>
        <row r="583">
          <cell r="A583" t="str">
            <v>HYPERGEAR</v>
          </cell>
          <cell r="B583" t="str">
            <v>B09VYGX6X5</v>
          </cell>
          <cell r="C583">
            <v>15556</v>
          </cell>
          <cell r="D583" t="str">
            <v>633755155567</v>
          </cell>
          <cell r="E583" t="str">
            <v>HyperGear Kombat Kitty Gaming Headset Green</v>
          </cell>
          <cell r="F583" t="str">
            <v>Gaming</v>
          </cell>
          <cell r="G583" t="str">
            <v>Headset</v>
          </cell>
          <cell r="H583" t="str">
            <v>Kombat</v>
          </cell>
          <cell r="I583">
            <v>357.53</v>
          </cell>
          <cell r="J583">
            <v>0.32999224555735063</v>
          </cell>
          <cell r="K583">
            <v>619</v>
          </cell>
          <cell r="L583" t="str">
            <v>Amazon</v>
          </cell>
          <cell r="M583" t="str">
            <v>Active</v>
          </cell>
          <cell r="N583" t="str">
            <v>15556-M</v>
          </cell>
        </row>
        <row r="584">
          <cell r="A584" t="str">
            <v>HYPERGEAR</v>
          </cell>
          <cell r="B584" t="str">
            <v>B09VYH22BP</v>
          </cell>
          <cell r="C584">
            <v>15554</v>
          </cell>
          <cell r="D584" t="str">
            <v>633755155543</v>
          </cell>
          <cell r="E584" t="str">
            <v>HyperGear Kombat Kitty Gaming Headset Pink</v>
          </cell>
          <cell r="F584" t="str">
            <v>Gaming</v>
          </cell>
          <cell r="G584" t="str">
            <v>Headset</v>
          </cell>
          <cell r="H584" t="str">
            <v>Kombat</v>
          </cell>
          <cell r="I584">
            <v>357.53</v>
          </cell>
          <cell r="J584">
            <v>0.32999224555735063</v>
          </cell>
          <cell r="K584">
            <v>619</v>
          </cell>
          <cell r="L584" t="str">
            <v>Amazon</v>
          </cell>
          <cell r="M584" t="str">
            <v>Active</v>
          </cell>
          <cell r="N584" t="str">
            <v>15554-M</v>
          </cell>
        </row>
        <row r="585">
          <cell r="A585" t="str">
            <v>Hypergear</v>
          </cell>
          <cell r="B585" t="str">
            <v>B09VYH22BP</v>
          </cell>
          <cell r="C585" t="str">
            <v>15554</v>
          </cell>
          <cell r="D585" t="str">
            <v>633755155543</v>
          </cell>
          <cell r="E585" t="str">
            <v>HyperGear Kombat Kitty Gaming Headset Pink</v>
          </cell>
          <cell r="F585" t="str">
            <v>Gaming</v>
          </cell>
          <cell r="G585" t="str">
            <v>Headset</v>
          </cell>
          <cell r="H585" t="str">
            <v>Kombat</v>
          </cell>
          <cell r="I585">
            <v>428.59482758620697</v>
          </cell>
          <cell r="J585">
            <v>0.17</v>
          </cell>
          <cell r="K585">
            <v>599</v>
          </cell>
          <cell r="L585" t="str">
            <v>Amazon</v>
          </cell>
          <cell r="M585" t="str">
            <v>Active</v>
          </cell>
          <cell r="N585" t="str">
            <v>15554-M</v>
          </cell>
        </row>
        <row r="586">
          <cell r="A586" t="str">
            <v>HYPERGEAR</v>
          </cell>
          <cell r="B586" t="str">
            <v>B09S2HNCJ3</v>
          </cell>
          <cell r="C586">
            <v>15597</v>
          </cell>
          <cell r="D586" t="str">
            <v>633755155970</v>
          </cell>
          <cell r="E586" t="str">
            <v>HyperGear HyperNova LED Strip Lights 10ft Multi-Color Multicolors</v>
          </cell>
          <cell r="F586" t="str">
            <v>Gaming</v>
          </cell>
          <cell r="G586" t="str">
            <v>Led Strip</v>
          </cell>
          <cell r="H586" t="str">
            <v>10 ft</v>
          </cell>
          <cell r="I586">
            <v>512.70000000000005</v>
          </cell>
          <cell r="J586">
            <v>0.17283449235048687</v>
          </cell>
          <cell r="K586">
            <v>719</v>
          </cell>
          <cell r="L586" t="str">
            <v>Amazon</v>
          </cell>
          <cell r="M586" t="str">
            <v>Active</v>
          </cell>
          <cell r="N586" t="str">
            <v>15597-M</v>
          </cell>
        </row>
        <row r="587">
          <cell r="A587" t="str">
            <v>Hypergear</v>
          </cell>
          <cell r="B587" t="str">
            <v>B09PZKH8JM</v>
          </cell>
          <cell r="C587" t="str">
            <v>15592</v>
          </cell>
          <cell r="D587" t="str">
            <v>633755155925</v>
          </cell>
          <cell r="E587" t="str">
            <v>HyperGear Sound Advantage: Pro-Audio Condenser Microphone Black</v>
          </cell>
          <cell r="F587" t="str">
            <v>Hardware</v>
          </cell>
          <cell r="G587" t="str">
            <v>Mic</v>
          </cell>
          <cell r="H587" t="str">
            <v>Mic</v>
          </cell>
          <cell r="I587">
            <v>605.89</v>
          </cell>
          <cell r="J587">
            <v>0.32999771210676843</v>
          </cell>
          <cell r="K587">
            <v>1049</v>
          </cell>
          <cell r="L587" t="str">
            <v>Amazon</v>
          </cell>
          <cell r="M587" t="str">
            <v>Active</v>
          </cell>
          <cell r="N587" t="str">
            <v>15592-M</v>
          </cell>
        </row>
        <row r="588">
          <cell r="A588" t="str">
            <v>HYPERGEAR</v>
          </cell>
          <cell r="B588" t="str">
            <v>B09D1M9PCJ</v>
          </cell>
          <cell r="C588">
            <v>15437</v>
          </cell>
          <cell r="D588" t="str">
            <v>633755154379</v>
          </cell>
          <cell r="E588" t="str">
            <v xml:space="preserve">HyperGear SnapShot Wireless Selfie Stick + Tripod Black
</v>
          </cell>
          <cell r="F588" t="str">
            <v>Hardware</v>
          </cell>
          <cell r="G588" t="str">
            <v>Tripod</v>
          </cell>
          <cell r="H588" t="str">
            <v>Selfie + Tripod</v>
          </cell>
          <cell r="I588">
            <v>519.83000000000004</v>
          </cell>
          <cell r="J588">
            <v>0.17283566529492456</v>
          </cell>
          <cell r="K588">
            <v>729</v>
          </cell>
          <cell r="L588" t="str">
            <v>Amazon</v>
          </cell>
          <cell r="M588" t="str">
            <v>Active</v>
          </cell>
          <cell r="N588" t="str">
            <v>15437-M</v>
          </cell>
        </row>
        <row r="589">
          <cell r="A589" t="str">
            <v>Hypergear</v>
          </cell>
          <cell r="B589" t="str">
            <v>B09D1M9PCJ</v>
          </cell>
          <cell r="C589">
            <v>15437</v>
          </cell>
          <cell r="D589" t="str">
            <v>633755154379</v>
          </cell>
          <cell r="E589" t="str">
            <v xml:space="preserve">HyperGear SnapShot Wireless Selfie Stick + Tripod Black
</v>
          </cell>
          <cell r="F589" t="str">
            <v>Hardware</v>
          </cell>
          <cell r="G589" t="str">
            <v>Tripod</v>
          </cell>
          <cell r="H589" t="str">
            <v>Selfie + Tripod</v>
          </cell>
          <cell r="I589">
            <v>521.61206896551721</v>
          </cell>
          <cell r="J589">
            <v>0.17</v>
          </cell>
          <cell r="K589">
            <v>729</v>
          </cell>
          <cell r="L589" t="str">
            <v>Amazon</v>
          </cell>
          <cell r="M589" t="str">
            <v>Active</v>
          </cell>
          <cell r="N589" t="str">
            <v>15437-M</v>
          </cell>
        </row>
        <row r="590">
          <cell r="A590" t="str">
            <v>Moment</v>
          </cell>
          <cell r="C590" t="str">
            <v>310-191</v>
          </cell>
          <cell r="D590" t="str">
            <v>846537067464</v>
          </cell>
          <cell r="E590" t="str">
            <v>Moment Case for iPhone 14 Max - Compatible with MagSafe - Black</v>
          </cell>
          <cell r="F590" t="str">
            <v>Cases iPhone</v>
          </cell>
          <cell r="G590" t="str">
            <v>iPhone 14</v>
          </cell>
          <cell r="H590" t="str">
            <v>iPhone 14 Max</v>
          </cell>
          <cell r="I590">
            <v>714.80172413793105</v>
          </cell>
          <cell r="J590">
            <v>0.17</v>
          </cell>
          <cell r="K590">
            <v>999</v>
          </cell>
          <cell r="L590" t="str">
            <v>Amazon</v>
          </cell>
          <cell r="M590" t="str">
            <v>Active</v>
          </cell>
          <cell r="N590" t="str">
            <v>310-191-M</v>
          </cell>
        </row>
        <row r="591">
          <cell r="A591" t="str">
            <v>Moment</v>
          </cell>
          <cell r="C591" t="str">
            <v>310-187</v>
          </cell>
          <cell r="D591" t="str">
            <v>846537067440</v>
          </cell>
          <cell r="E591" t="str">
            <v>Moment Case for iPhone 14 Pro - Compatible with MagSafe - Indigo</v>
          </cell>
          <cell r="F591" t="str">
            <v>Cases iPhone</v>
          </cell>
          <cell r="G591" t="str">
            <v>iPhone 14</v>
          </cell>
          <cell r="H591" t="str">
            <v>iPhone 14 Pro</v>
          </cell>
          <cell r="I591">
            <v>714.80172413793105</v>
          </cell>
          <cell r="J591">
            <v>0.17</v>
          </cell>
          <cell r="K591">
            <v>999</v>
          </cell>
          <cell r="L591" t="str">
            <v>Amazon</v>
          </cell>
          <cell r="M591" t="str">
            <v>Active</v>
          </cell>
          <cell r="N591" t="str">
            <v>310-187-M</v>
          </cell>
        </row>
        <row r="592">
          <cell r="A592" t="str">
            <v>Moment</v>
          </cell>
          <cell r="C592" t="str">
            <v>310-181</v>
          </cell>
          <cell r="D592" t="str">
            <v>846537067211</v>
          </cell>
          <cell r="E592" t="str">
            <v>Moment Case for iPhone 14 Pro Max - Compatible with MagSafe - Indigo</v>
          </cell>
          <cell r="F592" t="str">
            <v>Cases iPhone</v>
          </cell>
          <cell r="G592" t="str">
            <v>iPhone 14</v>
          </cell>
          <cell r="H592" t="str">
            <v>iPhone 14 Pro Max</v>
          </cell>
          <cell r="I592">
            <v>714.80172413793105</v>
          </cell>
          <cell r="J592">
            <v>0.17</v>
          </cell>
          <cell r="K592">
            <v>999</v>
          </cell>
          <cell r="L592" t="str">
            <v>Amazon</v>
          </cell>
          <cell r="M592" t="str">
            <v>Active</v>
          </cell>
          <cell r="N592" t="str">
            <v>310-181-M</v>
          </cell>
        </row>
        <row r="593">
          <cell r="A593" t="str">
            <v>Mophie</v>
          </cell>
          <cell r="B593" t="str">
            <v>B07N2B38DS </v>
          </cell>
          <cell r="C593">
            <v>401102246</v>
          </cell>
          <cell r="D593" t="str">
            <v>848467079111</v>
          </cell>
          <cell r="E593" t="str">
            <v>Mophie POWERSTATION (5000 mAh) with Lightning Connector - Black</v>
          </cell>
          <cell r="F593" t="str">
            <v>Charger</v>
          </cell>
          <cell r="G593" t="str">
            <v>Power Bank</v>
          </cell>
          <cell r="H593" t="str">
            <v>5,000 mAh</v>
          </cell>
          <cell r="I593">
            <v>427.12</v>
          </cell>
          <cell r="J593">
            <v>0.17285609348914865</v>
          </cell>
          <cell r="K593">
            <v>599</v>
          </cell>
          <cell r="L593" t="str">
            <v>Amazon</v>
          </cell>
          <cell r="M593" t="str">
            <v>Active</v>
          </cell>
          <cell r="N593" t="str">
            <v>401102246-M</v>
          </cell>
        </row>
        <row r="594">
          <cell r="A594" t="str">
            <v>Mophie</v>
          </cell>
          <cell r="B594" t="str">
            <v>B07N2B38DS</v>
          </cell>
          <cell r="C594">
            <v>401102246</v>
          </cell>
          <cell r="D594" t="str">
            <v>848467079111</v>
          </cell>
          <cell r="E594" t="str">
            <v>Mophie POWERSTATION (5000 mAh) with Lightning Connector - Black</v>
          </cell>
          <cell r="F594" t="str">
            <v>Charger</v>
          </cell>
          <cell r="G594" t="str">
            <v>Power Bank</v>
          </cell>
          <cell r="H594" t="str">
            <v>5,000 mAh</v>
          </cell>
          <cell r="I594">
            <v>345.97</v>
          </cell>
          <cell r="J594">
            <v>0.33000801335559271</v>
          </cell>
          <cell r="K594">
            <v>599</v>
          </cell>
          <cell r="L594" t="str">
            <v>Amazon</v>
          </cell>
          <cell r="M594" t="str">
            <v>Discontinued</v>
          </cell>
          <cell r="N594" t="str">
            <v>401102246-M</v>
          </cell>
        </row>
        <row r="595">
          <cell r="A595" t="str">
            <v>Mophie</v>
          </cell>
          <cell r="B595" t="str">
            <v>B07NDWDYF2 </v>
          </cell>
          <cell r="C595">
            <v>401101662</v>
          </cell>
          <cell r="D595" t="str">
            <v>848467073980</v>
          </cell>
          <cell r="E595" t="str">
            <v>Mophie POWERSTATION PLUS (6,000mAh) with Built-in Micro USB &amp; Lightning Cable + Extra USB-A Charging Port - Black</v>
          </cell>
          <cell r="F595" t="str">
            <v>Charger</v>
          </cell>
          <cell r="G595" t="str">
            <v>Power Bank</v>
          </cell>
          <cell r="H595" t="str">
            <v>6,000 mAh</v>
          </cell>
          <cell r="I595">
            <v>569.74</v>
          </cell>
          <cell r="J595">
            <v>0.17284305381727172</v>
          </cell>
          <cell r="K595">
            <v>799</v>
          </cell>
          <cell r="L595" t="str">
            <v>Amazon</v>
          </cell>
          <cell r="M595" t="str">
            <v>Active</v>
          </cell>
          <cell r="N595" t="str">
            <v>401101662-M</v>
          </cell>
        </row>
        <row r="596">
          <cell r="A596" t="str">
            <v>Mophie</v>
          </cell>
          <cell r="B596" t="str">
            <v>B07NDWDYF2</v>
          </cell>
          <cell r="C596">
            <v>401101662</v>
          </cell>
          <cell r="D596" t="str">
            <v>848467073980</v>
          </cell>
          <cell r="E596" t="str">
            <v>Mophie POWERSTATION PLUS (6,000mAh) with Built-in Micro USB &amp; Lightning Cable + Extra USB-A Charging Port - Black</v>
          </cell>
          <cell r="F596" t="str">
            <v>Charger</v>
          </cell>
          <cell r="G596" t="str">
            <v>Power Bank</v>
          </cell>
          <cell r="H596" t="str">
            <v>6,000 mAh</v>
          </cell>
          <cell r="I596">
            <v>569.74</v>
          </cell>
          <cell r="J596">
            <v>0.17284305381727172</v>
          </cell>
          <cell r="K596">
            <v>799</v>
          </cell>
          <cell r="L596" t="str">
            <v>Amazon</v>
          </cell>
          <cell r="M596" t="str">
            <v>Discontinued</v>
          </cell>
          <cell r="N596" t="str">
            <v>401101662-M</v>
          </cell>
        </row>
        <row r="597">
          <cell r="A597" t="str">
            <v>NAZTECH</v>
          </cell>
          <cell r="B597" t="str">
            <v>B08Q2NYDVQ</v>
          </cell>
          <cell r="C597">
            <v>15350</v>
          </cell>
          <cell r="D597" t="str">
            <v>633755153501</v>
          </cell>
          <cell r="E597" t="str">
            <v>Naztech Xpods Pro TWS with Wireless Charging Case White</v>
          </cell>
          <cell r="F597" t="str">
            <v>Audio</v>
          </cell>
          <cell r="G597" t="str">
            <v>Headphones</v>
          </cell>
          <cell r="H597" t="str">
            <v>In Ear</v>
          </cell>
          <cell r="I597">
            <v>1247.1600000000001</v>
          </cell>
          <cell r="J597">
            <v>0.17283842195540311</v>
          </cell>
          <cell r="K597">
            <v>1749</v>
          </cell>
          <cell r="L597" t="str">
            <v>Amazon</v>
          </cell>
          <cell r="M597" t="str">
            <v>Discontinued</v>
          </cell>
          <cell r="N597" t="str">
            <v>15350-M</v>
          </cell>
        </row>
        <row r="598">
          <cell r="A598" t="str">
            <v>Naztech</v>
          </cell>
          <cell r="B598" t="str">
            <v>B01KN41BNC</v>
          </cell>
          <cell r="C598">
            <v>13621</v>
          </cell>
          <cell r="D598" t="str">
            <v>633755136214</v>
          </cell>
          <cell r="E598" t="str">
            <v>Naztech Braided MFI Lightning Charge &amp; Sync Cable Black</v>
          </cell>
          <cell r="F598" t="str">
            <v>Cables</v>
          </cell>
          <cell r="G598" t="str">
            <v>Lightning</v>
          </cell>
          <cell r="H598" t="str">
            <v>4 ft</v>
          </cell>
          <cell r="I598">
            <v>427.12</v>
          </cell>
          <cell r="J598">
            <v>0.17285609348914865</v>
          </cell>
          <cell r="K598">
            <v>599</v>
          </cell>
          <cell r="L598" t="str">
            <v>Amazon</v>
          </cell>
          <cell r="M598" t="str">
            <v>Discontinued</v>
          </cell>
          <cell r="N598" t="str">
            <v>13621-M</v>
          </cell>
        </row>
        <row r="599">
          <cell r="A599" t="str">
            <v>Naztech</v>
          </cell>
          <cell r="B599" t="str">
            <v>B01KN41BP0</v>
          </cell>
          <cell r="C599">
            <v>13632</v>
          </cell>
          <cell r="D599" t="str">
            <v>633755136320</v>
          </cell>
          <cell r="E599" t="str">
            <v>Naztech MFI Lightning Charge/Sync USB Braided Cbl 4ft Rse Gld</v>
          </cell>
          <cell r="F599" t="str">
            <v>Cables</v>
          </cell>
          <cell r="G599" t="str">
            <v>Lightning</v>
          </cell>
          <cell r="H599" t="str">
            <v>4 ft</v>
          </cell>
          <cell r="I599">
            <v>427.12</v>
          </cell>
          <cell r="J599">
            <v>0.17285609348914865</v>
          </cell>
          <cell r="K599">
            <v>599</v>
          </cell>
          <cell r="L599" t="str">
            <v>Amazon</v>
          </cell>
          <cell r="M599" t="str">
            <v>Discontinued</v>
          </cell>
          <cell r="N599" t="str">
            <v>13632-M</v>
          </cell>
        </row>
        <row r="600">
          <cell r="A600" t="str">
            <v>Naztech</v>
          </cell>
          <cell r="B600" t="str">
            <v>B09TD2TLGZ</v>
          </cell>
          <cell r="C600">
            <v>15495</v>
          </cell>
          <cell r="D600" t="str">
            <v>633755154959</v>
          </cell>
          <cell r="E600" t="str">
            <v>Naztech Titanium USB to MFi Lightning Braided Cable 6ft Black</v>
          </cell>
          <cell r="F600" t="str">
            <v>Cables</v>
          </cell>
          <cell r="G600" t="str">
            <v>Lightning</v>
          </cell>
          <cell r="H600" t="str">
            <v>6 ft</v>
          </cell>
          <cell r="I600">
            <v>534.09</v>
          </cell>
          <cell r="J600">
            <v>0.17283791722296393</v>
          </cell>
          <cell r="K600">
            <v>749</v>
          </cell>
          <cell r="L600" t="str">
            <v>Amazon</v>
          </cell>
          <cell r="M600" t="str">
            <v>Discontinued</v>
          </cell>
          <cell r="N600" t="str">
            <v>15495-M</v>
          </cell>
        </row>
        <row r="601">
          <cell r="A601" t="str">
            <v>Naztech</v>
          </cell>
          <cell r="B601" t="str">
            <v>B09TDD8MXD</v>
          </cell>
          <cell r="C601">
            <v>15496</v>
          </cell>
          <cell r="D601" t="str">
            <v>633755154966</v>
          </cell>
          <cell r="E601" t="str">
            <v>Naztech Titanium USB to MFi Lightning Braided Cable 6ft White</v>
          </cell>
          <cell r="F601" t="str">
            <v>Cables</v>
          </cell>
          <cell r="G601" t="str">
            <v>Lightning</v>
          </cell>
          <cell r="H601" t="str">
            <v>6 ft</v>
          </cell>
          <cell r="I601">
            <v>534.09</v>
          </cell>
          <cell r="J601">
            <v>0.17283791722296393</v>
          </cell>
          <cell r="K601">
            <v>749</v>
          </cell>
          <cell r="L601" t="str">
            <v>Amazon</v>
          </cell>
          <cell r="M601" t="str">
            <v>Discontinued</v>
          </cell>
          <cell r="N601" t="str">
            <v>15496-M</v>
          </cell>
        </row>
        <row r="602">
          <cell r="A602" t="str">
            <v>Naztech</v>
          </cell>
          <cell r="B602" t="str">
            <v>B09TD28PQQ</v>
          </cell>
          <cell r="C602">
            <v>15498</v>
          </cell>
          <cell r="D602" t="str">
            <v>633755154980</v>
          </cell>
          <cell r="E602" t="str">
            <v>Naztech Titanium USB-C to Lightning Braided Cable 6ft White</v>
          </cell>
          <cell r="F602" t="str">
            <v>Cables</v>
          </cell>
          <cell r="G602" t="str">
            <v>Type C - Type C</v>
          </cell>
          <cell r="H602" t="str">
            <v>6 ft</v>
          </cell>
          <cell r="I602">
            <v>569.74</v>
          </cell>
          <cell r="J602">
            <v>0.17284305381727172</v>
          </cell>
          <cell r="K602">
            <v>799</v>
          </cell>
          <cell r="L602" t="str">
            <v>Amazon</v>
          </cell>
          <cell r="M602" t="str">
            <v>Discontinued</v>
          </cell>
          <cell r="N602" t="str">
            <v>15498-M</v>
          </cell>
        </row>
        <row r="603">
          <cell r="A603" t="str">
            <v>Naztech</v>
          </cell>
          <cell r="B603" t="str">
            <v>B09TDTHBKK</v>
          </cell>
          <cell r="C603">
            <v>15497</v>
          </cell>
          <cell r="D603" t="str">
            <v>633755154973</v>
          </cell>
          <cell r="E603" t="str">
            <v>Naztech Titanium USB-C to Lightning Braided Cable 6ft Black</v>
          </cell>
          <cell r="F603" t="str">
            <v>Cables</v>
          </cell>
          <cell r="G603" t="str">
            <v>Type C - Type C</v>
          </cell>
          <cell r="H603" t="str">
            <v>6 ft</v>
          </cell>
          <cell r="I603">
            <v>569.74</v>
          </cell>
          <cell r="J603">
            <v>0.17284305381727172</v>
          </cell>
          <cell r="K603">
            <v>799</v>
          </cell>
          <cell r="L603" t="str">
            <v>Amazon</v>
          </cell>
          <cell r="M603" t="str">
            <v>Discontinued</v>
          </cell>
          <cell r="N603" t="str">
            <v>15497-M</v>
          </cell>
        </row>
        <row r="604">
          <cell r="A604" t="str">
            <v>Nomad</v>
          </cell>
          <cell r="B604" t="str">
            <v>B07VTJ3LQB</v>
          </cell>
          <cell r="C604" t="str">
            <v>NM01912B00</v>
          </cell>
          <cell r="D604" t="str">
            <v>856504015497</v>
          </cell>
          <cell r="E604" t="str">
            <v>Nomad Lightning Cable - 1.5M | USB C | Rugged</v>
          </cell>
          <cell r="F604" t="str">
            <v>Cables</v>
          </cell>
          <cell r="G604" t="str">
            <v>Lightning - Type C</v>
          </cell>
          <cell r="H604" t="str">
            <v>6 ft</v>
          </cell>
          <cell r="I604">
            <v>461.49</v>
          </cell>
          <cell r="J604">
            <v>0.33000200250312894</v>
          </cell>
          <cell r="K604">
            <v>799</v>
          </cell>
          <cell r="L604" t="str">
            <v>Amazon</v>
          </cell>
          <cell r="M604" t="str">
            <v>Discontinued</v>
          </cell>
          <cell r="N604" t="str">
            <v>NM01912B00-M</v>
          </cell>
        </row>
        <row r="605">
          <cell r="A605" t="str">
            <v>Nomad</v>
          </cell>
          <cell r="B605" t="str">
            <v>B09N3Y699W</v>
          </cell>
          <cell r="C605" t="str">
            <v>NM01022985</v>
          </cell>
          <cell r="D605" t="str">
            <v>856500010229</v>
          </cell>
          <cell r="E605" t="str">
            <v>Nomad Sport Cable - 2.0M | USB C | Lightning</v>
          </cell>
          <cell r="F605" t="str">
            <v>Cables</v>
          </cell>
          <cell r="G605" t="str">
            <v>Lightning - Type C</v>
          </cell>
          <cell r="H605" t="str">
            <v>6 ft</v>
          </cell>
          <cell r="I605">
            <v>462.78</v>
          </cell>
          <cell r="J605">
            <v>0.1728431432973806</v>
          </cell>
          <cell r="K605">
            <v>649</v>
          </cell>
          <cell r="L605" t="str">
            <v>Amazon</v>
          </cell>
          <cell r="M605" t="str">
            <v>Discontinued</v>
          </cell>
          <cell r="N605" t="str">
            <v>NM01022985-M</v>
          </cell>
        </row>
        <row r="606">
          <cell r="A606" t="str">
            <v>Nomad</v>
          </cell>
          <cell r="B606" t="str">
            <v>B0BJDQDH2Q</v>
          </cell>
          <cell r="C606" t="str">
            <v>NM01806585</v>
          </cell>
          <cell r="D606" t="str">
            <v>856500018065</v>
          </cell>
          <cell r="E606" t="str">
            <v>Nomad Modern Leather Case - Airpods Pro (2nd gen) | Black | Nomad Leather</v>
          </cell>
          <cell r="F606" t="str">
            <v>Cases Airpods</v>
          </cell>
          <cell r="G606" t="str">
            <v>Airpods</v>
          </cell>
          <cell r="H606" t="str">
            <v>Pro 2</v>
          </cell>
          <cell r="I606">
            <v>500.14655172413791</v>
          </cell>
          <cell r="J606">
            <v>0.17</v>
          </cell>
          <cell r="K606">
            <v>699</v>
          </cell>
          <cell r="L606" t="str">
            <v>Amazon</v>
          </cell>
          <cell r="M606" t="str">
            <v>Active</v>
          </cell>
          <cell r="N606" t="str">
            <v>NM01806585-M</v>
          </cell>
        </row>
        <row r="607">
          <cell r="A607" t="str">
            <v>Nomad</v>
          </cell>
          <cell r="B607" t="str">
            <v>B093WWW6VQ</v>
          </cell>
          <cell r="C607" t="str">
            <v>NM01011385</v>
          </cell>
          <cell r="D607" t="str">
            <v>856500010113</v>
          </cell>
          <cell r="E607" t="str">
            <v>Nomad Keychain - AirTag | Rustic Brown | Horween Leather</v>
          </cell>
          <cell r="F607" t="str">
            <v>Cases AirTag</v>
          </cell>
          <cell r="G607" t="str">
            <v>AirTag</v>
          </cell>
          <cell r="H607" t="str">
            <v>AirTag</v>
          </cell>
          <cell r="I607">
            <v>577.01</v>
          </cell>
          <cell r="J607">
            <v>0.3299983983983984</v>
          </cell>
          <cell r="K607">
            <v>999</v>
          </cell>
          <cell r="L607" t="str">
            <v>Amazon</v>
          </cell>
          <cell r="M607" t="str">
            <v>Discontinued</v>
          </cell>
          <cell r="N607" t="str">
            <v>NM01011385-M</v>
          </cell>
        </row>
        <row r="608">
          <cell r="A608" t="str">
            <v>Nomad</v>
          </cell>
          <cell r="B608" t="str">
            <v>B09H4KTMMH</v>
          </cell>
          <cell r="C608" t="str">
            <v>NM01056485</v>
          </cell>
          <cell r="D608" t="str">
            <v>856500010564</v>
          </cell>
          <cell r="E608" t="str">
            <v>Nomad Modern Leather Case - Rustic Brown | Horween Leather | MagSafe | iPhone 13</v>
          </cell>
          <cell r="F608" t="str">
            <v>Cases iPhone</v>
          </cell>
          <cell r="G608" t="str">
            <v>iPhone 13</v>
          </cell>
          <cell r="H608" t="str">
            <v>iPhone 13</v>
          </cell>
          <cell r="I608">
            <v>577.01</v>
          </cell>
          <cell r="J608">
            <v>0.46410600480384312</v>
          </cell>
          <cell r="K608">
            <v>1249</v>
          </cell>
          <cell r="L608" t="str">
            <v>Amazon</v>
          </cell>
          <cell r="M608" t="str">
            <v>Discontinued</v>
          </cell>
          <cell r="N608" t="str">
            <v>NM01056485-M</v>
          </cell>
        </row>
        <row r="609">
          <cell r="A609" t="str">
            <v>Nomad</v>
          </cell>
          <cell r="B609" t="str">
            <v>B09H5GN5XQ</v>
          </cell>
          <cell r="C609" t="str">
            <v>NM01058885</v>
          </cell>
          <cell r="D609" t="str">
            <v>856500010588</v>
          </cell>
          <cell r="E609" t="str">
            <v>Nomad Modern Leather Case - Rustic Brown | Horween Leather | MagSafe | iPhone 13 Pro</v>
          </cell>
          <cell r="F609" t="str">
            <v>Cases iPhone</v>
          </cell>
          <cell r="G609" t="str">
            <v>iPhone 13</v>
          </cell>
          <cell r="H609" t="str">
            <v>iPhone 13 Pro</v>
          </cell>
          <cell r="I609">
            <v>577.01</v>
          </cell>
          <cell r="J609">
            <v>0.46410600480384312</v>
          </cell>
          <cell r="K609">
            <v>1249</v>
          </cell>
          <cell r="L609" t="str">
            <v>Amazon</v>
          </cell>
          <cell r="M609" t="str">
            <v>Active</v>
          </cell>
          <cell r="N609" t="str">
            <v>NM01058885-M</v>
          </cell>
        </row>
        <row r="610">
          <cell r="A610" t="str">
            <v>Nomad</v>
          </cell>
          <cell r="B610" t="str">
            <v>B09H4VB16L</v>
          </cell>
          <cell r="C610" t="str">
            <v>NM01063285</v>
          </cell>
          <cell r="D610" t="str">
            <v>856500010632</v>
          </cell>
          <cell r="E610" t="str">
            <v>Nomad Modern Leather Case - Black | Horween Leather | MagSafe | iPhone 13 Pro Max</v>
          </cell>
          <cell r="F610" t="str">
            <v>Cases iPhone</v>
          </cell>
          <cell r="G610" t="str">
            <v>iPhone 13</v>
          </cell>
          <cell r="H610" t="str">
            <v>iPhone 13 Pro Max</v>
          </cell>
          <cell r="I610">
            <v>577.01</v>
          </cell>
          <cell r="J610">
            <v>0.46410600480384312</v>
          </cell>
          <cell r="K610">
            <v>1249</v>
          </cell>
          <cell r="L610" t="str">
            <v>Amazon</v>
          </cell>
          <cell r="M610" t="str">
            <v>Discontinued</v>
          </cell>
          <cell r="N610" t="str">
            <v>NM01063285-M</v>
          </cell>
        </row>
        <row r="611">
          <cell r="A611" t="str">
            <v>Nomad</v>
          </cell>
          <cell r="B611" t="str">
            <v>B09H4VB16LB09H4VB16L</v>
          </cell>
          <cell r="C611" t="str">
            <v>NM01063285</v>
          </cell>
          <cell r="D611" t="str">
            <v>856500010632</v>
          </cell>
          <cell r="E611" t="str">
            <v>Nomad Modern Leather Case - Black | Horween Leather | MagSafe | iPhone 13 Pro Max</v>
          </cell>
          <cell r="F611" t="str">
            <v>Cases iPhone</v>
          </cell>
          <cell r="G611" t="str">
            <v>iPhone 13</v>
          </cell>
          <cell r="H611" t="str">
            <v>iPhone 13 Pro Max</v>
          </cell>
          <cell r="I611">
            <v>577.01</v>
          </cell>
          <cell r="J611">
            <v>0.3299983983983984</v>
          </cell>
          <cell r="K611">
            <v>999</v>
          </cell>
          <cell r="L611" t="str">
            <v>Amazon</v>
          </cell>
          <cell r="M611" t="str">
            <v>Discontinued</v>
          </cell>
          <cell r="N611" t="str">
            <v>NM01063285-M</v>
          </cell>
        </row>
        <row r="612">
          <cell r="A612" t="str">
            <v>Nomad</v>
          </cell>
          <cell r="B612" t="str">
            <v>B0BD86QCBG</v>
          </cell>
          <cell r="C612" t="str">
            <v>NM01205685</v>
          </cell>
          <cell r="D612" t="str">
            <v>856500012056</v>
          </cell>
          <cell r="E612" t="str">
            <v>Nomad Sport Case - iPhone 14 | Carbide</v>
          </cell>
          <cell r="F612" t="str">
            <v>Cases iPhone</v>
          </cell>
          <cell r="G612" t="str">
            <v>iPhone 14</v>
          </cell>
          <cell r="H612" t="str">
            <v>iPhone 14</v>
          </cell>
          <cell r="I612">
            <v>641.04999999999995</v>
          </cell>
          <cell r="J612">
            <v>0.17283870967741943</v>
          </cell>
          <cell r="K612">
            <v>899</v>
          </cell>
          <cell r="L612" t="str">
            <v>Amazon</v>
          </cell>
          <cell r="M612" t="str">
            <v>Active</v>
          </cell>
          <cell r="N612" t="str">
            <v>NM01205685-M</v>
          </cell>
        </row>
        <row r="613">
          <cell r="A613" t="str">
            <v>Nomad</v>
          </cell>
          <cell r="B613" t="str">
            <v>B0BD89XRJK</v>
          </cell>
          <cell r="C613" t="str">
            <v>NM01131885</v>
          </cell>
          <cell r="D613" t="str">
            <v>856500011318</v>
          </cell>
          <cell r="E613" t="str">
            <v>Nomad Sport Case - iPhone 14 Pro Max | Carbide</v>
          </cell>
          <cell r="F613" t="str">
            <v>Cases iPhone</v>
          </cell>
          <cell r="G613" t="str">
            <v>iPhone 14</v>
          </cell>
          <cell r="H613" t="str">
            <v>iPhone 14 Max</v>
          </cell>
          <cell r="I613">
            <v>641.04999999999995</v>
          </cell>
          <cell r="J613">
            <v>0.17283870967741943</v>
          </cell>
          <cell r="K613">
            <v>899</v>
          </cell>
          <cell r="L613" t="str">
            <v>Amazon</v>
          </cell>
          <cell r="M613" t="str">
            <v>Active</v>
          </cell>
          <cell r="N613" t="str">
            <v>NM01131885-M</v>
          </cell>
        </row>
        <row r="614">
          <cell r="A614" t="str">
            <v>Nomad</v>
          </cell>
          <cell r="B614" t="str">
            <v>B0BD8B2GLL</v>
          </cell>
          <cell r="C614" t="str">
            <v>NM01206385</v>
          </cell>
          <cell r="D614" t="str">
            <v>856500012063</v>
          </cell>
          <cell r="E614" t="str">
            <v>Nomad Sport Case - iPhone 14 Pro Max | Marine Blue</v>
          </cell>
          <cell r="F614" t="str">
            <v>Cases iPhone</v>
          </cell>
          <cell r="G614" t="str">
            <v>iPhone 14</v>
          </cell>
          <cell r="H614" t="str">
            <v>iPhone 14 Max</v>
          </cell>
          <cell r="I614">
            <v>641.04999999999995</v>
          </cell>
          <cell r="J614">
            <v>0.17283870967741943</v>
          </cell>
          <cell r="K614">
            <v>899</v>
          </cell>
          <cell r="L614" t="str">
            <v>Amazon</v>
          </cell>
          <cell r="M614" t="str">
            <v>Active</v>
          </cell>
          <cell r="N614" t="str">
            <v>NM01206385-M</v>
          </cell>
        </row>
        <row r="615">
          <cell r="A615" t="str">
            <v>Nomad</v>
          </cell>
          <cell r="B615" t="str">
            <v>B0BD8B2GLL</v>
          </cell>
          <cell r="C615" t="str">
            <v>NM01206385</v>
          </cell>
          <cell r="D615" t="str">
            <v>856500012063</v>
          </cell>
          <cell r="E615" t="str">
            <v>Nomad Sport Case - iPhone 14 Pro Max | Marine Blue</v>
          </cell>
          <cell r="F615" t="str">
            <v>Cases iPhone</v>
          </cell>
          <cell r="G615" t="str">
            <v>iPhone 14</v>
          </cell>
          <cell r="H615" t="str">
            <v>iPhone 14 Max</v>
          </cell>
          <cell r="I615">
            <v>643.25</v>
          </cell>
          <cell r="J615">
            <v>0.17</v>
          </cell>
          <cell r="K615">
            <v>899</v>
          </cell>
          <cell r="L615" t="str">
            <v>Amazon</v>
          </cell>
          <cell r="M615" t="str">
            <v>Active</v>
          </cell>
          <cell r="N615" t="str">
            <v>NM01206385-M</v>
          </cell>
        </row>
        <row r="616">
          <cell r="A616" t="str">
            <v>Nomad</v>
          </cell>
          <cell r="B616" t="str">
            <v>B0BD8949RZ</v>
          </cell>
          <cell r="C616" t="str">
            <v>NM01289685</v>
          </cell>
          <cell r="D616" t="str">
            <v>856500012896</v>
          </cell>
          <cell r="E616" t="str">
            <v>Nomad Sport Case - iPhone 14 Max | Carbide</v>
          </cell>
          <cell r="F616" t="str">
            <v>Cases iPhone</v>
          </cell>
          <cell r="G616" t="str">
            <v>iPhone 14</v>
          </cell>
          <cell r="H616" t="str">
            <v>iPhone 14 Max</v>
          </cell>
          <cell r="I616">
            <v>641.04999999999995</v>
          </cell>
          <cell r="J616">
            <v>0.17283870967741943</v>
          </cell>
          <cell r="K616">
            <v>899</v>
          </cell>
          <cell r="L616" t="str">
            <v>Amazon</v>
          </cell>
          <cell r="M616" t="str">
            <v>Discontinued</v>
          </cell>
          <cell r="N616" t="str">
            <v>NM01289685-M</v>
          </cell>
        </row>
        <row r="617">
          <cell r="A617" t="str">
            <v>Nomad</v>
          </cell>
          <cell r="B617" t="str">
            <v>B0BD8KJ8WF</v>
          </cell>
          <cell r="C617" t="str">
            <v>NM01289685</v>
          </cell>
          <cell r="D617" t="str">
            <v>0856500012254</v>
          </cell>
          <cell r="E617" t="str">
            <v>Nomad Sport Case - iPhone 14 Max | Carbide</v>
          </cell>
          <cell r="F617" t="str">
            <v>Cases iPhone</v>
          </cell>
          <cell r="G617" t="str">
            <v>iPhone 14</v>
          </cell>
          <cell r="H617" t="str">
            <v>iPhone 14 Max</v>
          </cell>
          <cell r="I617">
            <v>641.04999999999995</v>
          </cell>
          <cell r="J617">
            <v>0.17283870967741943</v>
          </cell>
          <cell r="K617">
            <v>899</v>
          </cell>
          <cell r="L617" t="str">
            <v>Amazon</v>
          </cell>
          <cell r="M617" t="str">
            <v>Discontinued</v>
          </cell>
          <cell r="N617" t="str">
            <v>NM01289685-M</v>
          </cell>
        </row>
        <row r="618">
          <cell r="A618" t="str">
            <v>Nomad</v>
          </cell>
          <cell r="C618" t="str">
            <v>NM01204985</v>
          </cell>
          <cell r="D618" t="str">
            <v>856500012049</v>
          </cell>
          <cell r="E618" t="str">
            <v>Nomad Sport Case - iPhone 14 Pro | Carbide</v>
          </cell>
          <cell r="F618" t="str">
            <v>Cases iPhone</v>
          </cell>
          <cell r="G618" t="str">
            <v>iPhone 14</v>
          </cell>
          <cell r="H618" t="str">
            <v>iPhone 14 Pro</v>
          </cell>
          <cell r="I618">
            <v>519.25</v>
          </cell>
          <cell r="J618">
            <v>0.33000000000000007</v>
          </cell>
          <cell r="K618">
            <v>899</v>
          </cell>
          <cell r="L618" t="str">
            <v>Amazon</v>
          </cell>
          <cell r="M618" t="str">
            <v>Active</v>
          </cell>
          <cell r="N618" t="str">
            <v>NM01204985-M</v>
          </cell>
        </row>
        <row r="619">
          <cell r="A619" t="str">
            <v>Nomad</v>
          </cell>
          <cell r="B619" t="str">
            <v>B0BD6MK6N</v>
          </cell>
          <cell r="C619" t="str">
            <v>NM01221685</v>
          </cell>
          <cell r="D619" t="str">
            <v>856500012216</v>
          </cell>
          <cell r="E619" t="str">
            <v>Nomad Modern Leather Case - iPhone 14 Pro Max | Black | Horween Leather</v>
          </cell>
          <cell r="F619" t="str">
            <v>Cases iPhone</v>
          </cell>
          <cell r="G619" t="str">
            <v>iPhone 14</v>
          </cell>
          <cell r="H619" t="str">
            <v>iPhone 14 Pro Max</v>
          </cell>
          <cell r="I619">
            <v>1068.8900000000001</v>
          </cell>
          <cell r="J619">
            <v>0.17284029352901942</v>
          </cell>
          <cell r="K619">
            <v>1499</v>
          </cell>
          <cell r="L619" t="str">
            <v>Amazon</v>
          </cell>
          <cell r="M619" t="str">
            <v>Discontinued</v>
          </cell>
          <cell r="N619" t="str">
            <v>NM01221685-M</v>
          </cell>
        </row>
        <row r="620">
          <cell r="A620" t="str">
            <v>Nomad</v>
          </cell>
          <cell r="B620" t="str">
            <v>B0BD6MK6NT</v>
          </cell>
          <cell r="C620" t="str">
            <v>NM01221685</v>
          </cell>
          <cell r="D620" t="str">
            <v>856500012216</v>
          </cell>
          <cell r="E620" t="str">
            <v>Nomad Modern Leather Case - iPhone 14 Pro Max | Black | Horween Leather</v>
          </cell>
          <cell r="F620" t="str">
            <v>Cases iPhone</v>
          </cell>
          <cell r="G620" t="str">
            <v>iPhone 14</v>
          </cell>
          <cell r="H620" t="str">
            <v>iPhone 14 Pro Max</v>
          </cell>
          <cell r="I620">
            <v>1068.8900000000001</v>
          </cell>
          <cell r="J620">
            <v>0.17284029352901942</v>
          </cell>
          <cell r="K620">
            <v>1499</v>
          </cell>
          <cell r="L620" t="str">
            <v>Amazon</v>
          </cell>
          <cell r="M620" t="str">
            <v>Discontinued</v>
          </cell>
          <cell r="N620" t="str">
            <v>NM01221685-M</v>
          </cell>
        </row>
        <row r="621">
          <cell r="A621" t="str">
            <v>Nomad</v>
          </cell>
          <cell r="B621" t="str">
            <v>B0BDS2YJY9</v>
          </cell>
          <cell r="C621" t="str">
            <v>NM01224785</v>
          </cell>
          <cell r="D621" t="str">
            <v>856500012247</v>
          </cell>
          <cell r="E621" t="str">
            <v>Nomad Modern Leather Case - iPhone 14 Pro Max | Rustic Brown | Horween Leather</v>
          </cell>
          <cell r="F621" t="str">
            <v>Cases iPhone</v>
          </cell>
          <cell r="G621" t="str">
            <v>iPhone 14</v>
          </cell>
          <cell r="H621" t="str">
            <v>iPhone 14 Pro Max</v>
          </cell>
          <cell r="I621">
            <v>1068.8900000000001</v>
          </cell>
          <cell r="J621">
            <v>0.17284029352901942</v>
          </cell>
          <cell r="K621">
            <v>1499</v>
          </cell>
          <cell r="L621" t="str">
            <v>Amazon</v>
          </cell>
          <cell r="M621" t="str">
            <v>Discontinued</v>
          </cell>
          <cell r="N621" t="str">
            <v>NM01224785-M</v>
          </cell>
        </row>
        <row r="622">
          <cell r="A622" t="str">
            <v>Nomad</v>
          </cell>
          <cell r="B622" t="str">
            <v>B0CBN2HG54</v>
          </cell>
          <cell r="C622" t="str">
            <v>NM01619185</v>
          </cell>
          <cell r="D622" t="str">
            <v>856500016191</v>
          </cell>
          <cell r="E622" t="str">
            <v>Nomad Modern Leather Case - iPhone 15 Pro Max | Brown | Nomad Leather</v>
          </cell>
          <cell r="F622" t="str">
            <v>Cases iPhone</v>
          </cell>
          <cell r="G622" t="str">
            <v>iPhone 15</v>
          </cell>
          <cell r="H622" t="str">
            <v>iPhone 15 Pro Max</v>
          </cell>
          <cell r="I622">
            <v>714.80172413793105</v>
          </cell>
          <cell r="J622">
            <v>0.17</v>
          </cell>
          <cell r="K622">
            <v>999</v>
          </cell>
          <cell r="L622" t="str">
            <v>Amazon</v>
          </cell>
          <cell r="M622" t="str">
            <v>Active</v>
          </cell>
          <cell r="N622" t="str">
            <v>NM01619185-M</v>
          </cell>
        </row>
        <row r="623">
          <cell r="A623" t="str">
            <v>Nomad</v>
          </cell>
          <cell r="B623" t="str">
            <v>B0D4ZL7SWW</v>
          </cell>
          <cell r="C623" t="str">
            <v>NM01695585</v>
          </cell>
          <cell r="D623" t="str">
            <v>856500016955</v>
          </cell>
          <cell r="E623" t="str">
            <v xml:space="preserve">Nomad Modern Leather Case - iPhone 16 Pro  English Tan-C </v>
          </cell>
          <cell r="F623" t="str">
            <v>Cases iPhone</v>
          </cell>
          <cell r="G623" t="str">
            <v>iPhone 16</v>
          </cell>
          <cell r="H623" t="str">
            <v>iPhone 16 Pro / iPhone 17</v>
          </cell>
          <cell r="I623">
            <v>714.80172413793105</v>
          </cell>
          <cell r="J623">
            <v>0.17</v>
          </cell>
          <cell r="K623">
            <v>999</v>
          </cell>
          <cell r="L623" t="str">
            <v>Amazon</v>
          </cell>
          <cell r="M623" t="str">
            <v>Active</v>
          </cell>
          <cell r="N623" t="str">
            <v>NM01695585-M</v>
          </cell>
        </row>
        <row r="624">
          <cell r="A624" t="str">
            <v>Nomad</v>
          </cell>
          <cell r="B624" t="str">
            <v xml:space="preserve"> B0D4ZLSGHF</v>
          </cell>
          <cell r="C624" t="str">
            <v>NM01382485</v>
          </cell>
          <cell r="D624" t="str">
            <v>856500013824</v>
          </cell>
          <cell r="E624" t="str">
            <v>Nomad Rugged Case - iPhone 16 Pro | Atlantic Blue</v>
          </cell>
          <cell r="F624" t="str">
            <v>Cases iPhone</v>
          </cell>
          <cell r="G624" t="str">
            <v>iPhone 16</v>
          </cell>
          <cell r="H624" t="str">
            <v>iPhone 16 Pro / iPhone 17</v>
          </cell>
          <cell r="I624">
            <v>714.80172413793105</v>
          </cell>
          <cell r="J624">
            <v>0.17</v>
          </cell>
          <cell r="K624">
            <v>999</v>
          </cell>
          <cell r="L624" t="str">
            <v>Amazon</v>
          </cell>
          <cell r="M624" t="str">
            <v>Active</v>
          </cell>
          <cell r="N624" t="str">
            <v>NM01382485</v>
          </cell>
        </row>
        <row r="625">
          <cell r="A625" t="str">
            <v>Nomad</v>
          </cell>
          <cell r="B625" t="str">
            <v>B0D4ZKMXXF</v>
          </cell>
          <cell r="C625" t="str">
            <v>NM01696285</v>
          </cell>
          <cell r="D625" t="str">
            <v>856500016962</v>
          </cell>
          <cell r="E625" t="str">
            <v>Nomad Modern Leather Case - iPhone 16 Pro  Brown</v>
          </cell>
          <cell r="F625" t="str">
            <v>Cases iPhone</v>
          </cell>
          <cell r="G625" t="str">
            <v>iPhone 16</v>
          </cell>
          <cell r="H625" t="str">
            <v>iPhone 16 Pro / iPhone 17</v>
          </cell>
          <cell r="I625">
            <v>714.80172413793105</v>
          </cell>
          <cell r="J625">
            <v>0.17</v>
          </cell>
          <cell r="K625">
            <v>999</v>
          </cell>
          <cell r="L625" t="str">
            <v>Amazon</v>
          </cell>
          <cell r="M625" t="str">
            <v>Active</v>
          </cell>
          <cell r="N625" t="str">
            <v>NM01696285-M</v>
          </cell>
        </row>
        <row r="626">
          <cell r="A626" t="str">
            <v>Nomad</v>
          </cell>
          <cell r="B626" t="str">
            <v>B0D4ZK24N9</v>
          </cell>
          <cell r="C626" t="str">
            <v>NM01384885</v>
          </cell>
          <cell r="D626" t="str">
            <v>856500013848</v>
          </cell>
          <cell r="E626" t="str">
            <v>Nomad Rugged Case - iPhone 16 Pro | Desert</v>
          </cell>
          <cell r="F626" t="str">
            <v>Cases iPhone</v>
          </cell>
          <cell r="G626" t="str">
            <v>iPhone 16</v>
          </cell>
          <cell r="H626" t="str">
            <v>iPhone 16 Pro / iPhone 17</v>
          </cell>
          <cell r="I626">
            <v>714.80172413793105</v>
          </cell>
          <cell r="J626">
            <v>0.17</v>
          </cell>
          <cell r="K626">
            <v>999</v>
          </cell>
          <cell r="L626" t="str">
            <v>Amazon</v>
          </cell>
          <cell r="M626" t="str">
            <v>Discontinued</v>
          </cell>
          <cell r="N626" t="str">
            <v>NM01384885</v>
          </cell>
        </row>
        <row r="627">
          <cell r="A627" t="str">
            <v>Nomad</v>
          </cell>
          <cell r="B627" t="str">
            <v>B0D4ZHST8H</v>
          </cell>
          <cell r="C627" t="str">
            <v>NM01697985</v>
          </cell>
          <cell r="D627" t="str">
            <v>856500016979</v>
          </cell>
          <cell r="E627" t="str">
            <v>Nomad Modern Leather Case - iPhone 16 Pro  Black</v>
          </cell>
          <cell r="F627" t="str">
            <v>Cases iPhone</v>
          </cell>
          <cell r="G627" t="str">
            <v>iPhone 16</v>
          </cell>
          <cell r="H627" t="str">
            <v>iPhone 16 Pro / iPhone 17</v>
          </cell>
          <cell r="I627">
            <v>714.80172413793105</v>
          </cell>
          <cell r="J627">
            <v>0.17</v>
          </cell>
          <cell r="K627">
            <v>999</v>
          </cell>
          <cell r="L627" t="str">
            <v>Amazon</v>
          </cell>
          <cell r="M627" t="str">
            <v>Discontinued</v>
          </cell>
          <cell r="N627" t="str">
            <v>NM01697985-M</v>
          </cell>
        </row>
        <row r="628">
          <cell r="A628" t="str">
            <v>Nomad</v>
          </cell>
          <cell r="B628" t="str">
            <v>B0D4ZK2KKR</v>
          </cell>
          <cell r="C628" t="str">
            <v>NM01691785</v>
          </cell>
          <cell r="D628" t="str">
            <v>856500016917</v>
          </cell>
          <cell r="E628" t="str">
            <v>Nomad Modern Leather Case - iPhone 16 Pro Max  English Tan-C</v>
          </cell>
          <cell r="F628" t="str">
            <v>Cases iPhone</v>
          </cell>
          <cell r="G628" t="str">
            <v>iPhone 16</v>
          </cell>
          <cell r="H628" t="str">
            <v>iPhone 16 Pro Max</v>
          </cell>
          <cell r="I628">
            <v>714.80172413793105</v>
          </cell>
          <cell r="J628">
            <v>0.17</v>
          </cell>
          <cell r="K628">
            <v>999</v>
          </cell>
          <cell r="L628" t="str">
            <v>Amazon</v>
          </cell>
          <cell r="M628" t="str">
            <v>Active</v>
          </cell>
          <cell r="N628" t="str">
            <v>NM01691785-M</v>
          </cell>
        </row>
        <row r="629">
          <cell r="A629" t="str">
            <v>Nomad</v>
          </cell>
          <cell r="C629" t="str">
            <v>NM01381785</v>
          </cell>
          <cell r="D629" t="str">
            <v>856500013817</v>
          </cell>
          <cell r="E629" t="str">
            <v>Nomad Rugged Case - iPhone 16 Pro Max | Desert</v>
          </cell>
          <cell r="F629" t="str">
            <v>Cases iPhone</v>
          </cell>
          <cell r="G629" t="str">
            <v>iPhone 16</v>
          </cell>
          <cell r="H629" t="str">
            <v>iPhone 16 Pro Max</v>
          </cell>
          <cell r="I629">
            <v>714.80172413793105</v>
          </cell>
          <cell r="J629">
            <v>0.17</v>
          </cell>
          <cell r="K629">
            <v>999</v>
          </cell>
          <cell r="L629" t="str">
            <v>Amazon</v>
          </cell>
          <cell r="M629" t="str">
            <v>Active</v>
          </cell>
          <cell r="N629" t="str">
            <v>NM01381785</v>
          </cell>
        </row>
        <row r="630">
          <cell r="A630" t="str">
            <v>Nomad</v>
          </cell>
          <cell r="B630" t="str">
            <v>B0D4ZH67YS</v>
          </cell>
          <cell r="C630" t="str">
            <v>NM01379485</v>
          </cell>
          <cell r="D630" t="str">
            <v>856500013794</v>
          </cell>
          <cell r="E630" t="str">
            <v>Nomad Rugged Case - iPhone 16 Pro Max | Atlantic Blue</v>
          </cell>
          <cell r="F630" t="str">
            <v>Cases iPhone</v>
          </cell>
          <cell r="G630" t="str">
            <v>iPhone 16</v>
          </cell>
          <cell r="H630" t="str">
            <v>iPhone 16 Pro Max</v>
          </cell>
          <cell r="I630">
            <v>714.80172413793105</v>
          </cell>
          <cell r="J630">
            <v>0.17</v>
          </cell>
          <cell r="K630">
            <v>999</v>
          </cell>
          <cell r="L630" t="str">
            <v>Amazon</v>
          </cell>
          <cell r="M630" t="str">
            <v>Active</v>
          </cell>
          <cell r="N630" t="str">
            <v>NM01379485</v>
          </cell>
        </row>
        <row r="631">
          <cell r="A631" t="str">
            <v>Nomad</v>
          </cell>
          <cell r="B631" t="str">
            <v>B0D4ZDGZL9</v>
          </cell>
          <cell r="C631" t="str">
            <v>NM01693185</v>
          </cell>
          <cell r="D631" t="str">
            <v>856500016931</v>
          </cell>
          <cell r="E631" t="str">
            <v xml:space="preserve">Nomad Modern Leather Case - iPhone 16 Pro Max  Black </v>
          </cell>
          <cell r="F631" t="str">
            <v>Cases iPhone</v>
          </cell>
          <cell r="G631" t="str">
            <v>iPhone 16</v>
          </cell>
          <cell r="H631" t="str">
            <v>iPhone 16 Pro Max</v>
          </cell>
          <cell r="I631">
            <v>714.80172413793105</v>
          </cell>
          <cell r="J631">
            <v>0.17</v>
          </cell>
          <cell r="K631">
            <v>999</v>
          </cell>
          <cell r="L631" t="str">
            <v>Amazon</v>
          </cell>
          <cell r="M631" t="str">
            <v>Active</v>
          </cell>
          <cell r="N631" t="str">
            <v>NM01693185-M</v>
          </cell>
        </row>
        <row r="632">
          <cell r="A632" t="str">
            <v>Nomad</v>
          </cell>
          <cell r="B632" t="str">
            <v>B0CYP8PPCF</v>
          </cell>
          <cell r="C632" t="str">
            <v>NM01186885</v>
          </cell>
          <cell r="D632" t="str">
            <v>856500011868</v>
          </cell>
          <cell r="E632" t="str">
            <v>Nomad AC Adapter - 35W | Slim | Carbide</v>
          </cell>
          <cell r="F632" t="str">
            <v>Charger</v>
          </cell>
          <cell r="G632" t="str">
            <v>Wall charger</v>
          </cell>
          <cell r="H632" t="str">
            <v>35W</v>
          </cell>
          <cell r="I632">
            <v>500.14655172413791</v>
          </cell>
          <cell r="J632">
            <v>0.17</v>
          </cell>
          <cell r="K632">
            <v>699</v>
          </cell>
          <cell r="L632" t="str">
            <v>Amazon</v>
          </cell>
          <cell r="M632" t="str">
            <v>Active</v>
          </cell>
          <cell r="N632" t="str">
            <v>NM01186885-M</v>
          </cell>
        </row>
        <row r="633">
          <cell r="A633" t="str">
            <v>Nomad</v>
          </cell>
          <cell r="B633" t="str">
            <v>B0CYP6KPPB</v>
          </cell>
          <cell r="C633" t="str">
            <v>NM01187585</v>
          </cell>
          <cell r="D633" t="str">
            <v>856500011875</v>
          </cell>
          <cell r="E633" t="str">
            <v>Nomad AC Adapter - 65W | Slim | Carbide</v>
          </cell>
          <cell r="F633" t="str">
            <v>Charger</v>
          </cell>
          <cell r="G633" t="str">
            <v>Wall charger</v>
          </cell>
          <cell r="H633" t="str">
            <v>65W</v>
          </cell>
          <cell r="I633">
            <v>929.4568965517243</v>
          </cell>
          <cell r="J633">
            <v>0.17</v>
          </cell>
          <cell r="K633">
            <v>1299</v>
          </cell>
          <cell r="L633" t="str">
            <v>Amazon</v>
          </cell>
          <cell r="M633" t="str">
            <v>Active</v>
          </cell>
          <cell r="N633" t="str">
            <v>NM01187585-M</v>
          </cell>
        </row>
        <row r="634">
          <cell r="A634" t="str">
            <v>Nomad</v>
          </cell>
          <cell r="B634" t="str">
            <v>B092JJCP73</v>
          </cell>
          <cell r="C634" t="str">
            <v>NM01994985</v>
          </cell>
          <cell r="D634" t="str">
            <v>856500019949</v>
          </cell>
          <cell r="E634" t="str">
            <v>Nomad AC Adapter - 65W | PD</v>
          </cell>
          <cell r="F634" t="str">
            <v>Charger</v>
          </cell>
          <cell r="G634" t="str">
            <v>Wall charger</v>
          </cell>
          <cell r="H634" t="str">
            <v>65W</v>
          </cell>
          <cell r="I634">
            <v>1211.5</v>
          </cell>
          <cell r="J634">
            <v>0.1728428487345498</v>
          </cell>
          <cell r="K634">
            <v>1699</v>
          </cell>
          <cell r="L634" t="str">
            <v>Amazon</v>
          </cell>
          <cell r="M634" t="str">
            <v>Discontinued</v>
          </cell>
          <cell r="N634" t="str">
            <v>NM01994985</v>
          </cell>
        </row>
        <row r="635">
          <cell r="A635" t="str">
            <v>Nomad</v>
          </cell>
          <cell r="B635" t="str">
            <v>B08PD2S24S</v>
          </cell>
          <cell r="C635" t="str">
            <v>NM1A310000</v>
          </cell>
          <cell r="D635" t="str">
            <v>856500018706</v>
          </cell>
          <cell r="E635" t="str">
            <v>Nomad Sport Strap - 41/40mm/38mm | S/M | Black | FKM | V2</v>
          </cell>
          <cell r="F635" t="str">
            <v>Straps</v>
          </cell>
          <cell r="G635" t="str">
            <v>Apple Watch</v>
          </cell>
          <cell r="H635" t="str">
            <v>38mm/40mm/41mm</v>
          </cell>
          <cell r="I635">
            <v>634.77</v>
          </cell>
          <cell r="J635">
            <v>0.32999708826205654</v>
          </cell>
          <cell r="K635">
            <v>1099</v>
          </cell>
          <cell r="L635" t="str">
            <v>Amazon</v>
          </cell>
          <cell r="M635" t="str">
            <v>Discontinued</v>
          </cell>
          <cell r="N635" t="str">
            <v>NM1A310000-M</v>
          </cell>
        </row>
        <row r="636">
          <cell r="A636" t="str">
            <v>Nomad</v>
          </cell>
          <cell r="B636" t="str">
            <v>B0DHC8MWKZ</v>
          </cell>
          <cell r="C636" t="str">
            <v>NM013589858</v>
          </cell>
          <cell r="D636" t="str">
            <v>856500013589</v>
          </cell>
          <cell r="E636" t="str">
            <v>Nomad Rocky Point Band - 45mm | Atlantic</v>
          </cell>
          <cell r="F636" t="str">
            <v>Straps</v>
          </cell>
          <cell r="G636" t="str">
            <v>Apple Watch</v>
          </cell>
          <cell r="H636" t="str">
            <v>49/45/44 mm</v>
          </cell>
          <cell r="I636">
            <v>1287.2155172413793</v>
          </cell>
          <cell r="J636">
            <v>0.17</v>
          </cell>
          <cell r="K636">
            <v>1799</v>
          </cell>
          <cell r="L636" t="str">
            <v>Amazon</v>
          </cell>
          <cell r="M636" t="str">
            <v>Active</v>
          </cell>
          <cell r="N636" t="str">
            <v>NM013589858</v>
          </cell>
        </row>
        <row r="637">
          <cell r="A637" t="str">
            <v>Nomad</v>
          </cell>
          <cell r="C637" t="str">
            <v>NM013596858</v>
          </cell>
          <cell r="D637" t="str">
            <v>856500013596</v>
          </cell>
          <cell r="E637" t="str">
            <v>Nomad Rocky Point Band - 45mm | Storm</v>
          </cell>
          <cell r="F637" t="str">
            <v>Straps</v>
          </cell>
          <cell r="G637" t="str">
            <v>Apple Watch</v>
          </cell>
          <cell r="H637" t="str">
            <v>49/45/44 mm</v>
          </cell>
          <cell r="I637">
            <v>1287.2155172413793</v>
          </cell>
          <cell r="J637">
            <v>0.17</v>
          </cell>
          <cell r="K637">
            <v>1799</v>
          </cell>
          <cell r="L637" t="str">
            <v>Amazon</v>
          </cell>
          <cell r="M637" t="str">
            <v>Active</v>
          </cell>
          <cell r="N637" t="str">
            <v>NM013596858</v>
          </cell>
        </row>
        <row r="638">
          <cell r="A638" t="str">
            <v>Nomad</v>
          </cell>
          <cell r="C638" t="str">
            <v>NM013602858</v>
          </cell>
          <cell r="D638" t="str">
            <v>856500013602</v>
          </cell>
          <cell r="E638" t="str">
            <v>Nomad Rocky Point Band - 45mm | Sol</v>
          </cell>
          <cell r="F638" t="str">
            <v>Straps</v>
          </cell>
          <cell r="G638" t="str">
            <v>Apple Watch</v>
          </cell>
          <cell r="H638" t="str">
            <v>49/45/44 mm</v>
          </cell>
          <cell r="I638">
            <v>1287.2155172413793</v>
          </cell>
          <cell r="J638">
            <v>0.17</v>
          </cell>
          <cell r="K638">
            <v>1799</v>
          </cell>
          <cell r="L638" t="str">
            <v>Amazon</v>
          </cell>
          <cell r="M638" t="str">
            <v>Active</v>
          </cell>
          <cell r="N638" t="str">
            <v>NM013602858</v>
          </cell>
        </row>
        <row r="639">
          <cell r="A639" t="str">
            <v>Nomad</v>
          </cell>
          <cell r="B639" t="str">
            <v>B08NTSS9YN</v>
          </cell>
          <cell r="C639" t="str">
            <v>NM1AM10000</v>
          </cell>
          <cell r="D639" t="str">
            <v>856500018522</v>
          </cell>
          <cell r="E639" t="str">
            <v>Nomad Sport Strap - 45/44mm/42mm | M/L | Black | FKM | V2</v>
          </cell>
          <cell r="F639" t="str">
            <v>Straps</v>
          </cell>
          <cell r="G639" t="str">
            <v>Apple Watch</v>
          </cell>
          <cell r="H639" t="str">
            <v>49/45/44/42 mm</v>
          </cell>
          <cell r="I639">
            <v>634.77</v>
          </cell>
          <cell r="J639">
            <v>0.32999708826205654</v>
          </cell>
          <cell r="K639">
            <v>1099</v>
          </cell>
          <cell r="L639" t="str">
            <v>Amazon</v>
          </cell>
          <cell r="M639" t="str">
            <v>Active</v>
          </cell>
          <cell r="N639" t="str">
            <v>NM1Am10000-M</v>
          </cell>
        </row>
        <row r="640">
          <cell r="A640" t="str">
            <v>Nomad</v>
          </cell>
          <cell r="B640" t="str">
            <v>B0DHCD6Q7F</v>
          </cell>
          <cell r="C640" t="str">
            <v>NM014810858</v>
          </cell>
          <cell r="D640" t="str">
            <v>856504014810</v>
          </cell>
          <cell r="E640" t="str">
            <v>Nomad Rocky Point Band - 45mm | Sol | Black Hardware</v>
          </cell>
          <cell r="F640" t="str">
            <v>Straps</v>
          </cell>
          <cell r="G640" t="str">
            <v>Apple Watch</v>
          </cell>
          <cell r="H640" t="str">
            <v>49/45/44/42 mm</v>
          </cell>
          <cell r="I640">
            <v>1287.2155172413793</v>
          </cell>
          <cell r="J640">
            <v>0.17</v>
          </cell>
          <cell r="K640">
            <v>1799</v>
          </cell>
          <cell r="L640" t="str">
            <v>Amazon</v>
          </cell>
          <cell r="M640" t="str">
            <v>Active</v>
          </cell>
          <cell r="N640" t="str">
            <v>NM014810858</v>
          </cell>
        </row>
        <row r="641">
          <cell r="A641" t="str">
            <v>Nomad</v>
          </cell>
          <cell r="B641" t="str">
            <v>B091Y74S3P</v>
          </cell>
          <cell r="C641" t="str">
            <v>NM01958185</v>
          </cell>
          <cell r="D641" t="str">
            <v>856500019581</v>
          </cell>
          <cell r="E641" t="str">
            <v>Nomad Sport Band - 45/44mm/42mm | M/L | Lunar Gray | FKM | V2</v>
          </cell>
          <cell r="F641" t="str">
            <v>Straps</v>
          </cell>
          <cell r="G641" t="str">
            <v>Apple Watch</v>
          </cell>
          <cell r="H641" t="str">
            <v>49/45/44/42 mm</v>
          </cell>
          <cell r="I641">
            <v>634.77</v>
          </cell>
          <cell r="J641">
            <v>0.32999708826205654</v>
          </cell>
          <cell r="K641">
            <v>1099</v>
          </cell>
          <cell r="L641" t="str">
            <v>Amazon</v>
          </cell>
          <cell r="M641" t="str">
            <v>Active</v>
          </cell>
          <cell r="N641" t="str">
            <v>NM01958185-M</v>
          </cell>
        </row>
        <row r="642">
          <cell r="A642" t="str">
            <v>Nomad</v>
          </cell>
          <cell r="C642" t="str">
            <v>NM00736685</v>
          </cell>
          <cell r="D642" t="str">
            <v>855848007366</v>
          </cell>
          <cell r="E642" t="str">
            <v>Nomad Sport Band - 45mm | Ultra Orange</v>
          </cell>
          <cell r="F642" t="str">
            <v>Straps</v>
          </cell>
          <cell r="G642" t="str">
            <v>Apple Watch</v>
          </cell>
          <cell r="H642" t="str">
            <v>49/45/44/42 mm</v>
          </cell>
          <cell r="I642">
            <v>857.90517241379314</v>
          </cell>
          <cell r="J642">
            <v>0.17</v>
          </cell>
          <cell r="K642">
            <v>1199</v>
          </cell>
          <cell r="L642" t="str">
            <v>Amazon</v>
          </cell>
          <cell r="M642" t="str">
            <v>Active</v>
          </cell>
          <cell r="N642" t="str">
            <v>NM00736685-M</v>
          </cell>
        </row>
        <row r="643">
          <cell r="A643" t="str">
            <v>Nomad</v>
          </cell>
          <cell r="C643" t="str">
            <v>NM014919858</v>
          </cell>
          <cell r="D643" t="str">
            <v>856504014919</v>
          </cell>
          <cell r="E643" t="str">
            <v>Nomad Sport Band - 49/45/44mm/42mm | M/L | Naval</v>
          </cell>
          <cell r="F643" t="str">
            <v>Straps</v>
          </cell>
          <cell r="G643" t="str">
            <v>Apple Watch</v>
          </cell>
          <cell r="H643" t="str">
            <v>49/45/44/42 mm</v>
          </cell>
          <cell r="I643">
            <v>786.35344827586209</v>
          </cell>
          <cell r="J643">
            <v>0.17</v>
          </cell>
          <cell r="K643">
            <v>1099</v>
          </cell>
          <cell r="L643" t="str">
            <v>Amazon</v>
          </cell>
          <cell r="M643" t="str">
            <v>Active</v>
          </cell>
          <cell r="N643" t="str">
            <v>NM014919858</v>
          </cell>
        </row>
        <row r="644">
          <cell r="A644" t="str">
            <v>Nomad</v>
          </cell>
          <cell r="B644" t="str">
            <v>B09JLXM3K1</v>
          </cell>
          <cell r="C644" t="str">
            <v>NM01132585</v>
          </cell>
          <cell r="D644" t="str">
            <v>856500011325</v>
          </cell>
          <cell r="E644" t="str">
            <v>Nomad Sport Band - 45/44mm/42mm | M/L | Ash Green | FKM | V2</v>
          </cell>
          <cell r="F644" t="str">
            <v>Straps</v>
          </cell>
          <cell r="G644" t="str">
            <v>Apple Watch</v>
          </cell>
          <cell r="H644" t="str">
            <v>49/45/44/42 mm</v>
          </cell>
          <cell r="I644">
            <v>786.35</v>
          </cell>
          <cell r="J644">
            <v>0.17000363967242949</v>
          </cell>
          <cell r="K644">
            <v>1099</v>
          </cell>
          <cell r="L644" t="str">
            <v>Amazon</v>
          </cell>
          <cell r="M644" t="str">
            <v>Active</v>
          </cell>
          <cell r="N644" t="str">
            <v>NM01132585-M</v>
          </cell>
        </row>
        <row r="645">
          <cell r="A645" t="str">
            <v>Nomad</v>
          </cell>
          <cell r="C645" t="str">
            <v>NM1A41BXT0</v>
          </cell>
          <cell r="D645" t="str">
            <v>856500018133</v>
          </cell>
          <cell r="E645" t="str">
            <v>Nomad Titanium Band - 42mm/45mm/46mm/49mm | Black Hardware</v>
          </cell>
          <cell r="F645" t="str">
            <v>Straps</v>
          </cell>
          <cell r="G645" t="str">
            <v>Apple Watch</v>
          </cell>
          <cell r="H645" t="str">
            <v>49/45/44/42 mm</v>
          </cell>
          <cell r="I645">
            <v>4292.3879310344828</v>
          </cell>
          <cell r="J645">
            <v>0.17</v>
          </cell>
          <cell r="K645">
            <v>5999</v>
          </cell>
          <cell r="L645" t="str">
            <v>Amazon</v>
          </cell>
          <cell r="M645" t="str">
            <v>Active</v>
          </cell>
          <cell r="N645" t="str">
            <v>NM1A41BXT0</v>
          </cell>
        </row>
        <row r="646">
          <cell r="A646" t="str">
            <v>Nomad</v>
          </cell>
          <cell r="C646" t="str">
            <v>NM014865858</v>
          </cell>
          <cell r="D646" t="str">
            <v>856504014865</v>
          </cell>
          <cell r="E646" t="str">
            <v>Nomad Rocky Point Band - 42mm/45mm/46mm/49mm Magma Black Hardware</v>
          </cell>
          <cell r="F646" t="str">
            <v>Straps</v>
          </cell>
          <cell r="G646" t="str">
            <v>Apple Watch</v>
          </cell>
          <cell r="H646" t="str">
            <v>49/45/44/42 mm</v>
          </cell>
          <cell r="I646">
            <v>1287.2155172413793</v>
          </cell>
          <cell r="J646">
            <v>0.17</v>
          </cell>
          <cell r="K646">
            <v>1799</v>
          </cell>
          <cell r="L646" t="str">
            <v>Amazon</v>
          </cell>
          <cell r="M646" t="str">
            <v>Active</v>
          </cell>
          <cell r="N646" t="str">
            <v>NM014865858</v>
          </cell>
        </row>
        <row r="647">
          <cell r="A647" t="str">
            <v>Nomad</v>
          </cell>
          <cell r="B647" t="str">
            <v>B09JLXZ6RV</v>
          </cell>
          <cell r="C647" t="str">
            <v>NM01133285</v>
          </cell>
          <cell r="D647" t="str">
            <v>856500011332</v>
          </cell>
          <cell r="E647" t="str">
            <v>Nomad Sport Band - 45/44mm/42mm | M/L | Marine Blue | FKM | V2</v>
          </cell>
          <cell r="F647" t="str">
            <v>Straps</v>
          </cell>
          <cell r="G647" t="str">
            <v>Apple Watch</v>
          </cell>
          <cell r="H647" t="str">
            <v>49/45/44/42 mm</v>
          </cell>
          <cell r="I647">
            <v>634.77</v>
          </cell>
          <cell r="J647">
            <v>0.32999708826205654</v>
          </cell>
          <cell r="K647">
            <v>1099</v>
          </cell>
          <cell r="L647" t="str">
            <v>Amazon</v>
          </cell>
          <cell r="M647" t="str">
            <v>Discontinued</v>
          </cell>
          <cell r="N647" t="str">
            <v>NM01133285-M</v>
          </cell>
        </row>
        <row r="648">
          <cell r="A648" t="str">
            <v>Pitaka</v>
          </cell>
          <cell r="C648" t="str">
            <v>KW3001A</v>
          </cell>
          <cell r="D648" t="str">
            <v>749355413454</v>
          </cell>
          <cell r="E648" t="str">
            <v>Pitaka Air Case for Apple Watch Ultra (49mm )</v>
          </cell>
          <cell r="F648" t="str">
            <v>Cases Apple watch</v>
          </cell>
          <cell r="G648" t="str">
            <v>Apple Watch</v>
          </cell>
          <cell r="H648" t="str">
            <v>49 mm</v>
          </cell>
          <cell r="I648">
            <v>714.80172413793105</v>
          </cell>
          <cell r="J648">
            <v>0.17</v>
          </cell>
          <cell r="K648">
            <v>999</v>
          </cell>
          <cell r="L648" t="str">
            <v>Amazon</v>
          </cell>
          <cell r="M648" t="str">
            <v>Active</v>
          </cell>
          <cell r="N648" t="str">
            <v>KW3001A</v>
          </cell>
        </row>
        <row r="649">
          <cell r="A649" t="str">
            <v>Quikcell</v>
          </cell>
          <cell r="B649" t="str">
            <v>B07XVMMVH9</v>
          </cell>
          <cell r="C649" t="str">
            <v>CTPRO2-BLK</v>
          </cell>
          <cell r="D649" t="str">
            <v>846537063060</v>
          </cell>
          <cell r="E649" t="str">
            <v>Quikcell Cross Trainer Pro II Sports Stereo Bluetooth Earphones - Black</v>
          </cell>
          <cell r="F649" t="str">
            <v>Audio</v>
          </cell>
          <cell r="G649" t="str">
            <v>HEADPHONE WIRELESS</v>
          </cell>
          <cell r="H649" t="str">
            <v>In Ear</v>
          </cell>
          <cell r="I649">
            <v>355.83</v>
          </cell>
          <cell r="J649">
            <v>0.17282004008016039</v>
          </cell>
          <cell r="K649">
            <v>499</v>
          </cell>
          <cell r="L649" t="str">
            <v>Amazon</v>
          </cell>
          <cell r="M649" t="str">
            <v>Active</v>
          </cell>
          <cell r="N649" t="str">
            <v>CTPRO2-BLK-M</v>
          </cell>
        </row>
        <row r="650">
          <cell r="A650" t="str">
            <v>Quikcell</v>
          </cell>
          <cell r="B650" t="str">
            <v>B09KDCZBC3</v>
          </cell>
          <cell r="C650" t="str">
            <v>CTPRO2-WHT</v>
          </cell>
          <cell r="D650" t="str">
            <v>846537063077</v>
          </cell>
          <cell r="E650" t="str">
            <v>Quikcell Cross Trainer Pro II Wireless Sport Headphones - White</v>
          </cell>
          <cell r="F650" t="str">
            <v>Audio</v>
          </cell>
          <cell r="G650" t="str">
            <v>HEADPHONE WIRELESS</v>
          </cell>
          <cell r="H650" t="str">
            <v>In Ear</v>
          </cell>
          <cell r="I650">
            <v>172.7</v>
          </cell>
          <cell r="J650">
            <v>0.59853306613226454</v>
          </cell>
          <cell r="K650">
            <v>499</v>
          </cell>
          <cell r="L650" t="str">
            <v>Amazon</v>
          </cell>
          <cell r="M650" t="str">
            <v>Active</v>
          </cell>
          <cell r="N650" t="str">
            <v>CTPRO2-WHT-M</v>
          </cell>
        </row>
        <row r="651">
          <cell r="A651" t="str">
            <v>Quikcell</v>
          </cell>
          <cell r="B651" t="str">
            <v>B084CVQ9GC</v>
          </cell>
          <cell r="C651" t="str">
            <v>MEA5002</v>
          </cell>
          <cell r="D651" t="str">
            <v>846537037443</v>
          </cell>
          <cell r="E651" t="str">
            <v>Quikcell 3.5mm Stereo Handsfree, Retail Packaging -Pink</v>
          </cell>
          <cell r="F651" t="str">
            <v>Audio</v>
          </cell>
          <cell r="G651" t="str">
            <v>HEADPHONES</v>
          </cell>
          <cell r="H651" t="str">
            <v>3.5MM</v>
          </cell>
          <cell r="I651">
            <v>68.849999999999994</v>
          </cell>
          <cell r="J651">
            <v>0.32885714285714296</v>
          </cell>
          <cell r="K651">
            <v>119</v>
          </cell>
          <cell r="L651" t="str">
            <v>Amazon</v>
          </cell>
          <cell r="M651" t="str">
            <v>Discontinued</v>
          </cell>
          <cell r="N651" t="str">
            <v>MEA5002-M</v>
          </cell>
        </row>
        <row r="652">
          <cell r="A652" t="str">
            <v>Quikcell</v>
          </cell>
          <cell r="B652" t="str">
            <v>B084D6XZJ2</v>
          </cell>
          <cell r="C652" t="str">
            <v>MEA5003</v>
          </cell>
          <cell r="D652" t="str">
            <v>846537037450</v>
          </cell>
          <cell r="E652" t="str">
            <v>Quikcell 3.5mm Stereo Handsfree, Retail Packaging -Blue</v>
          </cell>
          <cell r="F652" t="str">
            <v>Audio</v>
          </cell>
          <cell r="G652" t="str">
            <v>HEADPHONES</v>
          </cell>
          <cell r="H652" t="str">
            <v>3.5MM</v>
          </cell>
          <cell r="I652">
            <v>85</v>
          </cell>
          <cell r="J652">
            <v>0.17142857142857149</v>
          </cell>
          <cell r="K652">
            <v>119</v>
          </cell>
          <cell r="L652" t="str">
            <v>Amazon</v>
          </cell>
          <cell r="M652" t="str">
            <v>Discontinued</v>
          </cell>
          <cell r="N652" t="str">
            <v>MEA5003-M</v>
          </cell>
        </row>
        <row r="653">
          <cell r="A653" t="str">
            <v>Quikcell</v>
          </cell>
          <cell r="B653" t="str">
            <v>B084D7HBQG</v>
          </cell>
          <cell r="C653" t="str">
            <v>MEA5001</v>
          </cell>
          <cell r="D653" t="str">
            <v>846537037436</v>
          </cell>
          <cell r="E653" t="str">
            <v>Quikcell 3.5mm Stereo Handsfree, Retail Packaging -Black</v>
          </cell>
          <cell r="F653" t="str">
            <v>Audio</v>
          </cell>
          <cell r="G653" t="str">
            <v>HEADPHONES</v>
          </cell>
          <cell r="H653" t="str">
            <v>3.5MM</v>
          </cell>
          <cell r="I653">
            <v>56.33</v>
          </cell>
          <cell r="J653">
            <v>0.17287594936708861</v>
          </cell>
          <cell r="K653">
            <v>79</v>
          </cell>
          <cell r="L653" t="str">
            <v>Amazon</v>
          </cell>
          <cell r="M653" t="str">
            <v>Discontinued</v>
          </cell>
          <cell r="N653" t="str">
            <v>MEA5001-M</v>
          </cell>
        </row>
        <row r="654">
          <cell r="A654" t="str">
            <v>Quikcell</v>
          </cell>
          <cell r="B654" t="str">
            <v>B088YGX2T1</v>
          </cell>
          <cell r="C654" t="str">
            <v>QAIR-BUDS</v>
          </cell>
          <cell r="D654" t="str">
            <v>846537068881</v>
          </cell>
          <cell r="E654" t="str">
            <v>Quikcell QAIR BUDS True Wireless Earbuds with Charging Case - Black</v>
          </cell>
          <cell r="F654" t="str">
            <v>Audio</v>
          </cell>
          <cell r="G654" t="str">
            <v>Headphones Wireless</v>
          </cell>
          <cell r="H654" t="str">
            <v>QAir</v>
          </cell>
          <cell r="I654">
            <v>712.36</v>
          </cell>
          <cell r="J654">
            <v>0.17283523523523525</v>
          </cell>
          <cell r="K654">
            <v>999</v>
          </cell>
          <cell r="L654" t="str">
            <v>Amazon</v>
          </cell>
          <cell r="M654" t="str">
            <v>Active</v>
          </cell>
          <cell r="N654" t="str">
            <v>QAIR-BUDS-M</v>
          </cell>
        </row>
        <row r="655">
          <cell r="A655" t="str">
            <v>Quikcell</v>
          </cell>
          <cell r="B655" t="str">
            <v>B08D8D8FQT</v>
          </cell>
          <cell r="C655" t="str">
            <v>QAIR-BUDS-WHT</v>
          </cell>
          <cell r="D655" t="str">
            <v>846537075582</v>
          </cell>
          <cell r="E655" t="str">
            <v>Quikcell QAIR BUDS True Wireless Earbuds with Charging Case - White</v>
          </cell>
          <cell r="F655" t="str">
            <v>Audio</v>
          </cell>
          <cell r="G655" t="str">
            <v>Headphones Wireless</v>
          </cell>
          <cell r="H655" t="str">
            <v>QAir</v>
          </cell>
          <cell r="I655">
            <v>712.36</v>
          </cell>
          <cell r="J655">
            <v>0.17283523523523525</v>
          </cell>
          <cell r="K655">
            <v>999</v>
          </cell>
          <cell r="L655" t="str">
            <v>Amazon</v>
          </cell>
          <cell r="M655" t="str">
            <v>Active</v>
          </cell>
          <cell r="N655" t="str">
            <v>QAIR-BUDS-WHT-M</v>
          </cell>
        </row>
        <row r="656">
          <cell r="A656" t="str">
            <v>Quikcell</v>
          </cell>
          <cell r="B656" t="str">
            <v>B084CX1Q6P</v>
          </cell>
          <cell r="C656" t="str">
            <v>CABLE3N1-BLK</v>
          </cell>
          <cell r="D656" t="str">
            <v>846537049262</v>
          </cell>
          <cell r="E656" t="str">
            <v>Quikcell 3 in 1 Type-C / Lightning / MicroUSB Cable 1 Meter - Black</v>
          </cell>
          <cell r="F656" t="str">
            <v>Cables</v>
          </cell>
          <cell r="G656" t="str">
            <v>3-1</v>
          </cell>
          <cell r="H656" t="str">
            <v>3 ft</v>
          </cell>
          <cell r="I656">
            <v>355.83</v>
          </cell>
          <cell r="J656">
            <v>0.17282004008016039</v>
          </cell>
          <cell r="K656">
            <v>499</v>
          </cell>
          <cell r="L656" t="str">
            <v>Amazon</v>
          </cell>
          <cell r="M656" t="str">
            <v>Discontinued</v>
          </cell>
          <cell r="N656" t="str">
            <v>CABLE3N1-BLK-M</v>
          </cell>
        </row>
        <row r="657">
          <cell r="A657" t="str">
            <v>Quikcell</v>
          </cell>
          <cell r="B657" t="str">
            <v>B084KTST51</v>
          </cell>
          <cell r="C657" t="str">
            <v>MCL5002</v>
          </cell>
          <cell r="D657" t="str">
            <v>846537036064</v>
          </cell>
          <cell r="E657" t="str">
            <v>Quikcell Lighting Cable 3ft-Pink</v>
          </cell>
          <cell r="F657" t="str">
            <v>Cables</v>
          </cell>
          <cell r="G657" t="str">
            <v>Lightning</v>
          </cell>
          <cell r="H657" t="str">
            <v>3 ft</v>
          </cell>
          <cell r="I657">
            <v>187.68</v>
          </cell>
          <cell r="J657">
            <v>0.17220988593155895</v>
          </cell>
          <cell r="K657">
            <v>263</v>
          </cell>
          <cell r="L657" t="str">
            <v>Amazon</v>
          </cell>
          <cell r="M657" t="str">
            <v>Active</v>
          </cell>
          <cell r="N657" t="str">
            <v>MCL5002-M</v>
          </cell>
        </row>
        <row r="658">
          <cell r="A658" t="str">
            <v>Quikcell</v>
          </cell>
          <cell r="B658" t="str">
            <v>B084CW3551</v>
          </cell>
          <cell r="C658" t="str">
            <v>MCL5005</v>
          </cell>
          <cell r="D658" t="str">
            <v>846537036095</v>
          </cell>
          <cell r="E658" t="str">
            <v>Quikcell Lighting Cable 6ft-Pink</v>
          </cell>
          <cell r="F658" t="str">
            <v>Cables</v>
          </cell>
          <cell r="G658" t="str">
            <v>Lightning</v>
          </cell>
          <cell r="H658" t="str">
            <v>6 ft</v>
          </cell>
          <cell r="I658">
            <v>216.2</v>
          </cell>
          <cell r="J658">
            <v>0.17230363036303642</v>
          </cell>
          <cell r="K658">
            <v>303</v>
          </cell>
          <cell r="L658" t="str">
            <v>Amazon</v>
          </cell>
          <cell r="M658" t="str">
            <v>Active</v>
          </cell>
          <cell r="N658" t="str">
            <v>MCL5005-M</v>
          </cell>
        </row>
        <row r="659">
          <cell r="A659" t="str">
            <v>Quikcell</v>
          </cell>
          <cell r="B659" t="str">
            <v>B084CXV1ZM</v>
          </cell>
          <cell r="C659" t="str">
            <v>MCL5006</v>
          </cell>
          <cell r="D659" t="str">
            <v>846537036101</v>
          </cell>
          <cell r="E659" t="str">
            <v>Quikcell Lighting Cable 6ft-White</v>
          </cell>
          <cell r="F659" t="str">
            <v>Cables</v>
          </cell>
          <cell r="G659" t="str">
            <v>Lightning</v>
          </cell>
          <cell r="H659" t="str">
            <v>6 ft</v>
          </cell>
          <cell r="I659">
            <v>216.2</v>
          </cell>
          <cell r="J659">
            <v>0.17230363036303642</v>
          </cell>
          <cell r="K659">
            <v>303</v>
          </cell>
          <cell r="L659" t="str">
            <v>Amazon</v>
          </cell>
          <cell r="M659" t="str">
            <v>Active</v>
          </cell>
          <cell r="N659" t="str">
            <v>MCL5006-M</v>
          </cell>
        </row>
        <row r="660">
          <cell r="A660" t="str">
            <v>Quikcell</v>
          </cell>
          <cell r="B660" t="str">
            <v>B08RN72YR6</v>
          </cell>
          <cell r="C660" t="str">
            <v>QLIGHTA6FT</v>
          </cell>
          <cell r="D660" t="str">
            <v>846537077081</v>
          </cell>
          <cell r="E660" t="str">
            <v>Quikcell CHARGE &amp; SYNC CABLE MFi Lightning to USB-A - 6ft - Black</v>
          </cell>
          <cell r="F660" t="str">
            <v>Cables</v>
          </cell>
          <cell r="G660" t="str">
            <v>Lightning</v>
          </cell>
          <cell r="H660" t="str">
            <v>6 ft</v>
          </cell>
          <cell r="I660">
            <v>355.83</v>
          </cell>
          <cell r="J660">
            <v>0.17282004008016039</v>
          </cell>
          <cell r="K660">
            <v>499</v>
          </cell>
          <cell r="L660" t="str">
            <v>Amazon</v>
          </cell>
          <cell r="M660" t="str">
            <v>Discontinued</v>
          </cell>
          <cell r="N660" t="str">
            <v>QLIGHTA6FT-M</v>
          </cell>
        </row>
        <row r="661">
          <cell r="A661" t="str">
            <v>Quikcell</v>
          </cell>
          <cell r="B661" t="str">
            <v>B09KDGDV17</v>
          </cell>
          <cell r="C661" t="str">
            <v>QLIGHTC6FT</v>
          </cell>
          <cell r="D661" t="str">
            <v>846537077104</v>
          </cell>
          <cell r="E661" t="str">
            <v>Quikcell CHARGE &amp; SYNC CABLE MFi Lightning to USB-C - 6ft - Black</v>
          </cell>
          <cell r="F661" t="str">
            <v>Cables</v>
          </cell>
          <cell r="G661" t="str">
            <v>Lightning - Type C</v>
          </cell>
          <cell r="H661" t="str">
            <v>6 ft</v>
          </cell>
          <cell r="I661">
            <v>320.17</v>
          </cell>
          <cell r="J661">
            <v>0.17283474387527842</v>
          </cell>
          <cell r="K661">
            <v>449</v>
          </cell>
          <cell r="L661" t="str">
            <v>Amazon</v>
          </cell>
          <cell r="M661" t="str">
            <v>Discontinued</v>
          </cell>
          <cell r="N661" t="str">
            <v>QLIGHTC6FT-M</v>
          </cell>
        </row>
        <row r="662">
          <cell r="A662" t="str">
            <v>Quikcell</v>
          </cell>
          <cell r="B662" t="str">
            <v>B084BY8F9R</v>
          </cell>
          <cell r="C662" t="str">
            <v>MCU5006</v>
          </cell>
          <cell r="D662" t="str">
            <v>846537036026</v>
          </cell>
          <cell r="E662" t="str">
            <v>Quikcell USB to Micro USB Data Cable 6ft-Pink</v>
          </cell>
          <cell r="F662" t="str">
            <v>Cables</v>
          </cell>
          <cell r="G662" t="str">
            <v>Micro USB</v>
          </cell>
          <cell r="H662" t="str">
            <v>3ft</v>
          </cell>
          <cell r="I662">
            <v>85</v>
          </cell>
          <cell r="J662">
            <v>0.17142857142857149</v>
          </cell>
          <cell r="K662">
            <v>119</v>
          </cell>
          <cell r="L662" t="str">
            <v>Amazon</v>
          </cell>
          <cell r="M662" t="str">
            <v>Discontinued</v>
          </cell>
          <cell r="N662" t="str">
            <v>MCU5006-M</v>
          </cell>
        </row>
        <row r="663">
          <cell r="A663" t="str">
            <v>Quikcell</v>
          </cell>
          <cell r="B663" t="str">
            <v>B084C24PQF</v>
          </cell>
          <cell r="C663" t="str">
            <v>MCU5007</v>
          </cell>
          <cell r="D663" t="str">
            <v>846537036033</v>
          </cell>
          <cell r="E663" t="str">
            <v>Quikcell USB to Micro USB Data Cable 6ft-Red</v>
          </cell>
          <cell r="F663" t="str">
            <v>Cables</v>
          </cell>
          <cell r="G663" t="str">
            <v>Micro USB</v>
          </cell>
          <cell r="H663" t="str">
            <v>3ft</v>
          </cell>
          <cell r="I663">
            <v>85</v>
          </cell>
          <cell r="J663">
            <v>0.17142857142857149</v>
          </cell>
          <cell r="K663">
            <v>119</v>
          </cell>
          <cell r="L663" t="str">
            <v>Amazon</v>
          </cell>
          <cell r="M663" t="str">
            <v>Discontinued</v>
          </cell>
          <cell r="N663" t="str">
            <v>MCU5007-M</v>
          </cell>
        </row>
        <row r="664">
          <cell r="A664" t="str">
            <v>Quikcell</v>
          </cell>
          <cell r="B664" t="str">
            <v>B084C4QSS2</v>
          </cell>
          <cell r="C664" t="str">
            <v>MCU5003</v>
          </cell>
          <cell r="D664" t="str">
            <v>846537035999</v>
          </cell>
          <cell r="E664" t="str">
            <v>Quikcell USB to Micro USB Data Cable 3ft-Red</v>
          </cell>
          <cell r="F664" t="str">
            <v>Cables</v>
          </cell>
          <cell r="G664" t="str">
            <v>Micro USB</v>
          </cell>
          <cell r="H664" t="str">
            <v>3ft</v>
          </cell>
          <cell r="I664">
            <v>56.48</v>
          </cell>
          <cell r="J664">
            <v>0.17067341772151912</v>
          </cell>
          <cell r="K664">
            <v>79</v>
          </cell>
          <cell r="L664" t="str">
            <v>Amazon</v>
          </cell>
          <cell r="M664" t="str">
            <v>Discontinued</v>
          </cell>
          <cell r="N664" t="str">
            <v>MCU5003-M</v>
          </cell>
        </row>
        <row r="665">
          <cell r="A665" t="str">
            <v>Quikcell</v>
          </cell>
          <cell r="B665" t="str">
            <v>B084CS98D2</v>
          </cell>
          <cell r="C665" t="str">
            <v>MCU5004</v>
          </cell>
          <cell r="D665" t="str">
            <v>846537036002</v>
          </cell>
          <cell r="E665" t="str">
            <v>Quikcell USB to Micro USB Data Cable 3ft-Blue</v>
          </cell>
          <cell r="F665" t="str">
            <v>Cables</v>
          </cell>
          <cell r="G665" t="str">
            <v>Micro USB</v>
          </cell>
          <cell r="H665" t="str">
            <v>3ft</v>
          </cell>
          <cell r="I665">
            <v>56.48</v>
          </cell>
          <cell r="J665">
            <v>0.17067341772151912</v>
          </cell>
          <cell r="K665">
            <v>79</v>
          </cell>
          <cell r="L665" t="str">
            <v>Amazon</v>
          </cell>
          <cell r="M665" t="str">
            <v>Discontinued</v>
          </cell>
          <cell r="N665" t="str">
            <v>MCU5004-M</v>
          </cell>
        </row>
        <row r="666">
          <cell r="A666" t="str">
            <v>Quikcell</v>
          </cell>
          <cell r="B666" t="str">
            <v>B084CSMCXX</v>
          </cell>
          <cell r="C666" t="str">
            <v>MCU5002</v>
          </cell>
          <cell r="D666" t="str">
            <v>846537035982</v>
          </cell>
          <cell r="E666" t="str">
            <v>Quikcell USB to Micro USB Data Cable 3ft-Pink</v>
          </cell>
          <cell r="F666" t="str">
            <v>Cables</v>
          </cell>
          <cell r="G666" t="str">
            <v>Micro USB</v>
          </cell>
          <cell r="H666" t="str">
            <v>3ft</v>
          </cell>
          <cell r="I666">
            <v>56.48</v>
          </cell>
          <cell r="J666">
            <v>0.17067341772151912</v>
          </cell>
          <cell r="K666">
            <v>79</v>
          </cell>
          <cell r="L666" t="str">
            <v>Amazon</v>
          </cell>
          <cell r="M666" t="str">
            <v>Discontinued</v>
          </cell>
          <cell r="N666" t="str">
            <v>MCU5002-M</v>
          </cell>
        </row>
        <row r="667">
          <cell r="A667" t="str">
            <v>Quikcell</v>
          </cell>
          <cell r="B667" t="str">
            <v>B084CXRT9Q</v>
          </cell>
          <cell r="C667" t="str">
            <v>MCU5008</v>
          </cell>
          <cell r="D667" t="str">
            <v>846537036040</v>
          </cell>
          <cell r="E667" t="str">
            <v>Quikcell USB to Micro USB Data Cable 6ft-Blue</v>
          </cell>
          <cell r="F667" t="str">
            <v>Cables</v>
          </cell>
          <cell r="G667" t="str">
            <v>Micro USB</v>
          </cell>
          <cell r="H667" t="str">
            <v>3ft</v>
          </cell>
          <cell r="I667">
            <v>85</v>
          </cell>
          <cell r="J667">
            <v>0.17142857142857149</v>
          </cell>
          <cell r="K667">
            <v>119</v>
          </cell>
          <cell r="L667" t="str">
            <v>Amazon</v>
          </cell>
          <cell r="M667" t="str">
            <v>Discontinued</v>
          </cell>
          <cell r="N667" t="str">
            <v>MCU5008-M</v>
          </cell>
        </row>
        <row r="668">
          <cell r="A668" t="str">
            <v>Quikcell</v>
          </cell>
          <cell r="B668" t="str">
            <v>B00QU9JY84</v>
          </cell>
          <cell r="C668" t="str">
            <v>MCU5005</v>
          </cell>
          <cell r="D668" t="str">
            <v>846537030703</v>
          </cell>
          <cell r="E668" t="str">
            <v>Quikcell USB to Micro USB Data Cable 6ft-Black</v>
          </cell>
          <cell r="F668" t="str">
            <v>Cables</v>
          </cell>
          <cell r="G668" t="str">
            <v>Micro USB</v>
          </cell>
          <cell r="H668" t="str">
            <v>6 ft</v>
          </cell>
          <cell r="I668">
            <v>56.48</v>
          </cell>
          <cell r="J668">
            <v>0.17067341772151912</v>
          </cell>
          <cell r="K668">
            <v>79</v>
          </cell>
          <cell r="L668" t="str">
            <v>Amazon</v>
          </cell>
          <cell r="M668" t="str">
            <v>Discontinued</v>
          </cell>
          <cell r="N668" t="str">
            <v>MCU5005-M</v>
          </cell>
        </row>
        <row r="669">
          <cell r="A669" t="str">
            <v>Quikcell</v>
          </cell>
          <cell r="B669" t="str">
            <v>B0BQX1Q3F5</v>
          </cell>
          <cell r="C669" t="str">
            <v>QTYPECA3FT</v>
          </cell>
          <cell r="D669" t="str">
            <v>846537082030</v>
          </cell>
          <cell r="E669" t="str">
            <v>Quikcell USB-A to USB-C cable 3 ft. 3A current; PVC+Nylon</v>
          </cell>
          <cell r="F669" t="str">
            <v>Cables</v>
          </cell>
          <cell r="G669" t="str">
            <v>Type C</v>
          </cell>
          <cell r="H669" t="str">
            <v>3ft</v>
          </cell>
          <cell r="I669">
            <v>143.82</v>
          </cell>
          <cell r="J669">
            <v>0.32999518072289169</v>
          </cell>
          <cell r="K669">
            <v>249</v>
          </cell>
          <cell r="L669" t="str">
            <v>Amazon</v>
          </cell>
          <cell r="M669" t="str">
            <v>Active</v>
          </cell>
          <cell r="N669" t="str">
            <v>QTYPECA3FT-M</v>
          </cell>
        </row>
        <row r="670">
          <cell r="A670" t="str">
            <v>Quikcell</v>
          </cell>
          <cell r="B670" t="str">
            <v>B09KDGFBNG</v>
          </cell>
          <cell r="C670" t="str">
            <v>QTYPECA6FT</v>
          </cell>
          <cell r="D670" t="str">
            <v>846537077043</v>
          </cell>
          <cell r="E670" t="str">
            <v>Quikcell CHARGE &amp; SYNC CABLE USB-A to USB-C - 6 ft - Black</v>
          </cell>
          <cell r="F670" t="str">
            <v>Cables</v>
          </cell>
          <cell r="G670" t="str">
            <v>Type C</v>
          </cell>
          <cell r="H670" t="str">
            <v>6 ft</v>
          </cell>
          <cell r="I670">
            <v>213.21</v>
          </cell>
          <cell r="J670">
            <v>0.17283076923076923</v>
          </cell>
          <cell r="K670">
            <v>299</v>
          </cell>
          <cell r="L670" t="str">
            <v>Amazon</v>
          </cell>
          <cell r="M670" t="str">
            <v>Discontinued</v>
          </cell>
          <cell r="N670" t="str">
            <v>QTYPECA6FT-M</v>
          </cell>
        </row>
        <row r="671">
          <cell r="A671" t="str">
            <v>Quikcell</v>
          </cell>
          <cell r="B671" t="str">
            <v>B0BQX32P35</v>
          </cell>
          <cell r="C671" t="str">
            <v>QTYPECC3FT</v>
          </cell>
          <cell r="D671" t="str">
            <v>846537077067</v>
          </cell>
          <cell r="E671" t="str">
            <v>Quikcell USB-C to USB-C cable 3 ft. 3A current; PVC+Nylon</v>
          </cell>
          <cell r="F671" t="str">
            <v>Cables</v>
          </cell>
          <cell r="G671" t="str">
            <v>Type C - Type C</v>
          </cell>
          <cell r="H671" t="str">
            <v>3 ft</v>
          </cell>
          <cell r="I671">
            <v>177.55</v>
          </cell>
          <cell r="J671">
            <v>0.17285943775100399</v>
          </cell>
          <cell r="K671">
            <v>249</v>
          </cell>
          <cell r="L671" t="str">
            <v>Amazon</v>
          </cell>
          <cell r="M671" t="str">
            <v>Active</v>
          </cell>
          <cell r="N671" t="str">
            <v>QTYPECC3FT-M</v>
          </cell>
        </row>
        <row r="672">
          <cell r="A672" t="str">
            <v>Quikcell</v>
          </cell>
          <cell r="B672" t="str">
            <v>B092NP67VH</v>
          </cell>
          <cell r="C672" t="str">
            <v>QTYPECC6FT</v>
          </cell>
          <cell r="D672" t="str">
            <v>846537077067</v>
          </cell>
          <cell r="E672" t="str">
            <v>Quikcell CHARGE &amp; SYNC CABLE USB-C to USB-C - 6 ft - Black</v>
          </cell>
          <cell r="F672" t="str">
            <v>Cables</v>
          </cell>
          <cell r="G672" t="str">
            <v>Type C - Type C</v>
          </cell>
          <cell r="H672" t="str">
            <v>6 ft</v>
          </cell>
          <cell r="I672">
            <v>248.86</v>
          </cell>
          <cell r="J672">
            <v>0.172843553008596</v>
          </cell>
          <cell r="K672">
            <v>349</v>
          </cell>
          <cell r="L672" t="str">
            <v>Amazon</v>
          </cell>
          <cell r="M672" t="str">
            <v>Discontinued</v>
          </cell>
          <cell r="N672" t="str">
            <v>QTYPECC6FT-M</v>
          </cell>
        </row>
        <row r="673">
          <cell r="A673" t="str">
            <v>Quikcell</v>
          </cell>
          <cell r="B673" t="str">
            <v>B0BD5RQQ8B</v>
          </cell>
          <cell r="C673" t="str">
            <v>QGR05-BLK</v>
          </cell>
          <cell r="D673" t="str">
            <v>846537067426</v>
          </cell>
          <cell r="E673" t="str">
            <v>Quikcell Apple iPhone 11 Pro Max GUARDZ Rugged Protective Case - Black</v>
          </cell>
          <cell r="F673" t="str">
            <v>Cases iPhone</v>
          </cell>
          <cell r="G673" t="str">
            <v>iPhone 11</v>
          </cell>
          <cell r="H673" t="str">
            <v>iPhone 11 Pro</v>
          </cell>
          <cell r="I673">
            <v>213.21</v>
          </cell>
          <cell r="J673">
            <v>0.17283076923076923</v>
          </cell>
          <cell r="K673">
            <v>299</v>
          </cell>
          <cell r="L673" t="str">
            <v>Amazon</v>
          </cell>
          <cell r="M673" t="str">
            <v>Discontinued</v>
          </cell>
          <cell r="N673" t="str">
            <v>QGR05-BLK-M</v>
          </cell>
        </row>
        <row r="674">
          <cell r="A674" t="str">
            <v>Quikcell</v>
          </cell>
          <cell r="B674" t="str">
            <v>B0BRDDZ4DJ</v>
          </cell>
          <cell r="C674" t="str">
            <v>QTH01-BLK</v>
          </cell>
          <cell r="D674" t="str">
            <v>846537067259</v>
          </cell>
          <cell r="E674" t="str">
            <v>Quikcell Apple iPhone 11 Pro Luxe Premium Designer Case - Black</v>
          </cell>
          <cell r="F674" t="str">
            <v>Cases iPhone</v>
          </cell>
          <cell r="G674" t="str">
            <v>iPhone 11</v>
          </cell>
          <cell r="H674" t="str">
            <v>iPhone 11 Pro</v>
          </cell>
          <cell r="I674">
            <v>172.7</v>
          </cell>
          <cell r="J674">
            <v>0.32999331103678942</v>
          </cell>
          <cell r="K674">
            <v>299</v>
          </cell>
          <cell r="L674" t="str">
            <v>Amazon</v>
          </cell>
          <cell r="M674" t="str">
            <v>Discontinued</v>
          </cell>
          <cell r="N674" t="str">
            <v>QTH01-BLK-M</v>
          </cell>
        </row>
        <row r="675">
          <cell r="A675" t="str">
            <v>Quikcell</v>
          </cell>
          <cell r="B675" t="str">
            <v xml:space="preserve">B0BRDDZ4DJ </v>
          </cell>
          <cell r="C675" t="str">
            <v>QTH01-BLK</v>
          </cell>
          <cell r="D675" t="str">
            <v>846537067259</v>
          </cell>
          <cell r="E675" t="str">
            <v>Quikcell Apple iPhone 11 Pro Luxe Premium Designer Case - Black</v>
          </cell>
          <cell r="F675" t="str">
            <v>Cases iPhone</v>
          </cell>
          <cell r="G675" t="str">
            <v>iPhone 11</v>
          </cell>
          <cell r="H675" t="str">
            <v>iPhone 11 Pro</v>
          </cell>
          <cell r="I675">
            <v>213.21</v>
          </cell>
          <cell r="J675">
            <v>0.17283076923076923</v>
          </cell>
          <cell r="K675">
            <v>299</v>
          </cell>
          <cell r="L675" t="str">
            <v>Amazon</v>
          </cell>
          <cell r="M675" t="str">
            <v>Discontinued</v>
          </cell>
          <cell r="N675" t="str">
            <v>QTH01-BLK-M</v>
          </cell>
        </row>
        <row r="676">
          <cell r="A676" t="str">
            <v>Quikcell</v>
          </cell>
          <cell r="B676" t="str">
            <v>B0BRDHP3DX</v>
          </cell>
          <cell r="C676" t="str">
            <v>QKB53-BLK</v>
          </cell>
          <cell r="D676" t="str">
            <v>846537067198</v>
          </cell>
          <cell r="E676" t="str">
            <v>Quikcell Apple iPhone 11 Pro KICKBACK Dual Layer Kickstand Case - Black/Gray</v>
          </cell>
          <cell r="F676" t="str">
            <v>Cases iPhone</v>
          </cell>
          <cell r="G676" t="str">
            <v>iPhone 11</v>
          </cell>
          <cell r="H676" t="str">
            <v>iPhone 11 Pro</v>
          </cell>
          <cell r="I676">
            <v>213.21</v>
          </cell>
          <cell r="J676">
            <v>0.17283076923076923</v>
          </cell>
          <cell r="K676">
            <v>299</v>
          </cell>
          <cell r="L676" t="str">
            <v>Amazon</v>
          </cell>
          <cell r="M676" t="str">
            <v>Discontinued</v>
          </cell>
          <cell r="N676" t="str">
            <v>QKB53-BLK-M</v>
          </cell>
        </row>
        <row r="677">
          <cell r="A677" t="str">
            <v>Quikcell</v>
          </cell>
          <cell r="B677" t="str">
            <v>B0BX4NHVV4</v>
          </cell>
          <cell r="C677" t="str">
            <v>QKB55-BLU</v>
          </cell>
          <cell r="D677" t="str">
            <v>846537067211</v>
          </cell>
          <cell r="E677" t="str">
            <v>Quikcell Apple iPhone 11 Pro KICKBACK Dual Layer Kickstand Case - Blue/Black</v>
          </cell>
          <cell r="F677" t="str">
            <v>Cases iPhone</v>
          </cell>
          <cell r="G677" t="str">
            <v>iPhone 11</v>
          </cell>
          <cell r="H677" t="str">
            <v>iPhone 11 Pro</v>
          </cell>
          <cell r="I677">
            <v>172.7</v>
          </cell>
          <cell r="J677">
            <v>0.32999331103678942</v>
          </cell>
          <cell r="K677">
            <v>299</v>
          </cell>
          <cell r="L677" t="str">
            <v>Amazon</v>
          </cell>
          <cell r="M677" t="str">
            <v>Discontinued</v>
          </cell>
          <cell r="N677" t="str">
            <v>QKB55-BLU-M</v>
          </cell>
        </row>
        <row r="678">
          <cell r="A678" t="str">
            <v>Quikcell</v>
          </cell>
          <cell r="B678" t="str">
            <v>B0BRDGB2PK</v>
          </cell>
          <cell r="C678" t="str">
            <v>QKB59-BLK</v>
          </cell>
          <cell r="D678" t="str">
            <v>846537067440</v>
          </cell>
          <cell r="E678" t="str">
            <v>Quikcell Apple iPhone 11 Pro Max KICKBACK Dual Layer Kickstand Case - Black/Gray</v>
          </cell>
          <cell r="F678" t="str">
            <v>Cases iPhone</v>
          </cell>
          <cell r="G678" t="str">
            <v>iPhone 11</v>
          </cell>
          <cell r="H678" t="str">
            <v>iPhone 11 Pro Max</v>
          </cell>
          <cell r="I678">
            <v>172.7</v>
          </cell>
          <cell r="J678">
            <v>0.32999331103678942</v>
          </cell>
          <cell r="K678">
            <v>299</v>
          </cell>
          <cell r="L678" t="str">
            <v>Amazon</v>
          </cell>
          <cell r="M678" t="str">
            <v>Discontinued</v>
          </cell>
          <cell r="N678" t="str">
            <v>QKB59-BLK-M</v>
          </cell>
        </row>
        <row r="679">
          <cell r="A679" t="str">
            <v>Quikcell</v>
          </cell>
          <cell r="B679" t="str">
            <v>B0BW29DNF2</v>
          </cell>
          <cell r="C679" t="str">
            <v>QTH05-BLK</v>
          </cell>
          <cell r="D679" t="str">
            <v>846537067518</v>
          </cell>
          <cell r="E679" t="str">
            <v>Quikcell Apple iPhone 11 Pro Max Luxe Premium Designer Case - Black</v>
          </cell>
          <cell r="F679" t="str">
            <v>Cases iPhone</v>
          </cell>
          <cell r="G679" t="str">
            <v>iPhone 11</v>
          </cell>
          <cell r="H679" t="str">
            <v>iPhone 11 Pro Max</v>
          </cell>
          <cell r="I679">
            <v>213.21</v>
          </cell>
          <cell r="J679">
            <v>0.17283076923076923</v>
          </cell>
          <cell r="K679">
            <v>299</v>
          </cell>
          <cell r="L679" t="str">
            <v>Amazon</v>
          </cell>
          <cell r="M679" t="str">
            <v>Discontinued</v>
          </cell>
          <cell r="N679" t="str">
            <v>QTH05-BLK-M</v>
          </cell>
        </row>
        <row r="680">
          <cell r="A680" t="str">
            <v>Quikcell</v>
          </cell>
          <cell r="B680" t="str">
            <v>B08QM4MGB7</v>
          </cell>
          <cell r="C680" t="str">
            <v>ADV2032</v>
          </cell>
          <cell r="D680" t="str">
            <v>846537077593</v>
          </cell>
          <cell r="E680" t="str">
            <v>Quikcell Apple iPhone 12 Pro Max ADVOCATE Dual-Layer Kickstand Case - Ebony Black</v>
          </cell>
          <cell r="F680" t="str">
            <v>Cases iPhone</v>
          </cell>
          <cell r="G680" t="str">
            <v>iPhone 12</v>
          </cell>
          <cell r="H680" t="str">
            <v>iPhone 12 Pro Max</v>
          </cell>
          <cell r="I680">
            <v>213.21</v>
          </cell>
          <cell r="J680">
            <v>0.17283076923076923</v>
          </cell>
          <cell r="K680">
            <v>299</v>
          </cell>
          <cell r="L680" t="str">
            <v>Amazon</v>
          </cell>
          <cell r="M680" t="str">
            <v>Discontinued</v>
          </cell>
          <cell r="N680" t="str">
            <v>ADV2032-M</v>
          </cell>
        </row>
        <row r="681">
          <cell r="A681" t="str">
            <v>Quikcell</v>
          </cell>
          <cell r="B681" t="str">
            <v>B08QM6PRJM</v>
          </cell>
          <cell r="C681" t="str">
            <v>CON2012</v>
          </cell>
          <cell r="D681" t="str">
            <v>846537077685</v>
          </cell>
          <cell r="E681" t="str">
            <v>Quikcell Apple iPhone 12 Pro Max CONSUL Folio Case with Slots - Black Vault</v>
          </cell>
          <cell r="F681" t="str">
            <v>Cases iPhone</v>
          </cell>
          <cell r="G681" t="str">
            <v>iPhone 12</v>
          </cell>
          <cell r="H681" t="str">
            <v>iPhone 12 Pro Max</v>
          </cell>
          <cell r="I681">
            <v>213.21</v>
          </cell>
          <cell r="J681">
            <v>0.17283076923076923</v>
          </cell>
          <cell r="K681">
            <v>299</v>
          </cell>
          <cell r="L681" t="str">
            <v>Amazon</v>
          </cell>
          <cell r="M681" t="str">
            <v>Discontinued</v>
          </cell>
          <cell r="N681" t="str">
            <v>CON2012-M</v>
          </cell>
        </row>
        <row r="682">
          <cell r="A682" t="str">
            <v>Quikcell</v>
          </cell>
          <cell r="B682" t="str">
            <v>B08QMW89MR</v>
          </cell>
          <cell r="C682" t="str">
            <v>TIN2007</v>
          </cell>
          <cell r="D682" t="str">
            <v>846537077654</v>
          </cell>
          <cell r="E682" t="str">
            <v>Quikcell Apple iPhone 12 Pro Max ICON TINT Transparent  Case - Ice</v>
          </cell>
          <cell r="F682" t="str">
            <v>Cases iPhone</v>
          </cell>
          <cell r="G682" t="str">
            <v>iPhone 12</v>
          </cell>
          <cell r="H682" t="str">
            <v>iPhone 12 Pro Max</v>
          </cell>
          <cell r="I682">
            <v>213.21</v>
          </cell>
          <cell r="J682">
            <v>0.17283076923076923</v>
          </cell>
          <cell r="K682">
            <v>299</v>
          </cell>
          <cell r="L682" t="str">
            <v>Amazon</v>
          </cell>
          <cell r="M682" t="str">
            <v>Discontinued</v>
          </cell>
          <cell r="N682" t="str">
            <v>TIN2007-M</v>
          </cell>
        </row>
        <row r="683">
          <cell r="A683" t="str">
            <v>Quikcell</v>
          </cell>
          <cell r="B683" t="str">
            <v>B0BRDHP3DX</v>
          </cell>
          <cell r="C683" t="str">
            <v>CON2012</v>
          </cell>
          <cell r="D683" t="str">
            <v>846537077685</v>
          </cell>
          <cell r="E683" t="str">
            <v>Quikcell Apple iPhone 12 Pro Max CONSUL Folio Case with Slots - Black Vault</v>
          </cell>
          <cell r="F683" t="str">
            <v>Cases iPhone</v>
          </cell>
          <cell r="G683" t="str">
            <v>iPhone 12</v>
          </cell>
          <cell r="H683" t="str">
            <v>iPhone 12 Pro Max</v>
          </cell>
          <cell r="I683">
            <v>213.21</v>
          </cell>
          <cell r="J683">
            <v>0.17283076923076923</v>
          </cell>
          <cell r="K683">
            <v>299</v>
          </cell>
          <cell r="L683" t="str">
            <v>Amazon</v>
          </cell>
          <cell r="M683" t="str">
            <v>Discontinued</v>
          </cell>
          <cell r="N683" t="str">
            <v>CON2012-M</v>
          </cell>
        </row>
        <row r="684">
          <cell r="A684" t="str">
            <v>Quikcell</v>
          </cell>
          <cell r="B684" t="str">
            <v>B0BRDHR7G3</v>
          </cell>
          <cell r="C684" t="str">
            <v>ADV2032</v>
          </cell>
          <cell r="D684" t="str">
            <v>846537078712</v>
          </cell>
          <cell r="E684" t="str">
            <v>Quikcell Apple iPhone 12 Pro Max ADVOCATE Dual-Layer Kickstand Case - Ebony Black</v>
          </cell>
          <cell r="F684" t="str">
            <v>Cases iPhone</v>
          </cell>
          <cell r="G684" t="str">
            <v>iPhone 12</v>
          </cell>
          <cell r="H684" t="str">
            <v>iPhone 12 Pro Max</v>
          </cell>
          <cell r="I684">
            <v>172.7</v>
          </cell>
          <cell r="J684">
            <v>0.32999331103678942</v>
          </cell>
          <cell r="K684">
            <v>299</v>
          </cell>
          <cell r="L684" t="str">
            <v>Amazon</v>
          </cell>
          <cell r="M684" t="str">
            <v>Discontinued</v>
          </cell>
          <cell r="N684" t="str">
            <v>ADV2032-M</v>
          </cell>
        </row>
        <row r="685">
          <cell r="A685" t="str">
            <v>Quikcell</v>
          </cell>
          <cell r="B685" t="str">
            <v>B0BW1PC4V9</v>
          </cell>
          <cell r="C685" t="str">
            <v>TIN2009</v>
          </cell>
          <cell r="D685" t="str">
            <v>846537077678</v>
          </cell>
          <cell r="E685" t="str">
            <v>Quikcell Apple iPhone 12 Pro Max ICON TINT Transparent Case - Smoke</v>
          </cell>
          <cell r="F685" t="str">
            <v>Cases iPhone</v>
          </cell>
          <cell r="G685" t="str">
            <v>iPhone 12</v>
          </cell>
          <cell r="H685" t="str">
            <v>iPhone 12 Pro Max</v>
          </cell>
          <cell r="I685">
            <v>427.13</v>
          </cell>
          <cell r="J685">
            <v>0.17283672787979976</v>
          </cell>
          <cell r="K685">
            <v>599</v>
          </cell>
          <cell r="L685" t="str">
            <v>Amazon</v>
          </cell>
          <cell r="M685" t="str">
            <v>Discontinued</v>
          </cell>
          <cell r="N685" t="str">
            <v>TIN2009-M</v>
          </cell>
        </row>
        <row r="686">
          <cell r="A686" t="str">
            <v>Quikcell</v>
          </cell>
          <cell r="B686" t="str">
            <v>B08QH92GJ5</v>
          </cell>
          <cell r="C686" t="str">
            <v>ADV2028</v>
          </cell>
          <cell r="D686" t="str">
            <v>846537077418</v>
          </cell>
          <cell r="E686" t="str">
            <v>Quikcell Apple iPhone 12/12 Pro ADVOCATE Dual-Layer Kickstand Case - Ebony Black</v>
          </cell>
          <cell r="F686" t="str">
            <v>Cases iPhone</v>
          </cell>
          <cell r="G686" t="str">
            <v>iPhone 12</v>
          </cell>
          <cell r="H686" t="str">
            <v>iPhone 12/iPhone 12 Pro</v>
          </cell>
          <cell r="I686">
            <v>213.21</v>
          </cell>
          <cell r="J686">
            <v>0.17283076923076923</v>
          </cell>
          <cell r="K686">
            <v>299</v>
          </cell>
          <cell r="L686" t="str">
            <v>Amazon</v>
          </cell>
          <cell r="M686" t="str">
            <v>Discontinued</v>
          </cell>
          <cell r="N686" t="str">
            <v>ADV2028-M</v>
          </cell>
        </row>
        <row r="687">
          <cell r="A687" t="str">
            <v>Quikcell</v>
          </cell>
          <cell r="B687" t="str">
            <v>B0BPC6WWMQ</v>
          </cell>
          <cell r="C687" t="str">
            <v>TIN2006</v>
          </cell>
          <cell r="D687" t="str">
            <v>846537077494</v>
          </cell>
          <cell r="E687" t="str">
            <v>Quikcell Apple iPhone 12/12 Pro ICON TINT Transparent Case - Smoke</v>
          </cell>
          <cell r="F687" t="str">
            <v>Cases iPhone</v>
          </cell>
          <cell r="G687" t="str">
            <v>iPhone 12</v>
          </cell>
          <cell r="H687" t="str">
            <v>iPhone 12/iPhone 12 Pro</v>
          </cell>
          <cell r="I687">
            <v>427.13</v>
          </cell>
          <cell r="J687">
            <v>0.17283672787979976</v>
          </cell>
          <cell r="K687">
            <v>599</v>
          </cell>
          <cell r="L687" t="str">
            <v>Amazon</v>
          </cell>
          <cell r="M687" t="str">
            <v>Discontinued</v>
          </cell>
          <cell r="N687" t="str">
            <v>TIN2006-M</v>
          </cell>
        </row>
        <row r="688">
          <cell r="A688" t="str">
            <v>Quikcell</v>
          </cell>
          <cell r="B688" t="str">
            <v>B0BRDGZLRW</v>
          </cell>
          <cell r="C688" t="str">
            <v>OPE2017</v>
          </cell>
          <cell r="D688" t="str">
            <v>846537067426</v>
          </cell>
          <cell r="E688" t="str">
            <v>Quikcell Apple iPhone 12/12 Pro OPERATOR Rugged Protective Case -  Pebble Black</v>
          </cell>
          <cell r="F688" t="str">
            <v>Cases iPhone</v>
          </cell>
          <cell r="G688" t="str">
            <v>iPhone 12</v>
          </cell>
          <cell r="H688" t="str">
            <v>iPhone 12/iPhone 12 Pro</v>
          </cell>
          <cell r="I688">
            <v>172.7</v>
          </cell>
          <cell r="J688">
            <v>0.32999331103678942</v>
          </cell>
          <cell r="K688">
            <v>299</v>
          </cell>
          <cell r="L688" t="str">
            <v>Amazon</v>
          </cell>
          <cell r="M688" t="str">
            <v>Discontinued</v>
          </cell>
          <cell r="N688" t="str">
            <v>OPE2017-M</v>
          </cell>
        </row>
        <row r="689">
          <cell r="A689" t="str">
            <v>Quikcell</v>
          </cell>
          <cell r="B689" t="str">
            <v>B09KJ36T83</v>
          </cell>
          <cell r="C689" t="str">
            <v>TIN2059-M</v>
          </cell>
          <cell r="D689" t="str">
            <v>846537083549</v>
          </cell>
          <cell r="E689" t="str">
            <v>Quikcell iPhone 13 ICON TINT Transparent Protective Case - Ice</v>
          </cell>
          <cell r="F689" t="str">
            <v>Cases iPhone</v>
          </cell>
          <cell r="G689" t="str">
            <v>iPhone 13</v>
          </cell>
          <cell r="H689" t="str">
            <v>iPhone 13</v>
          </cell>
          <cell r="I689">
            <v>427.12</v>
          </cell>
          <cell r="J689">
            <v>0.17285609348914865</v>
          </cell>
          <cell r="K689">
            <v>599</v>
          </cell>
          <cell r="L689" t="str">
            <v>Amazon</v>
          </cell>
          <cell r="M689" t="str">
            <v>Active</v>
          </cell>
          <cell r="N689" t="str">
            <v>TIN2059-M</v>
          </cell>
        </row>
        <row r="690">
          <cell r="A690" t="str">
            <v>Quikcell</v>
          </cell>
          <cell r="B690" t="str">
            <v>B09KJ45JLM</v>
          </cell>
          <cell r="C690" t="str">
            <v>TIN2058-M</v>
          </cell>
          <cell r="D690" t="str">
            <v>846537083532</v>
          </cell>
          <cell r="E690" t="str">
            <v>Quikcell iPhone 13 ICON TINT Transparent Protective Case - Smoke</v>
          </cell>
          <cell r="F690" t="str">
            <v>Cases iPhone</v>
          </cell>
          <cell r="G690" t="str">
            <v>iPhone 13</v>
          </cell>
          <cell r="H690" t="str">
            <v>iPhone 13</v>
          </cell>
          <cell r="I690">
            <v>427.12</v>
          </cell>
          <cell r="J690">
            <v>0.17285609348914865</v>
          </cell>
          <cell r="K690">
            <v>599</v>
          </cell>
          <cell r="L690" t="str">
            <v>Amazon</v>
          </cell>
          <cell r="M690" t="str">
            <v>Discontinued</v>
          </cell>
          <cell r="N690" t="str">
            <v>TIN2058-M</v>
          </cell>
        </row>
        <row r="691">
          <cell r="A691" t="str">
            <v>Quikcell</v>
          </cell>
          <cell r="B691" t="str">
            <v>B00V0YA1DQ</v>
          </cell>
          <cell r="C691" t="str">
            <v>TIN2056-M</v>
          </cell>
          <cell r="D691" t="str">
            <v>846537083419</v>
          </cell>
          <cell r="E691" t="str">
            <v>Quikcell iPhone 13 mini ICON TINT Transparent Protective Case - Smoke</v>
          </cell>
          <cell r="F691" t="str">
            <v>Cases iPhone</v>
          </cell>
          <cell r="G691" t="str">
            <v>iPhone 13</v>
          </cell>
          <cell r="H691" t="str">
            <v>iPhone 13 mini</v>
          </cell>
          <cell r="I691">
            <v>427.12</v>
          </cell>
          <cell r="J691">
            <v>0.17285609348914865</v>
          </cell>
          <cell r="K691">
            <v>599</v>
          </cell>
          <cell r="L691" t="str">
            <v>Amazon</v>
          </cell>
          <cell r="M691" t="str">
            <v>Active</v>
          </cell>
          <cell r="N691" t="str">
            <v>TIN2056-M</v>
          </cell>
        </row>
        <row r="692">
          <cell r="A692" t="str">
            <v>Quikcell</v>
          </cell>
          <cell r="B692" t="str">
            <v>B09KJBDRZ8</v>
          </cell>
          <cell r="C692" t="str">
            <v>TIN2057-M</v>
          </cell>
          <cell r="D692" t="str">
            <v>846537083426</v>
          </cell>
          <cell r="E692" t="str">
            <v>Quikcell iPhone 13 mini ICON TINT Transparent Protective Case - Ice</v>
          </cell>
          <cell r="F692" t="str">
            <v>Cases iPhone</v>
          </cell>
          <cell r="G692" t="str">
            <v>iPhone 13</v>
          </cell>
          <cell r="H692" t="str">
            <v>iPhone 13 mini</v>
          </cell>
          <cell r="I692">
            <v>427.12</v>
          </cell>
          <cell r="J692">
            <v>0.17285609348914865</v>
          </cell>
          <cell r="K692">
            <v>599</v>
          </cell>
          <cell r="L692" t="str">
            <v>Amazon</v>
          </cell>
          <cell r="M692" t="str">
            <v>Active</v>
          </cell>
          <cell r="N692" t="str">
            <v>TIN2057-M</v>
          </cell>
        </row>
        <row r="693">
          <cell r="A693" t="str">
            <v>Quikcell</v>
          </cell>
          <cell r="B693" t="str">
            <v>B09KJ1313D</v>
          </cell>
          <cell r="C693" t="str">
            <v>TIN2068-M</v>
          </cell>
          <cell r="D693" t="str">
            <v>846537084072</v>
          </cell>
          <cell r="E693" t="str">
            <v>Quikcell iPhone 13 Pro ICON TINT Transparent Protective Case - Smoke</v>
          </cell>
          <cell r="F693" t="str">
            <v>Cases iPhone</v>
          </cell>
          <cell r="G693" t="str">
            <v>iPhone 13</v>
          </cell>
          <cell r="H693" t="str">
            <v>iPhone 13 Pro</v>
          </cell>
          <cell r="I693">
            <v>427.12</v>
          </cell>
          <cell r="J693">
            <v>0.17285609348914865</v>
          </cell>
          <cell r="K693">
            <v>599</v>
          </cell>
          <cell r="L693" t="str">
            <v>Amazon</v>
          </cell>
          <cell r="M693" t="str">
            <v>Active</v>
          </cell>
          <cell r="N693" t="str">
            <v>TIN2068-M</v>
          </cell>
        </row>
        <row r="694">
          <cell r="A694" t="str">
            <v>Quikcell</v>
          </cell>
          <cell r="B694" t="str">
            <v>B09KJ7F986</v>
          </cell>
          <cell r="C694" t="str">
            <v>TIN2069-M</v>
          </cell>
          <cell r="D694" t="str">
            <v>846537084089</v>
          </cell>
          <cell r="E694" t="str">
            <v>Quikcell iPhone 13 Pro ICON TINT Transparent Protective Case - Ice</v>
          </cell>
          <cell r="F694" t="str">
            <v>Cases iPhone</v>
          </cell>
          <cell r="G694" t="str">
            <v>iPhone 13</v>
          </cell>
          <cell r="H694" t="str">
            <v>iPhone 13 Pro</v>
          </cell>
          <cell r="I694">
            <v>427.12</v>
          </cell>
          <cell r="J694">
            <v>0.17285609348914865</v>
          </cell>
          <cell r="K694">
            <v>599</v>
          </cell>
          <cell r="L694" t="str">
            <v>Amazon</v>
          </cell>
          <cell r="M694" t="str">
            <v>Active</v>
          </cell>
          <cell r="N694" t="str">
            <v>TIN2069-M</v>
          </cell>
        </row>
        <row r="695">
          <cell r="A695" t="str">
            <v>Quikcell</v>
          </cell>
          <cell r="B695" t="str">
            <v>B09KJJVZPD</v>
          </cell>
          <cell r="C695" t="str">
            <v>TIN2061-M</v>
          </cell>
          <cell r="D695" t="str">
            <v>846537083679</v>
          </cell>
          <cell r="E695" t="str">
            <v>Quikcell iPhone 13 Pro Max ICON TINT Transparent Protective Case - Ice</v>
          </cell>
          <cell r="F695" t="str">
            <v>Cases iPhone</v>
          </cell>
          <cell r="G695" t="str">
            <v>iPhone 13</v>
          </cell>
          <cell r="H695" t="str">
            <v>iPhone 13 Pro Max</v>
          </cell>
          <cell r="I695">
            <v>427.12</v>
          </cell>
          <cell r="J695">
            <v>0.17285609348914865</v>
          </cell>
          <cell r="K695">
            <v>599</v>
          </cell>
          <cell r="L695" t="str">
            <v>Amazon</v>
          </cell>
          <cell r="M695" t="str">
            <v>Active</v>
          </cell>
          <cell r="N695" t="str">
            <v>TIN2061-M</v>
          </cell>
        </row>
        <row r="696">
          <cell r="A696" t="str">
            <v>Quikcell</v>
          </cell>
          <cell r="B696" t="str">
            <v>B09KJLD7Q6</v>
          </cell>
          <cell r="C696" t="str">
            <v>TIN2060-M</v>
          </cell>
          <cell r="D696" t="str">
            <v>846537083662</v>
          </cell>
          <cell r="E696" t="str">
            <v>Quikcell iPhone 13 Pro Max ICON TINT Transparent Protective Case - Smoke</v>
          </cell>
          <cell r="F696" t="str">
            <v>Cases iPhone</v>
          </cell>
          <cell r="G696" t="str">
            <v>iPhone 13</v>
          </cell>
          <cell r="H696" t="str">
            <v>iPhone 13 Pro Max</v>
          </cell>
          <cell r="I696">
            <v>427.12</v>
          </cell>
          <cell r="J696">
            <v>0.17285609348914865</v>
          </cell>
          <cell r="K696">
            <v>599</v>
          </cell>
          <cell r="L696" t="str">
            <v>Amazon</v>
          </cell>
          <cell r="M696" t="str">
            <v>Active</v>
          </cell>
          <cell r="N696" t="str">
            <v>TIN2060-M</v>
          </cell>
        </row>
        <row r="697">
          <cell r="A697" t="str">
            <v>Quikcell</v>
          </cell>
          <cell r="B697" t="str">
            <v>B0BRDGTZ3D</v>
          </cell>
          <cell r="C697" t="str">
            <v>TIN2136-M</v>
          </cell>
          <cell r="D697" t="str">
            <v>846537087356</v>
          </cell>
          <cell r="E697" t="str">
            <v>Quikcell iPhone 14 ICON TINT Transparent Protective Case - Ice</v>
          </cell>
          <cell r="F697" t="str">
            <v>Cases iPhone</v>
          </cell>
          <cell r="G697" t="str">
            <v>iPhone 14</v>
          </cell>
          <cell r="H697" t="str">
            <v>iPhone 14</v>
          </cell>
          <cell r="I697">
            <v>427.13</v>
          </cell>
          <cell r="J697">
            <v>0.17283672787979976</v>
          </cell>
          <cell r="K697">
            <v>599</v>
          </cell>
          <cell r="L697" t="str">
            <v>Amazon</v>
          </cell>
          <cell r="M697" t="str">
            <v>Active</v>
          </cell>
          <cell r="N697" t="str">
            <v>TIN2136-M</v>
          </cell>
        </row>
        <row r="698">
          <cell r="A698" t="str">
            <v>Quikcell</v>
          </cell>
          <cell r="B698" t="str">
            <v>B0BW21H93Q</v>
          </cell>
          <cell r="C698" t="str">
            <v>TIN2144-M</v>
          </cell>
          <cell r="D698" t="str">
            <v>846537087691</v>
          </cell>
          <cell r="E698" t="str">
            <v>Quikcell iPhone 14 Pro Max ICON TINT Transparent Protective Case – Ice</v>
          </cell>
          <cell r="F698" t="str">
            <v>Cases iPhone</v>
          </cell>
          <cell r="G698" t="str">
            <v>iPhone 14</v>
          </cell>
          <cell r="H698" t="str">
            <v>iPhone 14 Pro</v>
          </cell>
          <cell r="I698">
            <v>427.13</v>
          </cell>
          <cell r="J698">
            <v>0.17283672787979976</v>
          </cell>
          <cell r="K698">
            <v>599</v>
          </cell>
          <cell r="L698" t="str">
            <v>Amazon</v>
          </cell>
          <cell r="M698" t="str">
            <v>Active</v>
          </cell>
          <cell r="N698" t="str">
            <v>TIN2144-M</v>
          </cell>
        </row>
        <row r="699">
          <cell r="A699" t="str">
            <v>Quikcell</v>
          </cell>
          <cell r="B699" t="str">
            <v>B0BW276CRV</v>
          </cell>
          <cell r="C699" t="str">
            <v>TIN2139-M</v>
          </cell>
          <cell r="D699" t="str">
            <v>846537087479</v>
          </cell>
          <cell r="E699" t="str">
            <v>Quikcell iPhone 14 Pro ICON TINT Transparent Protective Case - Ice</v>
          </cell>
          <cell r="F699" t="str">
            <v>Cases iPhone</v>
          </cell>
          <cell r="G699" t="str">
            <v>iPhone 14</v>
          </cell>
          <cell r="H699" t="str">
            <v>iPhone 14 Pro</v>
          </cell>
          <cell r="I699">
            <v>427.13</v>
          </cell>
          <cell r="J699">
            <v>0.17283672787979976</v>
          </cell>
          <cell r="K699">
            <v>599</v>
          </cell>
          <cell r="L699" t="str">
            <v>Amazon</v>
          </cell>
          <cell r="M699" t="str">
            <v>Active</v>
          </cell>
          <cell r="N699" t="str">
            <v>TIN2139-M</v>
          </cell>
        </row>
        <row r="700">
          <cell r="A700" t="str">
            <v>Quikcell</v>
          </cell>
          <cell r="B700" t="str">
            <v xml:space="preserve">B0BRDHR7G3 </v>
          </cell>
          <cell r="C700" t="str">
            <v>TIN2014</v>
          </cell>
          <cell r="D700" t="str">
            <v>846537078712</v>
          </cell>
          <cell r="E700" t="str">
            <v>Quikcell Apple iPhone XR ICON TINT Transparent Protective Case - Ice</v>
          </cell>
          <cell r="F700" t="str">
            <v>Cases iPhone</v>
          </cell>
          <cell r="G700" t="str">
            <v>iPhone XR</v>
          </cell>
          <cell r="H700" t="str">
            <v>iPhone XR</v>
          </cell>
          <cell r="I700">
            <v>213.21</v>
          </cell>
          <cell r="J700">
            <v>0.17283076923076923</v>
          </cell>
          <cell r="K700">
            <v>299</v>
          </cell>
          <cell r="L700" t="str">
            <v>Amazon</v>
          </cell>
          <cell r="M700" t="str">
            <v>Discontinued</v>
          </cell>
          <cell r="N700" t="str">
            <v>TIN2014-M</v>
          </cell>
        </row>
        <row r="701">
          <cell r="A701" t="str">
            <v>Quikcell</v>
          </cell>
          <cell r="B701" t="str">
            <v>B09TBMR3CD</v>
          </cell>
          <cell r="C701" t="str">
            <v>LPOUCH</v>
          </cell>
          <cell r="D701" t="str">
            <v>846537083013</v>
          </cell>
          <cell r="E701" t="str">
            <v>Quikcell SLIM Universal Large Phone Pouch - Carbon Black</v>
          </cell>
          <cell r="F701" t="str">
            <v>Cases Universal</v>
          </cell>
          <cell r="G701" t="str">
            <v>Universal</v>
          </cell>
          <cell r="H701" t="str">
            <v>Phone</v>
          </cell>
          <cell r="I701">
            <v>427.12</v>
          </cell>
          <cell r="J701">
            <v>0.17285609348914865</v>
          </cell>
          <cell r="K701">
            <v>599</v>
          </cell>
          <cell r="L701" t="str">
            <v>Amazon</v>
          </cell>
          <cell r="M701" t="str">
            <v>Active</v>
          </cell>
          <cell r="N701" t="str">
            <v>LPOUCH-M</v>
          </cell>
        </row>
        <row r="702">
          <cell r="A702" t="str">
            <v>Quikcell</v>
          </cell>
          <cell r="B702" t="str">
            <v>B09TBQB4ZD</v>
          </cell>
          <cell r="C702" t="str">
            <v>MFOLIOTAB</v>
          </cell>
          <cell r="D702" t="str">
            <v>846537082986</v>
          </cell>
          <cell r="E702" t="str">
            <v>Quikcell FLEX TAB Universal 7-8" Tablet Folio Case  - Carbon Black</v>
          </cell>
          <cell r="F702" t="str">
            <v>Cases Universal</v>
          </cell>
          <cell r="G702" t="str">
            <v>Universal</v>
          </cell>
          <cell r="H702" t="str">
            <v>Tablet</v>
          </cell>
          <cell r="I702">
            <v>427.12</v>
          </cell>
          <cell r="J702">
            <v>0.17285609348914865</v>
          </cell>
          <cell r="K702">
            <v>599</v>
          </cell>
          <cell r="L702" t="str">
            <v>Amazon</v>
          </cell>
          <cell r="M702" t="str">
            <v>Active</v>
          </cell>
          <cell r="N702" t="str">
            <v>MFOLIOTAB-M</v>
          </cell>
        </row>
        <row r="703">
          <cell r="A703" t="str">
            <v>Quikcell</v>
          </cell>
          <cell r="B703" t="str">
            <v>B003EJWPIE</v>
          </cell>
          <cell r="C703" t="str">
            <v>QFL36-BLK</v>
          </cell>
          <cell r="D703" t="str">
            <v>846537073595</v>
          </cell>
          <cell r="E703" t="str">
            <v>QuikCell Universal Folios- Black</v>
          </cell>
          <cell r="F703" t="str">
            <v>Cases Universal</v>
          </cell>
          <cell r="G703" t="str">
            <v>Universal</v>
          </cell>
          <cell r="H703" t="str">
            <v>Universal</v>
          </cell>
          <cell r="I703">
            <v>259.33999999999997</v>
          </cell>
          <cell r="J703">
            <v>0.33</v>
          </cell>
          <cell r="K703">
            <v>449</v>
          </cell>
          <cell r="L703" t="str">
            <v>Amazon</v>
          </cell>
          <cell r="M703" t="str">
            <v>Discontinued</v>
          </cell>
          <cell r="N703" t="str">
            <v>QFL36-BLK-M</v>
          </cell>
        </row>
        <row r="704">
          <cell r="A704" t="str">
            <v>Quikcell</v>
          </cell>
          <cell r="B704" t="str">
            <v>B019DN1RU6</v>
          </cell>
          <cell r="C704" t="str">
            <v>C-DCAR804-BLK</v>
          </cell>
          <cell r="D704" t="str">
            <v>846537038532</v>
          </cell>
          <cell r="E704" t="str">
            <v>QuikCell Color Burst 2.1A Dual USB car charger - Black Ink</v>
          </cell>
          <cell r="F704" t="str">
            <v>Charger</v>
          </cell>
          <cell r="G704" t="str">
            <v>Car Charger</v>
          </cell>
          <cell r="H704" t="str">
            <v>2.1A</v>
          </cell>
          <cell r="I704">
            <v>34.94</v>
          </cell>
          <cell r="J704">
            <v>0.17284897959183687</v>
          </cell>
          <cell r="K704">
            <v>49</v>
          </cell>
          <cell r="L704" t="str">
            <v>Amazon</v>
          </cell>
          <cell r="M704" t="str">
            <v>Discontinued</v>
          </cell>
          <cell r="N704" t="str">
            <v>C-DCAR804-BLK-M</v>
          </cell>
        </row>
        <row r="705">
          <cell r="A705" t="str">
            <v>Quikcell</v>
          </cell>
          <cell r="B705" t="str">
            <v>B019DN1W5G</v>
          </cell>
          <cell r="C705" t="str">
            <v>C-DCAR804-BLU</v>
          </cell>
          <cell r="D705" t="str">
            <v>846537038549</v>
          </cell>
          <cell r="E705" t="str">
            <v>QuikCell Color Burst 2.1A Dual USB car charger - Blue Blaze</v>
          </cell>
          <cell r="F705" t="str">
            <v>Charger</v>
          </cell>
          <cell r="G705" t="str">
            <v>Car Charger</v>
          </cell>
          <cell r="H705" t="str">
            <v>2.1A</v>
          </cell>
          <cell r="I705">
            <v>34.94</v>
          </cell>
          <cell r="J705">
            <v>0.17284897959183687</v>
          </cell>
          <cell r="K705">
            <v>49</v>
          </cell>
          <cell r="L705" t="str">
            <v>Amazon</v>
          </cell>
          <cell r="M705" t="str">
            <v>Discontinued</v>
          </cell>
          <cell r="N705" t="str">
            <v>C-DCAR804-BLU-M</v>
          </cell>
        </row>
        <row r="706">
          <cell r="A706" t="str">
            <v>Quikcell</v>
          </cell>
          <cell r="B706" t="str">
            <v>B019EC8HYK</v>
          </cell>
          <cell r="C706" t="str">
            <v>C-DCAR804-PUR</v>
          </cell>
          <cell r="D706" t="str">
            <v>846537038563</v>
          </cell>
          <cell r="E706" t="str">
            <v>QuikCell Color Burst 2.1A Dual USB car charger - Purple Passion</v>
          </cell>
          <cell r="F706" t="str">
            <v>Charger</v>
          </cell>
          <cell r="G706" t="str">
            <v>Car Charger</v>
          </cell>
          <cell r="H706" t="str">
            <v>2.1A</v>
          </cell>
          <cell r="I706">
            <v>34.94</v>
          </cell>
          <cell r="J706">
            <v>0.17284897959183687</v>
          </cell>
          <cell r="K706">
            <v>49</v>
          </cell>
          <cell r="L706" t="str">
            <v>Amazon</v>
          </cell>
          <cell r="M706" t="str">
            <v>Discontinued</v>
          </cell>
          <cell r="N706" t="str">
            <v>C-DCAR804-PUR-M</v>
          </cell>
        </row>
        <row r="707">
          <cell r="A707" t="str">
            <v>Quikcell</v>
          </cell>
          <cell r="B707" t="str">
            <v>B019EC8LBE</v>
          </cell>
          <cell r="C707" t="str">
            <v>C-DCAR804-RED</v>
          </cell>
          <cell r="D707" t="str">
            <v>846537038570</v>
          </cell>
          <cell r="E707" t="str">
            <v>QuikCell Color Burst 2.1A Dual USB car charger - Liquid Red</v>
          </cell>
          <cell r="F707" t="str">
            <v>Charger</v>
          </cell>
          <cell r="G707" t="str">
            <v>Car Charger</v>
          </cell>
          <cell r="H707" t="str">
            <v>2.1A</v>
          </cell>
          <cell r="I707">
            <v>34.94</v>
          </cell>
          <cell r="J707">
            <v>0.17284897959183687</v>
          </cell>
          <cell r="K707">
            <v>49</v>
          </cell>
          <cell r="L707" t="str">
            <v>Amazon</v>
          </cell>
          <cell r="M707" t="str">
            <v>Discontinued</v>
          </cell>
          <cell r="N707" t="str">
            <v>C-DCAR804-RED-M</v>
          </cell>
        </row>
        <row r="708">
          <cell r="A708" t="str">
            <v>Quikcell</v>
          </cell>
          <cell r="B708" t="str">
            <v>B019EC8NDA</v>
          </cell>
          <cell r="C708" t="str">
            <v>C-DCAR804-PNK</v>
          </cell>
          <cell r="D708" t="str">
            <v>846537038556</v>
          </cell>
          <cell r="E708" t="str">
            <v>QuikCell Color Burst 2.1A Dual USB car charger - Pink Pop</v>
          </cell>
          <cell r="F708" t="str">
            <v>Charger</v>
          </cell>
          <cell r="G708" t="str">
            <v>Car Charger</v>
          </cell>
          <cell r="H708" t="str">
            <v>2.1A</v>
          </cell>
          <cell r="I708">
            <v>34.94</v>
          </cell>
          <cell r="J708">
            <v>0.17284897959183687</v>
          </cell>
          <cell r="K708">
            <v>49</v>
          </cell>
          <cell r="L708" t="str">
            <v>Amazon</v>
          </cell>
          <cell r="M708" t="str">
            <v>Discontinued</v>
          </cell>
          <cell r="N708" t="str">
            <v>C-DCAR804-PNK-M</v>
          </cell>
        </row>
        <row r="709">
          <cell r="A709" t="str">
            <v>Quikcell</v>
          </cell>
          <cell r="B709" t="str">
            <v>B084CXV67Z</v>
          </cell>
          <cell r="C709" t="str">
            <v>MVP5002</v>
          </cell>
          <cell r="D709" t="str">
            <v>846537035951</v>
          </cell>
          <cell r="E709" t="str">
            <v>Quikcell Dual Output (Micro USB Cable attached +USB) Vehicle Power Adapter-2.1A</v>
          </cell>
          <cell r="F709" t="str">
            <v>Charger</v>
          </cell>
          <cell r="G709" t="str">
            <v>Car Charger</v>
          </cell>
          <cell r="H709" t="str">
            <v>2.1A</v>
          </cell>
          <cell r="I709">
            <v>56.33</v>
          </cell>
          <cell r="J709">
            <v>0.17287594936708861</v>
          </cell>
          <cell r="K709">
            <v>79</v>
          </cell>
          <cell r="L709" t="str">
            <v>Amazon</v>
          </cell>
          <cell r="M709" t="str">
            <v>Discontinued</v>
          </cell>
          <cell r="N709" t="str">
            <v>MVP5002-M</v>
          </cell>
        </row>
        <row r="710">
          <cell r="A710" t="str">
            <v>Quikcell</v>
          </cell>
          <cell r="B710" t="str">
            <v>B084D1GS69</v>
          </cell>
          <cell r="C710" t="str">
            <v>MVP5003</v>
          </cell>
          <cell r="D710" t="str">
            <v>846537035968</v>
          </cell>
          <cell r="E710" t="str">
            <v>Quikcell Dual USB MicroUSB Vehicle Power Adapter -2.1A and USB Cable</v>
          </cell>
          <cell r="F710" t="str">
            <v>Charger</v>
          </cell>
          <cell r="G710" t="str">
            <v>Car Charger</v>
          </cell>
          <cell r="H710" t="str">
            <v>2.1A</v>
          </cell>
          <cell r="I710">
            <v>56.33</v>
          </cell>
          <cell r="J710">
            <v>0.17287594936708861</v>
          </cell>
          <cell r="K710">
            <v>79</v>
          </cell>
          <cell r="L710" t="str">
            <v>Amazon</v>
          </cell>
          <cell r="M710" t="str">
            <v>Discontinued</v>
          </cell>
          <cell r="N710" t="str">
            <v>MVP5003-M</v>
          </cell>
        </row>
        <row r="711">
          <cell r="A711" t="str">
            <v>Quikcell</v>
          </cell>
          <cell r="B711" t="str">
            <v>B08RMDBGL1</v>
          </cell>
          <cell r="C711" t="str">
            <v>QCVPA2001</v>
          </cell>
          <cell r="D711" t="str">
            <v>846537076985</v>
          </cell>
          <cell r="E711" t="str">
            <v>Quikcell DUAL PORT CAR CHARGER  2 USB A x 12W - 24W</v>
          </cell>
          <cell r="F711" t="str">
            <v>Charger</v>
          </cell>
          <cell r="G711" t="str">
            <v>Car Charger</v>
          </cell>
          <cell r="H711" t="str">
            <v>24W</v>
          </cell>
          <cell r="I711">
            <v>248.86</v>
          </cell>
          <cell r="J711">
            <v>0.172843553008596</v>
          </cell>
          <cell r="K711">
            <v>349</v>
          </cell>
          <cell r="L711" t="str">
            <v>Amazon</v>
          </cell>
          <cell r="M711" t="str">
            <v>Active</v>
          </cell>
          <cell r="N711" t="str">
            <v>QCVPA2001-M</v>
          </cell>
        </row>
        <row r="712">
          <cell r="A712" t="str">
            <v>Quikcell</v>
          </cell>
          <cell r="B712" t="str">
            <v>B092RJG533</v>
          </cell>
          <cell r="C712" t="str">
            <v>QCVPA2002</v>
          </cell>
          <cell r="D712" t="str">
            <v>846537076992</v>
          </cell>
          <cell r="E712" t="str">
            <v>Quikcell DUAL PORT CAR CHARGER  1 USB A 12W + USB C PD 20W - 32W</v>
          </cell>
          <cell r="F712" t="str">
            <v>Charger</v>
          </cell>
          <cell r="G712" t="str">
            <v>Car Charger</v>
          </cell>
          <cell r="H712" t="str">
            <v>32 W</v>
          </cell>
          <cell r="I712">
            <v>320.17</v>
          </cell>
          <cell r="J712">
            <v>0.17283474387527842</v>
          </cell>
          <cell r="K712">
            <v>449</v>
          </cell>
          <cell r="L712" t="str">
            <v>Amazon</v>
          </cell>
          <cell r="M712" t="str">
            <v>Discontinued</v>
          </cell>
          <cell r="N712" t="str">
            <v>QCVPA2002-M</v>
          </cell>
        </row>
        <row r="713">
          <cell r="A713" t="str">
            <v>Quikcell</v>
          </cell>
          <cell r="B713" t="str">
            <v>B08RLSVFLD</v>
          </cell>
          <cell r="C713" t="str">
            <v>QC-PWRBANK10K</v>
          </cell>
          <cell r="D713" t="str">
            <v>846537073618</v>
          </cell>
          <cell r="E713" t="str">
            <v>Quikcell POWERFUEL WIRELESS 10K mAh Powerbank - Black</v>
          </cell>
          <cell r="F713" t="str">
            <v>Charger</v>
          </cell>
          <cell r="G713" t="str">
            <v>Power Bank</v>
          </cell>
          <cell r="H713" t="str">
            <v>10,000 mAh</v>
          </cell>
          <cell r="I713">
            <v>854.98</v>
          </cell>
          <cell r="J713">
            <v>0.17283002502085076</v>
          </cell>
          <cell r="K713">
            <v>1199</v>
          </cell>
          <cell r="L713" t="str">
            <v>Amazon</v>
          </cell>
          <cell r="M713" t="str">
            <v>Discontinued</v>
          </cell>
          <cell r="N713" t="str">
            <v>QC-PWRBANK10K-M</v>
          </cell>
        </row>
        <row r="714">
          <cell r="A714" t="str">
            <v>Quikcell</v>
          </cell>
          <cell r="B714" t="str">
            <v>B08RLTB8B5</v>
          </cell>
          <cell r="C714" t="str">
            <v>QC-PWRBANK6K</v>
          </cell>
          <cell r="D714" t="str">
            <v>846537073601</v>
          </cell>
          <cell r="E714" t="str">
            <v>Quikcell POWERFUEL 6K mAh Powerbank - Black</v>
          </cell>
          <cell r="F714" t="str">
            <v>Charger</v>
          </cell>
          <cell r="G714" t="str">
            <v>Power Bank</v>
          </cell>
          <cell r="H714" t="str">
            <v>6,000 mAh</v>
          </cell>
          <cell r="I714">
            <v>355.83</v>
          </cell>
          <cell r="J714">
            <v>0.17282004008016039</v>
          </cell>
          <cell r="K714">
            <v>499</v>
          </cell>
          <cell r="L714" t="str">
            <v>Amazon</v>
          </cell>
          <cell r="M714" t="str">
            <v>Active</v>
          </cell>
          <cell r="N714" t="str">
            <v>QC-PWRBANK6K-M</v>
          </cell>
        </row>
        <row r="715">
          <cell r="A715" t="str">
            <v>Quikcell</v>
          </cell>
          <cell r="B715" t="str">
            <v>B00QU9956K</v>
          </cell>
          <cell r="C715" t="str">
            <v>C-WALL852-BLK</v>
          </cell>
          <cell r="D715" t="str">
            <v>846537030925</v>
          </cell>
          <cell r="E715" t="str">
            <v>QuikCell Color Burst 1A USB Wall Charger - Black Ink</v>
          </cell>
          <cell r="F715" t="str">
            <v>Charger</v>
          </cell>
          <cell r="G715" t="str">
            <v>Wall charger</v>
          </cell>
          <cell r="H715" t="str">
            <v>1A</v>
          </cell>
          <cell r="I715">
            <v>34.94</v>
          </cell>
          <cell r="J715">
            <v>0.17284897959183687</v>
          </cell>
          <cell r="K715">
            <v>49</v>
          </cell>
          <cell r="L715" t="str">
            <v>Amazon</v>
          </cell>
          <cell r="M715" t="str">
            <v>Discontinued</v>
          </cell>
          <cell r="N715" t="str">
            <v>C-WALL852-BLK-M</v>
          </cell>
        </row>
        <row r="716">
          <cell r="A716" t="str">
            <v>Quikcell</v>
          </cell>
          <cell r="B716" t="str">
            <v>B00QU99LX2</v>
          </cell>
          <cell r="C716" t="str">
            <v>C-WALL852-BLU</v>
          </cell>
          <cell r="D716" t="str">
            <v>846537030932</v>
          </cell>
          <cell r="E716" t="str">
            <v>QuikCell Color Burst 1A USB Wall Charger - Blue Blaze</v>
          </cell>
          <cell r="F716" t="str">
            <v>Charger</v>
          </cell>
          <cell r="G716" t="str">
            <v>Wall charger</v>
          </cell>
          <cell r="H716" t="str">
            <v>1A</v>
          </cell>
          <cell r="I716">
            <v>34.94</v>
          </cell>
          <cell r="J716">
            <v>0.17284897959183687</v>
          </cell>
          <cell r="K716">
            <v>49</v>
          </cell>
          <cell r="L716" t="str">
            <v>Amazon</v>
          </cell>
          <cell r="M716" t="str">
            <v>Discontinued</v>
          </cell>
          <cell r="N716" t="str">
            <v>C-WALL852-BLU-M</v>
          </cell>
        </row>
        <row r="717">
          <cell r="A717" t="str">
            <v>Quikcell</v>
          </cell>
          <cell r="B717" t="str">
            <v>B00QU9K43I</v>
          </cell>
          <cell r="C717" t="str">
            <v>C-WALL852-YEL</v>
          </cell>
          <cell r="D717" t="str">
            <v>846537030918</v>
          </cell>
          <cell r="E717" t="str">
            <v>QuikCell Color Burst 1A USB Wall Charger - Yellow Zest</v>
          </cell>
          <cell r="F717" t="str">
            <v>Charger</v>
          </cell>
          <cell r="G717" t="str">
            <v>Wall charger</v>
          </cell>
          <cell r="H717" t="str">
            <v>1A</v>
          </cell>
          <cell r="I717">
            <v>34.94</v>
          </cell>
          <cell r="J717">
            <v>0.17284897959183687</v>
          </cell>
          <cell r="K717">
            <v>49</v>
          </cell>
          <cell r="L717" t="str">
            <v>Amazon</v>
          </cell>
          <cell r="M717" t="str">
            <v>Discontinued</v>
          </cell>
          <cell r="N717" t="str">
            <v>C-WALL852-YEL-M</v>
          </cell>
        </row>
        <row r="718">
          <cell r="A718" t="str">
            <v>Quikcell</v>
          </cell>
          <cell r="B718" t="str">
            <v>B08RNM8RVP</v>
          </cell>
          <cell r="C718" t="str">
            <v>QTRC2001</v>
          </cell>
          <cell r="D718" t="str">
            <v>846537077005</v>
          </cell>
          <cell r="E718" t="str">
            <v>Quikcell DUAL PORT WALL CHARGER  2 USB A x 12W - 24W</v>
          </cell>
          <cell r="F718" t="str">
            <v>Charger</v>
          </cell>
          <cell r="G718" t="str">
            <v>Wall charger</v>
          </cell>
          <cell r="H718" t="str">
            <v>24 W</v>
          </cell>
          <cell r="I718">
            <v>355.83</v>
          </cell>
          <cell r="J718">
            <v>0.17282004008016039</v>
          </cell>
          <cell r="K718">
            <v>499</v>
          </cell>
          <cell r="L718" t="str">
            <v>Amazon</v>
          </cell>
          <cell r="M718" t="str">
            <v>Active</v>
          </cell>
          <cell r="N718" t="str">
            <v>QTRC2001-M</v>
          </cell>
        </row>
        <row r="719">
          <cell r="A719" t="str">
            <v>Quikcell</v>
          </cell>
          <cell r="B719" t="str">
            <v>B0BQX3KGS3</v>
          </cell>
          <cell r="C719" t="str">
            <v>QTRC2009</v>
          </cell>
          <cell r="D719" t="str">
            <v>846537085529</v>
          </cell>
          <cell r="E719" t="str">
            <v>Quikcell PD 25W single port USB-C output</v>
          </cell>
          <cell r="F719" t="str">
            <v>Charger</v>
          </cell>
          <cell r="G719" t="str">
            <v>Wall charger</v>
          </cell>
          <cell r="H719" t="str">
            <v>25W</v>
          </cell>
          <cell r="I719">
            <v>284.51</v>
          </cell>
          <cell r="J719">
            <v>0.17285313283208026</v>
          </cell>
          <cell r="K719">
            <v>399</v>
          </cell>
          <cell r="L719" t="str">
            <v>Amazon</v>
          </cell>
          <cell r="M719" t="str">
            <v>Discontinued</v>
          </cell>
          <cell r="N719" t="str">
            <v>QTRC2009-M</v>
          </cell>
        </row>
        <row r="720">
          <cell r="A720" t="str">
            <v>Quikcell</v>
          </cell>
          <cell r="B720" t="str">
            <v>B084CVXJPV</v>
          </cell>
          <cell r="C720" t="str">
            <v>MTR5003</v>
          </cell>
          <cell r="D720" t="str">
            <v>846537035937</v>
          </cell>
          <cell r="E720" t="str">
            <v>Quikcell Dual USB MicroUSB Travel Charger 3.4A and USB Cable</v>
          </cell>
          <cell r="F720" t="str">
            <v>Charger</v>
          </cell>
          <cell r="G720" t="str">
            <v>Wall charger</v>
          </cell>
          <cell r="H720" t="str">
            <v>3.4A</v>
          </cell>
          <cell r="I720">
            <v>70.59</v>
          </cell>
          <cell r="J720">
            <v>0.17288484848484853</v>
          </cell>
          <cell r="K720">
            <v>99</v>
          </cell>
          <cell r="L720" t="str">
            <v>Amazon</v>
          </cell>
          <cell r="M720" t="str">
            <v>Discontinued</v>
          </cell>
          <cell r="N720" t="str">
            <v>MTR5003-M</v>
          </cell>
        </row>
        <row r="721">
          <cell r="A721" t="str">
            <v>Quikcell</v>
          </cell>
          <cell r="B721" t="str">
            <v>B09KDGYYCC</v>
          </cell>
          <cell r="C721" t="str">
            <v>QTRC2002</v>
          </cell>
          <cell r="D721" t="str">
            <v>846537077012</v>
          </cell>
          <cell r="E721" t="str">
            <v>Quikcell DUAL PORT WALL CHARGER 1 USB A 12W + USB C PD 20W - 32W</v>
          </cell>
          <cell r="F721" t="str">
            <v>Charger</v>
          </cell>
          <cell r="G721" t="str">
            <v>Wall charger</v>
          </cell>
          <cell r="H721" t="str">
            <v>32 W</v>
          </cell>
          <cell r="I721">
            <v>427.12</v>
          </cell>
          <cell r="J721">
            <v>0.17285609348914865</v>
          </cell>
          <cell r="K721">
            <v>599</v>
          </cell>
          <cell r="L721" t="str">
            <v>Amazon</v>
          </cell>
          <cell r="M721" t="str">
            <v>Discontinued</v>
          </cell>
          <cell r="N721" t="str">
            <v>QTRC2002-M</v>
          </cell>
        </row>
        <row r="722">
          <cell r="A722" t="str">
            <v>Quikcell</v>
          </cell>
          <cell r="B722" t="str">
            <v>B07BZV6Z98</v>
          </cell>
          <cell r="C722" t="str">
            <v>QC-PWRBASE2-BLK</v>
          </cell>
          <cell r="D722" t="str">
            <v>846537053184</v>
          </cell>
          <cell r="E722" t="str">
            <v>Quikcell POWERBASE 2 Wireless Charging Pad - 10W</v>
          </cell>
          <cell r="F722" t="str">
            <v>Charger</v>
          </cell>
          <cell r="G722" t="str">
            <v>Wireless</v>
          </cell>
          <cell r="H722" t="str">
            <v>10 W</v>
          </cell>
          <cell r="I722">
            <v>230.46</v>
          </cell>
          <cell r="J722">
            <v>0.66541476846057579</v>
          </cell>
          <cell r="K722">
            <v>799</v>
          </cell>
          <cell r="L722" t="str">
            <v>Amazon</v>
          </cell>
          <cell r="M722" t="str">
            <v>Active</v>
          </cell>
          <cell r="N722" t="str">
            <v>QC-PWRBASE2-BLK-M</v>
          </cell>
        </row>
        <row r="723">
          <cell r="A723" t="str">
            <v>Quikcell</v>
          </cell>
          <cell r="B723" t="str">
            <v>B08BLWGL7C</v>
          </cell>
          <cell r="C723" t="str">
            <v>QC-TRIO</v>
          </cell>
          <cell r="D723" t="str">
            <v>846537072215</v>
          </cell>
          <cell r="E723" t="str">
            <v>Quikcell TRIO 3 in 1 Wireless Charging Pad - White</v>
          </cell>
          <cell r="F723" t="str">
            <v>Charger</v>
          </cell>
          <cell r="G723" t="str">
            <v>Wireless</v>
          </cell>
          <cell r="H723" t="str">
            <v>10 W</v>
          </cell>
          <cell r="I723">
            <v>712.36</v>
          </cell>
          <cell r="J723">
            <v>0.51363296056503827</v>
          </cell>
          <cell r="K723">
            <v>1699</v>
          </cell>
          <cell r="L723" t="str">
            <v>Amazon</v>
          </cell>
          <cell r="M723" t="str">
            <v>Active</v>
          </cell>
          <cell r="N723" t="str">
            <v>QC-TRIO-M</v>
          </cell>
        </row>
        <row r="724">
          <cell r="A724" t="str">
            <v>Quikcell</v>
          </cell>
          <cell r="B724" t="str">
            <v>B09KDN9PTC</v>
          </cell>
          <cell r="C724" t="str">
            <v>PWERFLIP-BLK</v>
          </cell>
          <cell r="D724" t="str">
            <v>846537080722</v>
          </cell>
          <cell r="E724" t="str">
            <v>Quikcell POWERFLIP 15W wireless 2-in-1 charger</v>
          </cell>
          <cell r="F724" t="str">
            <v>Charger</v>
          </cell>
          <cell r="G724" t="str">
            <v>Wireless</v>
          </cell>
          <cell r="H724" t="str">
            <v>15 W</v>
          </cell>
          <cell r="I724">
            <v>854.98</v>
          </cell>
          <cell r="J724">
            <v>0.17283002502085076</v>
          </cell>
          <cell r="K724">
            <v>1199</v>
          </cell>
          <cell r="L724" t="str">
            <v>Amazon</v>
          </cell>
          <cell r="M724" t="str">
            <v>Active</v>
          </cell>
          <cell r="N724" t="str">
            <v>PWERFLIP-BLK-M</v>
          </cell>
        </row>
        <row r="725">
          <cell r="A725" t="str">
            <v>Quikcell</v>
          </cell>
          <cell r="B725" t="str">
            <v>B0BQX451KX</v>
          </cell>
          <cell r="C725" t="str">
            <v>DRIVEDOCK-C</v>
          </cell>
          <cell r="D725" t="str">
            <v>846537082672</v>
          </cell>
          <cell r="E725" t="str">
            <v>Quikcell Mount+Suction+Vent 2 in 1 air vent Dashboad Car Mount Charge</v>
          </cell>
          <cell r="F725" t="str">
            <v>Hardware</v>
          </cell>
          <cell r="G725" t="str">
            <v>Car Mount</v>
          </cell>
          <cell r="H725" t="str">
            <v>Car Mount</v>
          </cell>
          <cell r="I725">
            <v>569.74</v>
          </cell>
          <cell r="J725">
            <v>0.17284305381727172</v>
          </cell>
          <cell r="K725">
            <v>799</v>
          </cell>
          <cell r="L725" t="str">
            <v>Amazon</v>
          </cell>
          <cell r="M725" t="str">
            <v>Active</v>
          </cell>
          <cell r="N725" t="str">
            <v>DRIVEDOCK-C-M</v>
          </cell>
        </row>
        <row r="726">
          <cell r="A726" t="str">
            <v>Quikcell</v>
          </cell>
          <cell r="B726" t="str">
            <v>B09GJJN7H5</v>
          </cell>
          <cell r="C726" t="str">
            <v>DRIVEDOCK</v>
          </cell>
          <cell r="D726" t="str">
            <v>846537082122</v>
          </cell>
          <cell r="E726" t="str">
            <v>Quikcell Mount+Suction+Vent 2 in 1 air vent Dashboad Car Mount</v>
          </cell>
          <cell r="F726" t="str">
            <v>Hardware</v>
          </cell>
          <cell r="G726" t="str">
            <v>Car Mount</v>
          </cell>
          <cell r="H726" t="str">
            <v>Car Mount</v>
          </cell>
          <cell r="I726">
            <v>141.9</v>
          </cell>
          <cell r="J726">
            <v>0.17284422110552766</v>
          </cell>
          <cell r="K726">
            <v>199</v>
          </cell>
          <cell r="L726" t="str">
            <v>Amazon</v>
          </cell>
          <cell r="M726" t="str">
            <v>Active</v>
          </cell>
          <cell r="N726" t="str">
            <v>DRIVEDOCK-M</v>
          </cell>
        </row>
        <row r="727">
          <cell r="A727" t="str">
            <v>Quikcell</v>
          </cell>
          <cell r="B727" t="str">
            <v>B07B7DH91T</v>
          </cell>
          <cell r="C727" t="str">
            <v>GP-IPX-M</v>
          </cell>
          <cell r="D727" t="str">
            <v>0846537051050</v>
          </cell>
          <cell r="E727" t="str">
            <v>Quikcell - Protector de visualización para iPhone X, transparente</v>
          </cell>
          <cell r="F727" t="str">
            <v>Micas</v>
          </cell>
          <cell r="G727" t="str">
            <v>Centro Servicio</v>
          </cell>
          <cell r="H727" t="str">
            <v>Centro Servicio</v>
          </cell>
          <cell r="I727">
            <v>172.7</v>
          </cell>
          <cell r="J727">
            <v>0.32999331103678942</v>
          </cell>
          <cell r="K727">
            <v>299</v>
          </cell>
          <cell r="L727" t="str">
            <v>Amazon</v>
          </cell>
          <cell r="M727" t="str">
            <v>Discontinued</v>
          </cell>
          <cell r="N727" t="str">
            <v>GP-IPX-M</v>
          </cell>
        </row>
        <row r="728">
          <cell r="A728" t="str">
            <v>Quikcell</v>
          </cell>
          <cell r="B728" t="str">
            <v>B081B9L1BN</v>
          </cell>
          <cell r="C728" t="str">
            <v>GP-IP9-M</v>
          </cell>
          <cell r="D728" t="str">
            <v>846537056550</v>
          </cell>
          <cell r="E728" t="str">
            <v>QuikCell Screen Protector Glass iPhone 11</v>
          </cell>
          <cell r="F728" t="str">
            <v>Micas</v>
          </cell>
          <cell r="G728" t="str">
            <v>Centro Servicio</v>
          </cell>
          <cell r="H728" t="str">
            <v>iPhone 11</v>
          </cell>
          <cell r="I728">
            <v>172.7</v>
          </cell>
          <cell r="J728">
            <v>0.32999331103678942</v>
          </cell>
          <cell r="K728">
            <v>299</v>
          </cell>
          <cell r="L728" t="str">
            <v>Amazon</v>
          </cell>
          <cell r="M728" t="str">
            <v>Discontinued</v>
          </cell>
          <cell r="N728" t="str">
            <v>GP-IP9-M</v>
          </cell>
        </row>
        <row r="729">
          <cell r="A729" t="str">
            <v>Quikcell</v>
          </cell>
          <cell r="B729" t="str">
            <v>B08QTLSMSC</v>
          </cell>
          <cell r="C729" t="str">
            <v>GP-IP202054-M</v>
          </cell>
          <cell r="D729" t="str">
            <v>846537077371</v>
          </cell>
          <cell r="E729" t="str">
            <v>QuikCell Apple iPhone 12 Mini GOOF PROFF Premium Tempered Glass Screen Protection</v>
          </cell>
          <cell r="F729" t="str">
            <v>Micas</v>
          </cell>
          <cell r="G729" t="str">
            <v>Centro Servicio</v>
          </cell>
          <cell r="H729" t="str">
            <v>iPhone 12 mini</v>
          </cell>
          <cell r="I729">
            <v>172.7</v>
          </cell>
          <cell r="J729">
            <v>0.32999331103678942</v>
          </cell>
          <cell r="K729">
            <v>299</v>
          </cell>
          <cell r="L729" t="str">
            <v>Amazon</v>
          </cell>
          <cell r="M729" t="str">
            <v>Discontinued</v>
          </cell>
          <cell r="N729" t="str">
            <v>GP-IP202054-M</v>
          </cell>
        </row>
        <row r="730">
          <cell r="A730" t="str">
            <v>Quikcell</v>
          </cell>
          <cell r="B730" t="str">
            <v>B08QM8MTVV</v>
          </cell>
          <cell r="C730" t="str">
            <v>GP-IP202067-M</v>
          </cell>
          <cell r="D730" t="str">
            <v>846537077722</v>
          </cell>
          <cell r="E730" t="str">
            <v>QuikCell Apple iPhone 12 Pro MAX GOOF PROFF Premium Tempered Glass Screen Protection</v>
          </cell>
          <cell r="F730" t="str">
            <v>Micas</v>
          </cell>
          <cell r="G730" t="str">
            <v>Centro Servicio</v>
          </cell>
          <cell r="H730" t="str">
            <v>iPhone 12 Pro Max</v>
          </cell>
          <cell r="I730">
            <v>172.7</v>
          </cell>
          <cell r="J730">
            <v>0.32999331103678942</v>
          </cell>
          <cell r="K730">
            <v>299</v>
          </cell>
          <cell r="L730" t="str">
            <v>Amazon</v>
          </cell>
          <cell r="M730" t="str">
            <v>Discontinued</v>
          </cell>
          <cell r="N730" t="str">
            <v>GP-IP202067-M</v>
          </cell>
        </row>
        <row r="731">
          <cell r="A731" t="str">
            <v>Quikcell</v>
          </cell>
          <cell r="B731" t="str">
            <v>B0BQX317NF</v>
          </cell>
          <cell r="C731" t="str">
            <v>GQC2059</v>
          </cell>
          <cell r="D731" t="str">
            <v>846537082948</v>
          </cell>
          <cell r="E731" t="str">
            <v>Quikcell Apple iPad 10.2” TEMPERED GLASS Screen Protector</v>
          </cell>
          <cell r="F731" t="str">
            <v>Micas</v>
          </cell>
          <cell r="G731" t="str">
            <v>iPad</v>
          </cell>
          <cell r="H731" t="str">
            <v>iPad 10.2"</v>
          </cell>
          <cell r="I731">
            <v>641.04999999999995</v>
          </cell>
          <cell r="J731">
            <v>0.17283870967741943</v>
          </cell>
          <cell r="K731">
            <v>899</v>
          </cell>
          <cell r="L731" t="str">
            <v>Amazon</v>
          </cell>
          <cell r="M731" t="str">
            <v>Active</v>
          </cell>
          <cell r="N731" t="str">
            <v>GQC2059-M</v>
          </cell>
        </row>
        <row r="732">
          <cell r="A732" t="str">
            <v>Quikcell</v>
          </cell>
          <cell r="B732" t="str">
            <v>B0BQX3MWZM</v>
          </cell>
          <cell r="C732" t="str">
            <v>GP-IPSE2-BLK</v>
          </cell>
          <cell r="D732" t="str">
            <v>846537073656</v>
          </cell>
          <cell r="E732" t="str">
            <v>Quikcell Apple iPhone SE 2020 GOOF PROOF Premium Tempered Glass Screen Protection - Black</v>
          </cell>
          <cell r="F732" t="str">
            <v>Micas</v>
          </cell>
          <cell r="G732" t="str">
            <v>iPhone</v>
          </cell>
          <cell r="H732" t="str">
            <v>iPhone SE 2020 -2022</v>
          </cell>
          <cell r="I732">
            <v>427.12</v>
          </cell>
          <cell r="J732">
            <v>0.17285609348914865</v>
          </cell>
          <cell r="K732">
            <v>599</v>
          </cell>
          <cell r="L732" t="str">
            <v>Amazon</v>
          </cell>
          <cell r="M732" t="str">
            <v>Discontinued</v>
          </cell>
          <cell r="N732" t="str">
            <v>GP-IPSE2-BLK-M</v>
          </cell>
        </row>
        <row r="733">
          <cell r="A733" t="str">
            <v>Quikcell</v>
          </cell>
          <cell r="B733" t="str">
            <v>B0BQX49K72</v>
          </cell>
          <cell r="C733" t="str">
            <v>GQC2024</v>
          </cell>
          <cell r="D733" t="str">
            <v>846537078668</v>
          </cell>
          <cell r="E733" t="str">
            <v>Quikcell Apple iPhone SE 2020 TEMPERED GLASS Screen Protection - Clear</v>
          </cell>
          <cell r="F733" t="str">
            <v>Micas</v>
          </cell>
          <cell r="G733" t="str">
            <v>iPhone</v>
          </cell>
          <cell r="H733" t="str">
            <v>iPhone SE 2020 -2022</v>
          </cell>
          <cell r="I733">
            <v>355.83</v>
          </cell>
          <cell r="J733">
            <v>0.17282004008016039</v>
          </cell>
          <cell r="K733">
            <v>499</v>
          </cell>
          <cell r="L733" t="str">
            <v>Amazon</v>
          </cell>
          <cell r="M733" t="str">
            <v>Discontinued</v>
          </cell>
          <cell r="N733" t="str">
            <v>GQC2024-M</v>
          </cell>
        </row>
        <row r="734">
          <cell r="A734" t="str">
            <v>Quikcell</v>
          </cell>
          <cell r="B734" t="str">
            <v>B0BX4QNYXZ</v>
          </cell>
          <cell r="C734" t="str">
            <v>GQC2018</v>
          </cell>
          <cell r="D734" t="str">
            <v>846537077814</v>
          </cell>
          <cell r="E734" t="str">
            <v>Quikcell Apple iPhone XS Max/11 Pro Max TEMPERED GLASS Screen Protection</v>
          </cell>
          <cell r="F734" t="str">
            <v>Micas</v>
          </cell>
          <cell r="G734" t="str">
            <v>iPhone 11</v>
          </cell>
          <cell r="H734" t="str">
            <v>iPhone 11 Pro Max, iPhone XS Max</v>
          </cell>
          <cell r="I734">
            <v>172.7</v>
          </cell>
          <cell r="J734">
            <v>0.32999331103678942</v>
          </cell>
          <cell r="K734">
            <v>299</v>
          </cell>
          <cell r="L734" t="str">
            <v>Amazon</v>
          </cell>
          <cell r="M734" t="str">
            <v>Discontinued</v>
          </cell>
          <cell r="N734" t="str">
            <v>GQC2018-M</v>
          </cell>
        </row>
        <row r="735">
          <cell r="A735" t="str">
            <v>Quikcell</v>
          </cell>
          <cell r="B735" t="str">
            <v>B0BX4PHGGP</v>
          </cell>
          <cell r="C735" t="str">
            <v>GQC2017</v>
          </cell>
          <cell r="D735" t="str">
            <v>846537077807</v>
          </cell>
          <cell r="E735" t="str">
            <v>Quikcell Apple iPhone XR/iPhone 11 TEMPERED GLASS Screen Protection - Clear</v>
          </cell>
          <cell r="F735" t="str">
            <v>Micas</v>
          </cell>
          <cell r="G735" t="str">
            <v>iPhone 11</v>
          </cell>
          <cell r="H735" t="str">
            <v>iPhone 11, iPhone XR</v>
          </cell>
          <cell r="I735">
            <v>172.7</v>
          </cell>
          <cell r="J735">
            <v>0.32999331103678942</v>
          </cell>
          <cell r="K735">
            <v>299</v>
          </cell>
          <cell r="L735" t="str">
            <v>Amazon</v>
          </cell>
          <cell r="M735" t="str">
            <v>Discontinued</v>
          </cell>
          <cell r="N735" t="str">
            <v>GQC2017-M</v>
          </cell>
        </row>
        <row r="736">
          <cell r="A736" t="str">
            <v>Quikcell</v>
          </cell>
          <cell r="B736" t="str">
            <v>B0BX4PG1B3</v>
          </cell>
          <cell r="C736" t="str">
            <v>GQC2009</v>
          </cell>
          <cell r="D736" t="str">
            <v>846537077364</v>
          </cell>
          <cell r="E736" t="str">
            <v>Quikcell Apple iPhone 12 Mini TEMPERED GLASS Screen Protector</v>
          </cell>
          <cell r="F736" t="str">
            <v>Micas</v>
          </cell>
          <cell r="G736" t="str">
            <v>iPhone 12</v>
          </cell>
          <cell r="H736" t="str">
            <v>iPhone 12 mini</v>
          </cell>
          <cell r="I736">
            <v>172.7</v>
          </cell>
          <cell r="J736">
            <v>0.32999331103678942</v>
          </cell>
          <cell r="K736">
            <v>299</v>
          </cell>
          <cell r="L736" t="str">
            <v>Amazon</v>
          </cell>
          <cell r="M736" t="str">
            <v>Discontinued</v>
          </cell>
          <cell r="N736" t="str">
            <v>GQC2009-M</v>
          </cell>
        </row>
        <row r="737">
          <cell r="A737" t="str">
            <v>Quikcell</v>
          </cell>
          <cell r="B737" t="str">
            <v>B0BX4PN9RB</v>
          </cell>
          <cell r="C737" t="str">
            <v>GQC2010</v>
          </cell>
          <cell r="D737" t="str">
            <v>846537077531</v>
          </cell>
          <cell r="E737" t="str">
            <v>Quikcell Apple iPhone 12/12 Pro TEMPERED GLASS Screen Protector</v>
          </cell>
          <cell r="F737" t="str">
            <v>Micas</v>
          </cell>
          <cell r="G737" t="str">
            <v>iPhone 12</v>
          </cell>
          <cell r="H737" t="str">
            <v>iPhone 12/iPhone 12 Pro</v>
          </cell>
          <cell r="I737">
            <v>172.7</v>
          </cell>
          <cell r="J737">
            <v>0.32999331103678942</v>
          </cell>
          <cell r="K737">
            <v>299</v>
          </cell>
          <cell r="L737" t="str">
            <v>Amazon</v>
          </cell>
          <cell r="M737" t="str">
            <v>Discontinued</v>
          </cell>
          <cell r="N737" t="str">
            <v>GQC2010-M</v>
          </cell>
        </row>
        <row r="738">
          <cell r="A738" t="str">
            <v>Quikcell</v>
          </cell>
          <cell r="B738" t="str">
            <v>B00DD19CIE</v>
          </cell>
          <cell r="C738" t="str">
            <v>GP-IP21S-M</v>
          </cell>
          <cell r="D738" t="str">
            <v>846537083464</v>
          </cell>
          <cell r="E738" t="str">
            <v>Quikcell Goof Proof Tempered Glass for iPhone 13 mini</v>
          </cell>
          <cell r="F738" t="str">
            <v>Micas</v>
          </cell>
          <cell r="G738" t="str">
            <v>iPhone 13</v>
          </cell>
          <cell r="H738" t="str">
            <v>iPhone 13 mini</v>
          </cell>
          <cell r="I738">
            <v>427.12</v>
          </cell>
          <cell r="J738">
            <v>0.17285609348914865</v>
          </cell>
          <cell r="K738">
            <v>599</v>
          </cell>
          <cell r="L738" t="str">
            <v>Amazon</v>
          </cell>
          <cell r="M738" t="str">
            <v>Discontinued</v>
          </cell>
          <cell r="N738" t="str">
            <v>GP-IP21S-M</v>
          </cell>
        </row>
        <row r="739">
          <cell r="A739" t="str">
            <v>Quikcell</v>
          </cell>
          <cell r="B739" t="str">
            <v>B09KDJ9S1N</v>
          </cell>
          <cell r="C739" t="str">
            <v>GP-IP21L-M</v>
          </cell>
          <cell r="D739" t="str">
            <v>846537083716</v>
          </cell>
          <cell r="E739" t="str">
            <v>Quikcell Goof Proof Tempered Glass for iPhone 13 Pro Max</v>
          </cell>
          <cell r="F739" t="str">
            <v>Micas</v>
          </cell>
          <cell r="G739" t="str">
            <v>iPhone 13</v>
          </cell>
          <cell r="H739" t="str">
            <v>iPhone 13 Pro Max</v>
          </cell>
          <cell r="I739">
            <v>427.12</v>
          </cell>
          <cell r="J739">
            <v>0.17285609348914865</v>
          </cell>
          <cell r="K739">
            <v>599</v>
          </cell>
          <cell r="L739" t="str">
            <v>Amazon</v>
          </cell>
          <cell r="M739" t="str">
            <v>Active</v>
          </cell>
          <cell r="N739" t="str">
            <v>GP-IP21L-M</v>
          </cell>
        </row>
        <row r="740">
          <cell r="A740" t="str">
            <v>Quikcell</v>
          </cell>
          <cell r="B740" t="str">
            <v> B09KD8W54M</v>
          </cell>
          <cell r="C740" t="str">
            <v>GP-IP21M-M</v>
          </cell>
          <cell r="D740" t="str">
            <v>846537083587</v>
          </cell>
          <cell r="E740" t="str">
            <v>Quikcell Goof Proof Tempered Glass for iPhone 13/13 Pro</v>
          </cell>
          <cell r="F740" t="str">
            <v>Micas</v>
          </cell>
          <cell r="G740" t="str">
            <v>iPhone 13</v>
          </cell>
          <cell r="H740" t="str">
            <v>iPhone 13/13 Pro</v>
          </cell>
          <cell r="I740">
            <v>427.12</v>
          </cell>
          <cell r="J740">
            <v>0.17285609348914865</v>
          </cell>
          <cell r="K740">
            <v>599</v>
          </cell>
          <cell r="L740" t="str">
            <v>Amazon</v>
          </cell>
          <cell r="M740" t="str">
            <v>Active</v>
          </cell>
          <cell r="N740" t="str">
            <v>GP-IP21M-M</v>
          </cell>
        </row>
        <row r="741">
          <cell r="A741" t="str">
            <v>Quikcell</v>
          </cell>
          <cell r="B741" t="str">
            <v>B09KD8W54M</v>
          </cell>
          <cell r="C741" t="str">
            <v>GP-IP21M-M</v>
          </cell>
          <cell r="D741" t="str">
            <v>846537083587</v>
          </cell>
          <cell r="E741" t="str">
            <v>Quikcell Goof Proof Tempered Glass for iPhone 13/13 Pro</v>
          </cell>
          <cell r="F741" t="str">
            <v>Micas</v>
          </cell>
          <cell r="G741" t="str">
            <v>iPhone 13</v>
          </cell>
          <cell r="H741" t="str">
            <v>iPhone 13/13 Pro</v>
          </cell>
          <cell r="I741">
            <v>172.7</v>
          </cell>
          <cell r="J741">
            <v>0.66555592654424045</v>
          </cell>
          <cell r="K741">
            <v>599</v>
          </cell>
          <cell r="L741" t="str">
            <v>Amazon</v>
          </cell>
          <cell r="M741" t="str">
            <v>Active</v>
          </cell>
          <cell r="N741" t="str">
            <v>GP-IP21M-M</v>
          </cell>
        </row>
        <row r="742">
          <cell r="A742" t="str">
            <v>Quikcell</v>
          </cell>
          <cell r="B742" t="str">
            <v>B0BPN2JGLD</v>
          </cell>
          <cell r="C742" t="str">
            <v>GQC2134-M</v>
          </cell>
          <cell r="D742" t="str">
            <v>846537087370</v>
          </cell>
          <cell r="E742" t="str">
            <v>Quikcell Tempered Glass Screen Protector for iPhone 14</v>
          </cell>
          <cell r="F742" t="str">
            <v>Micas</v>
          </cell>
          <cell r="G742" t="str">
            <v>iPhone 14</v>
          </cell>
          <cell r="H742" t="str">
            <v>iPhone 14</v>
          </cell>
          <cell r="I742">
            <v>427.12</v>
          </cell>
          <cell r="J742">
            <v>0.17285609348914865</v>
          </cell>
          <cell r="K742">
            <v>599</v>
          </cell>
          <cell r="L742" t="str">
            <v>Amazon</v>
          </cell>
          <cell r="M742" t="str">
            <v>Discontinued</v>
          </cell>
          <cell r="N742" t="str">
            <v>GQC2134-M</v>
          </cell>
        </row>
        <row r="743">
          <cell r="A743" t="str">
            <v>Quikcell</v>
          </cell>
          <cell r="B743" t="str">
            <v>B0BQX3Q2K8</v>
          </cell>
          <cell r="C743" t="str">
            <v>GQC2136-M</v>
          </cell>
          <cell r="D743" t="str">
            <v>846537087608</v>
          </cell>
          <cell r="E743" t="str">
            <v>Quikcell Tempered Glass Screen Protector for iPhone 14 Plus</v>
          </cell>
          <cell r="F743" t="str">
            <v>Micas</v>
          </cell>
          <cell r="G743" t="str">
            <v>iPhone 14</v>
          </cell>
          <cell r="H743" t="str">
            <v>iPhone 14 Plus</v>
          </cell>
          <cell r="I743">
            <v>427.12</v>
          </cell>
          <cell r="J743">
            <v>0.17285609348914865</v>
          </cell>
          <cell r="K743">
            <v>599</v>
          </cell>
          <cell r="L743" t="str">
            <v>Amazon</v>
          </cell>
          <cell r="M743" t="str">
            <v>Active</v>
          </cell>
          <cell r="N743" t="str">
            <v>GQC2136-M</v>
          </cell>
        </row>
        <row r="744">
          <cell r="A744" t="str">
            <v>Quikcell</v>
          </cell>
          <cell r="B744" t="str">
            <v>B0BQX4SMPR</v>
          </cell>
          <cell r="C744" t="str">
            <v>GQC2135-M</v>
          </cell>
          <cell r="D744" t="str">
            <v>846537087493</v>
          </cell>
          <cell r="E744" t="str">
            <v>Quikcell Apple iPhone 14 Pro TEMPERED GLASS Screen Protector</v>
          </cell>
          <cell r="F744" t="str">
            <v>Micas</v>
          </cell>
          <cell r="G744" t="str">
            <v>iPhone 14</v>
          </cell>
          <cell r="H744" t="str">
            <v>iPhone 14 Pro</v>
          </cell>
          <cell r="I744">
            <v>427.12</v>
          </cell>
          <cell r="J744">
            <v>0.17285609348914865</v>
          </cell>
          <cell r="K744">
            <v>599</v>
          </cell>
          <cell r="L744" t="str">
            <v>Amazon</v>
          </cell>
          <cell r="M744" t="str">
            <v>Discontinued</v>
          </cell>
          <cell r="N744" t="str">
            <v>GQC2135-M</v>
          </cell>
        </row>
        <row r="745">
          <cell r="A745" t="str">
            <v>Quikcell</v>
          </cell>
          <cell r="B745" t="str">
            <v>B0BQX3L46</v>
          </cell>
          <cell r="C745" t="str">
            <v>GQC2137-M</v>
          </cell>
          <cell r="D745" t="str">
            <v>846537087714</v>
          </cell>
          <cell r="E745" t="str">
            <v>Quikcell Apple iPhone 14 Pro Max TEMPERED GLASS Screen Protector</v>
          </cell>
          <cell r="F745" t="str">
            <v>Micas</v>
          </cell>
          <cell r="G745" t="str">
            <v>iPhone 14</v>
          </cell>
          <cell r="H745" t="str">
            <v>iPhone 14 Pro Max</v>
          </cell>
          <cell r="I745">
            <v>345.97</v>
          </cell>
          <cell r="J745">
            <v>0.33000801335559271</v>
          </cell>
          <cell r="K745">
            <v>599</v>
          </cell>
          <cell r="L745" t="str">
            <v>Amazon</v>
          </cell>
          <cell r="M745" t="str">
            <v>Discontinued</v>
          </cell>
          <cell r="N745" t="str">
            <v>GQC2137-M</v>
          </cell>
        </row>
        <row r="746">
          <cell r="A746" t="str">
            <v>Quikcell</v>
          </cell>
          <cell r="B746" t="str">
            <v>B0BQX3L46X</v>
          </cell>
          <cell r="C746" t="str">
            <v>GQC2137-M</v>
          </cell>
          <cell r="D746" t="str">
            <v>846537087714</v>
          </cell>
          <cell r="E746" t="str">
            <v>Quikcell Apple iPhone 14 Pro Max TEMPERED GLASS Screen Protector</v>
          </cell>
          <cell r="F746" t="str">
            <v>Micas</v>
          </cell>
          <cell r="G746" t="str">
            <v>iPhone 14</v>
          </cell>
          <cell r="H746" t="str">
            <v>iPhone 14 Pro Max</v>
          </cell>
          <cell r="I746">
            <v>427.12</v>
          </cell>
          <cell r="J746">
            <v>0.17285609348914865</v>
          </cell>
          <cell r="K746">
            <v>599</v>
          </cell>
          <cell r="L746" t="str">
            <v>Amazon</v>
          </cell>
          <cell r="M746" t="str">
            <v>Discontinued</v>
          </cell>
          <cell r="N746" t="str">
            <v>GQC2137-M</v>
          </cell>
        </row>
        <row r="747">
          <cell r="A747" t="str">
            <v>Quikcell</v>
          </cell>
          <cell r="C747" t="str">
            <v>GQC2184-M</v>
          </cell>
          <cell r="D747" t="str">
            <v>846537090950</v>
          </cell>
          <cell r="E747" t="str">
            <v>Quikcell Tempered Glass Screen Protector iPhone 15 Plus</v>
          </cell>
          <cell r="F747" t="str">
            <v>Micas</v>
          </cell>
          <cell r="G747" t="str">
            <v>iPhone 15</v>
          </cell>
          <cell r="H747" t="str">
            <v>iPhone 15 Plus</v>
          </cell>
          <cell r="I747">
            <v>392.81896551724134</v>
          </cell>
          <cell r="J747">
            <v>0.17</v>
          </cell>
          <cell r="K747">
            <v>549</v>
          </cell>
          <cell r="L747" t="str">
            <v>Amazon</v>
          </cell>
          <cell r="M747" t="str">
            <v>Active</v>
          </cell>
          <cell r="N747" t="str">
            <v>GQC2184-M</v>
          </cell>
        </row>
        <row r="748">
          <cell r="A748" t="str">
            <v>Quikcell</v>
          </cell>
          <cell r="C748" t="str">
            <v>GQC2183-M</v>
          </cell>
          <cell r="D748" t="str">
            <v>846537090844</v>
          </cell>
          <cell r="E748" t="str">
            <v>Quikcell Tempered Glass Screen Protector iPhone 15 Pro</v>
          </cell>
          <cell r="F748" t="str">
            <v>Micas</v>
          </cell>
          <cell r="G748" t="str">
            <v>iPhone 15</v>
          </cell>
          <cell r="H748" t="str">
            <v>iPhone 15 Pro</v>
          </cell>
          <cell r="I748">
            <v>392.81896551724134</v>
          </cell>
          <cell r="J748">
            <v>0.17</v>
          </cell>
          <cell r="K748">
            <v>549</v>
          </cell>
          <cell r="L748" t="str">
            <v>Amazon</v>
          </cell>
          <cell r="M748" t="str">
            <v>Active</v>
          </cell>
          <cell r="N748" t="str">
            <v>GQC2183-M</v>
          </cell>
        </row>
        <row r="749">
          <cell r="A749" t="str">
            <v>Quikcell</v>
          </cell>
          <cell r="C749" t="str">
            <v>GQC2182-M</v>
          </cell>
          <cell r="D749" t="str">
            <v>846537090738</v>
          </cell>
          <cell r="E749" t="str">
            <v>Quikcell Tempered Glass Screen Protector iPhone 15</v>
          </cell>
          <cell r="F749" t="str">
            <v>Micas</v>
          </cell>
          <cell r="G749" t="str">
            <v>iPhone 15</v>
          </cell>
          <cell r="H749" t="str">
            <v>iPhone 16e / 15 / 14 / 13</v>
          </cell>
          <cell r="I749">
            <v>392.81896551724134</v>
          </cell>
          <cell r="J749">
            <v>0.17</v>
          </cell>
          <cell r="K749">
            <v>549</v>
          </cell>
          <cell r="L749" t="str">
            <v>Amazon</v>
          </cell>
          <cell r="M749" t="str">
            <v>Active</v>
          </cell>
          <cell r="N749" t="str">
            <v>GQC2182-M</v>
          </cell>
        </row>
        <row r="750">
          <cell r="A750" t="str">
            <v>Quikcell</v>
          </cell>
          <cell r="C750" t="str">
            <v>GQC2205-M</v>
          </cell>
          <cell r="D750" t="str">
            <v>846537093722</v>
          </cell>
          <cell r="E750" t="str">
            <v>Quikcell Tempered Glass Screen Protector for iPhone 16</v>
          </cell>
          <cell r="F750" t="str">
            <v>Micas</v>
          </cell>
          <cell r="G750" t="str">
            <v>iPhone 16</v>
          </cell>
          <cell r="H750" t="str">
            <v>iPhone 16</v>
          </cell>
          <cell r="I750">
            <v>392.81896551724134</v>
          </cell>
          <cell r="J750">
            <v>0.17</v>
          </cell>
          <cell r="K750">
            <v>549</v>
          </cell>
          <cell r="L750" t="str">
            <v>Amazon</v>
          </cell>
          <cell r="M750" t="str">
            <v>Active</v>
          </cell>
          <cell r="N750" t="str">
            <v>GQC2205-M</v>
          </cell>
        </row>
        <row r="751">
          <cell r="A751" t="str">
            <v>Quikcell</v>
          </cell>
          <cell r="C751" t="str">
            <v>GQC2207-M</v>
          </cell>
          <cell r="D751" t="str">
            <v>846537093975</v>
          </cell>
          <cell r="E751" t="str">
            <v>Quikcell Tempered Glass Screen Protector for iPhone 16 Plus</v>
          </cell>
          <cell r="F751" t="str">
            <v>Micas</v>
          </cell>
          <cell r="G751" t="str">
            <v>iPhone 16</v>
          </cell>
          <cell r="H751" t="str">
            <v>iPhone 16 Plus</v>
          </cell>
          <cell r="I751">
            <v>392.81896551724134</v>
          </cell>
          <cell r="J751">
            <v>0.17</v>
          </cell>
          <cell r="K751">
            <v>549</v>
          </cell>
          <cell r="L751" t="str">
            <v>Amazon</v>
          </cell>
          <cell r="M751" t="str">
            <v>Active</v>
          </cell>
          <cell r="N751" t="str">
            <v>GQC2207-M</v>
          </cell>
        </row>
        <row r="752">
          <cell r="A752" t="str">
            <v>Quikcell</v>
          </cell>
          <cell r="C752" t="str">
            <v>GQC2206-M</v>
          </cell>
          <cell r="D752" t="str">
            <v>846537093852</v>
          </cell>
          <cell r="E752" t="str">
            <v>Quikcell Tempered Glass Screen Protector for iPhone 16 Pro</v>
          </cell>
          <cell r="F752" t="str">
            <v>Micas</v>
          </cell>
          <cell r="G752" t="str">
            <v>iPhone 16</v>
          </cell>
          <cell r="H752" t="str">
            <v>iPhone 16 Pro / iPhone 17 / 17 Pro</v>
          </cell>
          <cell r="I752">
            <v>392.81896551724134</v>
          </cell>
          <cell r="J752">
            <v>0.17</v>
          </cell>
          <cell r="K752">
            <v>549</v>
          </cell>
          <cell r="L752" t="str">
            <v>Amazon</v>
          </cell>
          <cell r="M752" t="str">
            <v>Active</v>
          </cell>
          <cell r="N752" t="str">
            <v>GQC2206-M</v>
          </cell>
        </row>
        <row r="753">
          <cell r="A753" t="str">
            <v>Quikcell</v>
          </cell>
          <cell r="C753" t="str">
            <v>GQC2208-M</v>
          </cell>
          <cell r="D753" t="str">
            <v>846537094095</v>
          </cell>
          <cell r="E753" t="str">
            <v>Quikcell Tempered Glass Screen Protector for iPhone 16 Pro Max</v>
          </cell>
          <cell r="F753" t="str">
            <v>Micas</v>
          </cell>
          <cell r="G753" t="str">
            <v>iPhone 16</v>
          </cell>
          <cell r="H753" t="str">
            <v>iPhone 16 Pro Max</v>
          </cell>
          <cell r="I753">
            <v>392.81896551724134</v>
          </cell>
          <cell r="J753">
            <v>0.17</v>
          </cell>
          <cell r="K753">
            <v>549</v>
          </cell>
          <cell r="L753" t="str">
            <v>Amazon</v>
          </cell>
          <cell r="M753" t="str">
            <v>Active</v>
          </cell>
          <cell r="N753" t="str">
            <v>GQC2208-M</v>
          </cell>
        </row>
        <row r="754">
          <cell r="A754" t="str">
            <v>Quikcell</v>
          </cell>
          <cell r="B754" t="str">
            <v>B0BQX4BKC3</v>
          </cell>
          <cell r="C754" t="str">
            <v>LIQUIDGTAB</v>
          </cell>
          <cell r="D754" t="str">
            <v>846537083037</v>
          </cell>
          <cell r="E754" t="str">
            <v>Quikcell ULTRA TABLET Liquid Glass Screen Protector</v>
          </cell>
          <cell r="F754" t="str">
            <v>Micas</v>
          </cell>
          <cell r="G754" t="str">
            <v>UNIVERSAL</v>
          </cell>
          <cell r="H754" t="str">
            <v>Tablet</v>
          </cell>
          <cell r="I754">
            <v>498.44</v>
          </cell>
          <cell r="J754">
            <v>0.17283204577968536</v>
          </cell>
          <cell r="K754">
            <v>699</v>
          </cell>
          <cell r="L754" t="str">
            <v>Amazon</v>
          </cell>
          <cell r="M754" t="str">
            <v>Active</v>
          </cell>
          <cell r="N754" t="str">
            <v>LIQUIDGTAB-M</v>
          </cell>
        </row>
        <row r="755">
          <cell r="A755" t="str">
            <v>Quikcell</v>
          </cell>
          <cell r="B755" t="str">
            <v>B09KDQ84MV</v>
          </cell>
          <cell r="C755" t="str">
            <v>QC-LIQUIDG</v>
          </cell>
          <cell r="D755" t="str">
            <v>846537071317</v>
          </cell>
          <cell r="E755" t="str">
            <v>Quikcell Ultra LIQUID GLASS Screen Protector</v>
          </cell>
          <cell r="F755" t="str">
            <v>Micas</v>
          </cell>
          <cell r="G755" t="str">
            <v>UNIVERSAL</v>
          </cell>
          <cell r="H755" t="str">
            <v>Universal</v>
          </cell>
          <cell r="I755">
            <v>355.83</v>
          </cell>
          <cell r="J755">
            <v>0.17282004008016039</v>
          </cell>
          <cell r="K755">
            <v>499</v>
          </cell>
          <cell r="L755" t="str">
            <v>Amazon</v>
          </cell>
          <cell r="M755" t="str">
            <v>Discontinued</v>
          </cell>
          <cell r="N755" t="str">
            <v>QC-LIQUIDG-M</v>
          </cell>
        </row>
        <row r="756">
          <cell r="A756" t="str">
            <v>Quikcell</v>
          </cell>
          <cell r="B756" t="str">
            <v>B09TD6M46Y</v>
          </cell>
          <cell r="C756" t="str">
            <v>QAIR -WAT</v>
          </cell>
          <cell r="D756" t="str">
            <v>846537075643</v>
          </cell>
          <cell r="E756" t="str">
            <v>Quikcell Bundle Watch and QAIR BUDS True Wireless Earbuds with Charging Case - Black</v>
          </cell>
          <cell r="F756" t="str">
            <v>Wearable</v>
          </cell>
          <cell r="G756" t="str">
            <v>Smartwatch</v>
          </cell>
          <cell r="H756" t="str">
            <v>Bundle</v>
          </cell>
          <cell r="I756">
            <v>1781.96</v>
          </cell>
          <cell r="J756">
            <v>0.17283969587835146</v>
          </cell>
          <cell r="K756">
            <v>2499</v>
          </cell>
          <cell r="L756" t="str">
            <v>Amazon</v>
          </cell>
          <cell r="M756" t="str">
            <v>Active</v>
          </cell>
          <cell r="N756" t="str">
            <v>QAIR -WAT-M</v>
          </cell>
        </row>
        <row r="757">
          <cell r="A757" t="str">
            <v>Raptic</v>
          </cell>
          <cell r="B757" t="str">
            <v>B09MSF7NVT</v>
          </cell>
          <cell r="C757" t="str">
            <v>463546</v>
          </cell>
          <cell r="D757" t="str">
            <v>6950941463546</v>
          </cell>
          <cell r="E757" t="str">
            <v xml:space="preserve">Raptic 360X for Apple watch 41mm  Clear </v>
          </cell>
          <cell r="F757" t="str">
            <v>Cases Apple watch</v>
          </cell>
          <cell r="G757" t="str">
            <v>Apple Watch</v>
          </cell>
          <cell r="H757" t="str">
            <v>38mm/40mm/41mm</v>
          </cell>
          <cell r="I757">
            <v>248.86</v>
          </cell>
          <cell r="J757">
            <v>0.172843553008596</v>
          </cell>
          <cell r="K757">
            <v>349</v>
          </cell>
          <cell r="L757" t="str">
            <v>Amazon</v>
          </cell>
          <cell r="M757" t="str">
            <v>Active</v>
          </cell>
          <cell r="N757" t="str">
            <v>463546-M</v>
          </cell>
        </row>
        <row r="758">
          <cell r="A758" t="str">
            <v>Raptic</v>
          </cell>
          <cell r="B758" t="str">
            <v>B09MSFTJ6D</v>
          </cell>
          <cell r="C758">
            <v>463706</v>
          </cell>
          <cell r="D758" t="str">
            <v>6950941463706</v>
          </cell>
          <cell r="E758" t="str">
            <v xml:space="preserve">Raptic Edge for Apple watch 41mm  Blue </v>
          </cell>
          <cell r="F758" t="str">
            <v>Cases Apple watch</v>
          </cell>
          <cell r="G758" t="str">
            <v>Apple Watch</v>
          </cell>
          <cell r="H758" t="str">
            <v>38mm/40mm/41mm</v>
          </cell>
          <cell r="I758">
            <v>534.09</v>
          </cell>
          <cell r="J758">
            <v>0.17283791722296393</v>
          </cell>
          <cell r="K758">
            <v>749</v>
          </cell>
          <cell r="L758" t="str">
            <v>Amazon</v>
          </cell>
          <cell r="M758" t="str">
            <v>Active</v>
          </cell>
          <cell r="N758" t="str">
            <v>463706-M</v>
          </cell>
        </row>
        <row r="759">
          <cell r="A759" t="str">
            <v>Raptic</v>
          </cell>
          <cell r="B759" t="str">
            <v>B09MSGP9V5</v>
          </cell>
          <cell r="C759">
            <v>463676</v>
          </cell>
          <cell r="D759" t="str">
            <v>6950941463676</v>
          </cell>
          <cell r="E759" t="str">
            <v xml:space="preserve">Raptic Edge for Apple watch 41mm  Midnight </v>
          </cell>
          <cell r="F759" t="str">
            <v>Cases Apple watch</v>
          </cell>
          <cell r="G759" t="str">
            <v>Apple Watch</v>
          </cell>
          <cell r="H759" t="str">
            <v>38mm/40mm/41mm</v>
          </cell>
          <cell r="I759">
            <v>534.09</v>
          </cell>
          <cell r="J759">
            <v>0.17283791722296393</v>
          </cell>
          <cell r="K759">
            <v>749</v>
          </cell>
          <cell r="L759" t="str">
            <v>Amazon</v>
          </cell>
          <cell r="M759" t="str">
            <v>Active</v>
          </cell>
          <cell r="N759" t="str">
            <v>463676-M</v>
          </cell>
        </row>
        <row r="760">
          <cell r="A760" t="str">
            <v>Raptic</v>
          </cell>
          <cell r="B760" t="str">
            <v>B09MSF3N92</v>
          </cell>
          <cell r="C760" t="str">
            <v>463485</v>
          </cell>
          <cell r="D760" t="str">
            <v>6950941463485</v>
          </cell>
          <cell r="E760" t="str">
            <v xml:space="preserve">Raptic 360X for Apple watch 45mm  Clear </v>
          </cell>
          <cell r="F760" t="str">
            <v>Cases Apple watch</v>
          </cell>
          <cell r="G760" t="str">
            <v>Apple Watch</v>
          </cell>
          <cell r="H760" t="str">
            <v>42mm/44mm/45mm</v>
          </cell>
          <cell r="I760">
            <v>248.86</v>
          </cell>
          <cell r="J760">
            <v>0.172843553008596</v>
          </cell>
          <cell r="K760">
            <v>349</v>
          </cell>
          <cell r="L760" t="str">
            <v>Amazon</v>
          </cell>
          <cell r="M760" t="str">
            <v>Active</v>
          </cell>
          <cell r="N760" t="str">
            <v>463485-M</v>
          </cell>
        </row>
        <row r="761">
          <cell r="A761" t="str">
            <v>Raptic</v>
          </cell>
          <cell r="B761" t="str">
            <v>B09MSF3N92</v>
          </cell>
          <cell r="C761" t="str">
            <v>463485</v>
          </cell>
          <cell r="D761" t="str">
            <v>6950941463485</v>
          </cell>
          <cell r="E761" t="str">
            <v xml:space="preserve">Raptic 360X for Apple watch 45mm  Clear </v>
          </cell>
          <cell r="F761" t="str">
            <v>Cases Apple watch</v>
          </cell>
          <cell r="G761" t="str">
            <v>Apple Watch</v>
          </cell>
          <cell r="H761" t="str">
            <v>42mm/44mm/45mm</v>
          </cell>
          <cell r="I761">
            <v>249.71551724137933</v>
          </cell>
          <cell r="J761">
            <v>0.17</v>
          </cell>
          <cell r="K761">
            <v>349</v>
          </cell>
          <cell r="L761" t="str">
            <v>Amazon</v>
          </cell>
          <cell r="M761" t="str">
            <v>Active</v>
          </cell>
          <cell r="N761" t="str">
            <v>463485-M</v>
          </cell>
        </row>
        <row r="762">
          <cell r="A762" t="str">
            <v>Raptic</v>
          </cell>
          <cell r="B762" t="str">
            <v>B09MSFYCN4</v>
          </cell>
          <cell r="C762">
            <v>463522</v>
          </cell>
          <cell r="D762" t="str">
            <v>6950941463522</v>
          </cell>
          <cell r="E762" t="str">
            <v xml:space="preserve">Raptic Edge for Apple watch 45mm  Blue </v>
          </cell>
          <cell r="F762" t="str">
            <v>Cases Apple watch</v>
          </cell>
          <cell r="G762" t="str">
            <v>Apple Watch</v>
          </cell>
          <cell r="H762" t="str">
            <v>42mm/44mm/45mm</v>
          </cell>
          <cell r="I762">
            <v>534.09</v>
          </cell>
          <cell r="J762">
            <v>0.17283791722296393</v>
          </cell>
          <cell r="K762">
            <v>749</v>
          </cell>
          <cell r="L762" t="str">
            <v>Amazon</v>
          </cell>
          <cell r="M762" t="str">
            <v>Active</v>
          </cell>
          <cell r="N762" t="str">
            <v>463522-M</v>
          </cell>
        </row>
        <row r="763">
          <cell r="A763" t="str">
            <v>Raptic</v>
          </cell>
          <cell r="B763" t="str">
            <v>B09MSDNNBV</v>
          </cell>
          <cell r="C763">
            <v>463492</v>
          </cell>
          <cell r="D763" t="str">
            <v>6950941463492</v>
          </cell>
          <cell r="E763" t="str">
            <v xml:space="preserve">Raptic Edge for Apple watch 45mm  Midnight </v>
          </cell>
          <cell r="F763" t="str">
            <v>Cases Apple watch</v>
          </cell>
          <cell r="G763" t="str">
            <v>Apple Watch</v>
          </cell>
          <cell r="H763" t="str">
            <v>42mm/44mm/45mm</v>
          </cell>
          <cell r="I763">
            <v>432.61</v>
          </cell>
          <cell r="J763">
            <v>0.33000320427236318</v>
          </cell>
          <cell r="K763">
            <v>749</v>
          </cell>
          <cell r="L763" t="str">
            <v>Amazon</v>
          </cell>
          <cell r="M763" t="str">
            <v>Discontinued</v>
          </cell>
          <cell r="N763" t="str">
            <v>463492-M</v>
          </cell>
        </row>
        <row r="764">
          <cell r="A764" t="str">
            <v>Speck</v>
          </cell>
          <cell r="B764" t="str">
            <v>B0CFWNM2RF</v>
          </cell>
          <cell r="C764" t="str">
            <v>150422-1041</v>
          </cell>
          <cell r="D764" t="str">
            <v>840168532131</v>
          </cell>
          <cell r="E764" t="str">
            <v>Speck Car Vent Mount for MagSafe Black iPhone 15 Car</v>
          </cell>
          <cell r="F764" t="str">
            <v>Accesories</v>
          </cell>
          <cell r="G764" t="str">
            <v>Click Lock</v>
          </cell>
          <cell r="H764" t="str">
            <v>Car Vent</v>
          </cell>
          <cell r="I764">
            <v>571.69827586206895</v>
          </cell>
          <cell r="J764">
            <v>0.17</v>
          </cell>
          <cell r="K764">
            <v>799</v>
          </cell>
          <cell r="L764" t="str">
            <v>Amazon</v>
          </cell>
          <cell r="M764" t="str">
            <v>Active</v>
          </cell>
          <cell r="N764" t="str">
            <v>150422-1041-M</v>
          </cell>
        </row>
        <row r="765">
          <cell r="A765" t="str">
            <v>Speck</v>
          </cell>
          <cell r="B765" t="str">
            <v>B0CFWSRGDJ</v>
          </cell>
          <cell r="C765" t="str">
            <v>150424-1041</v>
          </cell>
          <cell r="D765" t="str">
            <v>840168532230</v>
          </cell>
          <cell r="E765" t="str">
            <v>Speck StandyGripTM for MagSafe® Black iPhone 15 Santdy</v>
          </cell>
          <cell r="F765" t="str">
            <v>Accesories</v>
          </cell>
          <cell r="G765" t="str">
            <v>Click Lock</v>
          </cell>
          <cell r="H765" t="str">
            <v>StandyGrip</v>
          </cell>
          <cell r="I765">
            <v>428.59482758620697</v>
          </cell>
          <cell r="J765">
            <v>0.17</v>
          </cell>
          <cell r="K765">
            <v>599</v>
          </cell>
          <cell r="L765" t="str">
            <v>Amazon</v>
          </cell>
          <cell r="M765" t="str">
            <v>Active</v>
          </cell>
          <cell r="N765" t="str">
            <v>150424-1041-M</v>
          </cell>
        </row>
        <row r="766">
          <cell r="A766" t="str">
            <v>Speck</v>
          </cell>
          <cell r="B766" t="str">
            <v>B0CH1TQ25T</v>
          </cell>
          <cell r="C766" t="str">
            <v>150533-3229</v>
          </cell>
          <cell r="D766" t="str">
            <v>840168536641</v>
          </cell>
          <cell r="E766" t="str">
            <v>Speck Gemtones Play True Wireless Earbuds - Bob Blue</v>
          </cell>
          <cell r="F766" t="str">
            <v>Audio</v>
          </cell>
          <cell r="G766" t="str">
            <v>Headphones Wireless</v>
          </cell>
          <cell r="H766" t="str">
            <v>Gemtones</v>
          </cell>
          <cell r="I766">
            <v>714.80172413793105</v>
          </cell>
          <cell r="J766">
            <v>0.17</v>
          </cell>
          <cell r="K766">
            <v>999</v>
          </cell>
          <cell r="L766" t="str">
            <v>Amazon</v>
          </cell>
          <cell r="M766" t="str">
            <v>Active</v>
          </cell>
          <cell r="N766" t="str">
            <v>150533-3229-M</v>
          </cell>
        </row>
        <row r="767">
          <cell r="A767" t="str">
            <v>Speck</v>
          </cell>
          <cell r="B767" t="str">
            <v>B0CH1TZTZ6</v>
          </cell>
          <cell r="C767" t="str">
            <v>150533-3226</v>
          </cell>
          <cell r="D767" t="str">
            <v>840168536610</v>
          </cell>
          <cell r="E767" t="str">
            <v>Speck Gemtones Play True Wireless Earbuds - Pop Purple</v>
          </cell>
          <cell r="F767" t="str">
            <v>Audio</v>
          </cell>
          <cell r="G767" t="str">
            <v>Headphones Wireless</v>
          </cell>
          <cell r="H767" t="str">
            <v>Gemtones</v>
          </cell>
          <cell r="I767">
            <v>714.80172413793105</v>
          </cell>
          <cell r="J767">
            <v>0.17</v>
          </cell>
          <cell r="K767">
            <v>999</v>
          </cell>
          <cell r="L767" t="str">
            <v>Amazon</v>
          </cell>
          <cell r="M767" t="str">
            <v>Active</v>
          </cell>
          <cell r="N767" t="str">
            <v>150533-3226-M</v>
          </cell>
        </row>
        <row r="768">
          <cell r="A768" t="str">
            <v>Speck</v>
          </cell>
          <cell r="B768" t="str">
            <v>B0CH1SJHH8</v>
          </cell>
          <cell r="C768" t="str">
            <v>150533-3225</v>
          </cell>
          <cell r="D768" t="str">
            <v>840168536795</v>
          </cell>
          <cell r="E768" t="str">
            <v>Speck Gemtones Play True Wireless Earbuds - Black</v>
          </cell>
          <cell r="F768" t="str">
            <v>Audio</v>
          </cell>
          <cell r="G768" t="str">
            <v>Headphones Wireless</v>
          </cell>
          <cell r="H768" t="str">
            <v>Gemtones</v>
          </cell>
          <cell r="I768">
            <v>714.80172413793105</v>
          </cell>
          <cell r="J768">
            <v>0.17</v>
          </cell>
          <cell r="K768">
            <v>999</v>
          </cell>
          <cell r="L768" t="str">
            <v>Amazon</v>
          </cell>
          <cell r="M768" t="str">
            <v>Active</v>
          </cell>
          <cell r="N768" t="str">
            <v>150533-3225-M</v>
          </cell>
        </row>
        <row r="769">
          <cell r="A769" t="str">
            <v>Speck</v>
          </cell>
          <cell r="C769" t="str">
            <v>150661-3225</v>
          </cell>
          <cell r="D769" t="str">
            <v>840168539819</v>
          </cell>
          <cell r="E769" t="str">
            <v>Speck Speaker Gemtones Infinity Speaker Max -DARK GREY/CHROME/TAN</v>
          </cell>
          <cell r="F769" t="str">
            <v>Audio</v>
          </cell>
          <cell r="G769" t="str">
            <v>Speakers</v>
          </cell>
          <cell r="H769" t="str">
            <v>Infinity</v>
          </cell>
          <cell r="I769">
            <v>2145.8362068965516</v>
          </cell>
          <cell r="J769">
            <v>0.17</v>
          </cell>
          <cell r="K769">
            <v>2999</v>
          </cell>
          <cell r="L769" t="str">
            <v>Amazon</v>
          </cell>
          <cell r="M769" t="str">
            <v>Active</v>
          </cell>
          <cell r="N769" t="str">
            <v>150661-3225</v>
          </cell>
        </row>
        <row r="770">
          <cell r="A770" t="str">
            <v>Speck</v>
          </cell>
          <cell r="C770" t="str">
            <v>150659-3225</v>
          </cell>
          <cell r="D770" t="str">
            <v>840168539796</v>
          </cell>
          <cell r="E770" t="str">
            <v>Speck Speaker Gemtones Infinity Speaker Mini -DARK GREY/CHROME/TAN</v>
          </cell>
          <cell r="F770" t="str">
            <v>Audio</v>
          </cell>
          <cell r="G770" t="str">
            <v>Speakers</v>
          </cell>
          <cell r="H770" t="str">
            <v>Infinity</v>
          </cell>
          <cell r="I770">
            <v>1287.2155172413793</v>
          </cell>
          <cell r="J770">
            <v>0.17</v>
          </cell>
          <cell r="K770">
            <v>1799</v>
          </cell>
          <cell r="L770" t="str">
            <v>Amazon</v>
          </cell>
          <cell r="M770" t="str">
            <v>Active</v>
          </cell>
          <cell r="N770" t="str">
            <v>150659-3225</v>
          </cell>
        </row>
        <row r="771">
          <cell r="A771" t="str">
            <v>Speck</v>
          </cell>
          <cell r="C771" t="str">
            <v>150660-3225</v>
          </cell>
          <cell r="D771" t="str">
            <v>840168539802</v>
          </cell>
          <cell r="E771" t="str">
            <v>Speck Speaker Gemtones Infinity Speaker Mid-DARK GREY/CHROME/TAN</v>
          </cell>
          <cell r="F771" t="str">
            <v>Audio</v>
          </cell>
          <cell r="G771" t="str">
            <v>Speakers</v>
          </cell>
          <cell r="H771" t="str">
            <v>Infinity</v>
          </cell>
          <cell r="I771">
            <v>1716.5258620689656</v>
          </cell>
          <cell r="J771">
            <v>0.17</v>
          </cell>
          <cell r="K771">
            <v>2399</v>
          </cell>
          <cell r="L771" t="str">
            <v>Amazon</v>
          </cell>
          <cell r="M771" t="str">
            <v>Active</v>
          </cell>
          <cell r="N771" t="str">
            <v>150660-3225</v>
          </cell>
        </row>
        <row r="772">
          <cell r="A772" t="str">
            <v>Speck</v>
          </cell>
          <cell r="B772" t="str">
            <v>B0CGVXQKTD</v>
          </cell>
          <cell r="C772" t="str">
            <v>150585-1568</v>
          </cell>
          <cell r="D772" t="str">
            <v>840168538683</v>
          </cell>
          <cell r="E772" t="str">
            <v>Speck Tagimals 4-Pack - Mulicolor</v>
          </cell>
          <cell r="F772" t="str">
            <v>Cases AirTag</v>
          </cell>
          <cell r="G772" t="str">
            <v>AirTag</v>
          </cell>
          <cell r="H772" t="str">
            <v>AirTag</v>
          </cell>
          <cell r="I772">
            <v>428.59482758620697</v>
          </cell>
          <cell r="J772">
            <v>0.17</v>
          </cell>
          <cell r="K772">
            <v>599</v>
          </cell>
          <cell r="L772" t="str">
            <v>Amazon</v>
          </cell>
          <cell r="M772" t="str">
            <v>Active</v>
          </cell>
          <cell r="N772" t="str">
            <v>150585-1568-M</v>
          </cell>
        </row>
        <row r="773">
          <cell r="A773" t="str">
            <v>Speck</v>
          </cell>
          <cell r="C773" t="str">
            <v>142888-1050</v>
          </cell>
          <cell r="D773" t="str">
            <v>840168508501</v>
          </cell>
          <cell r="E773" t="str">
            <v>Speck Sililoop Airtag - Black</v>
          </cell>
          <cell r="F773" t="str">
            <v>Cases AirTag</v>
          </cell>
          <cell r="G773" t="str">
            <v>AirTag</v>
          </cell>
          <cell r="H773" t="str">
            <v>AirTag</v>
          </cell>
          <cell r="I773">
            <v>264.02586206896552</v>
          </cell>
          <cell r="J773">
            <v>0.17</v>
          </cell>
          <cell r="K773">
            <v>369</v>
          </cell>
          <cell r="L773" t="str">
            <v>Amazon</v>
          </cell>
          <cell r="M773" t="str">
            <v>Active</v>
          </cell>
          <cell r="N773" t="str">
            <v>142888-1050-M</v>
          </cell>
        </row>
        <row r="774">
          <cell r="A774" t="str">
            <v>Speck</v>
          </cell>
          <cell r="B774" t="str">
            <v>B09DMX679X</v>
          </cell>
          <cell r="C774" t="str">
            <v>142888-7807</v>
          </cell>
          <cell r="D774" t="str">
            <v>840168509515</v>
          </cell>
          <cell r="E774" t="str">
            <v>Speck Sililoop Airtag - Coastal Blue</v>
          </cell>
          <cell r="F774" t="str">
            <v>Cases AirTag</v>
          </cell>
          <cell r="G774" t="str">
            <v>AirTag</v>
          </cell>
          <cell r="H774" t="str">
            <v>AirTag</v>
          </cell>
          <cell r="I774">
            <v>264.02586206896552</v>
          </cell>
          <cell r="J774">
            <v>0.17</v>
          </cell>
          <cell r="K774">
            <v>369</v>
          </cell>
          <cell r="L774" t="str">
            <v>Amazon</v>
          </cell>
          <cell r="M774" t="str">
            <v>Active</v>
          </cell>
          <cell r="N774" t="str">
            <v>142888-7807-M</v>
          </cell>
        </row>
        <row r="775">
          <cell r="A775" t="str">
            <v>Speck</v>
          </cell>
          <cell r="B775" t="str">
            <v>B0812NV3KP</v>
          </cell>
          <cell r="C775" t="str">
            <v>133537-8640</v>
          </cell>
          <cell r="D775" t="str">
            <v>848709080691</v>
          </cell>
          <cell r="E775" t="str">
            <v>Speck Balance Folio Clear Case for iPad 10.2" 7/8/9 Gen - Rose Gold Woven Metallic</v>
          </cell>
          <cell r="F775" t="str">
            <v>Cases iPad</v>
          </cell>
          <cell r="G775" t="str">
            <v>iPad</v>
          </cell>
          <cell r="H775" t="str">
            <v>iPad 10.2"</v>
          </cell>
          <cell r="I775">
            <v>714.80172413793105</v>
          </cell>
          <cell r="J775">
            <v>0.17000000000000004</v>
          </cell>
          <cell r="K775">
            <v>999</v>
          </cell>
          <cell r="L775" t="str">
            <v>Amazon</v>
          </cell>
          <cell r="M775" t="str">
            <v>Active</v>
          </cell>
          <cell r="N775" t="str">
            <v>133537-8640-M</v>
          </cell>
        </row>
        <row r="776">
          <cell r="A776" t="str">
            <v>Speck</v>
          </cell>
          <cell r="B776" t="str">
            <v>B0BGT37VWZ</v>
          </cell>
          <cell r="C776" t="str">
            <v>150226-D143</v>
          </cell>
          <cell r="D776" t="str">
            <v>840168528165</v>
          </cell>
          <cell r="E776" t="str">
            <v>Speck Balance Folio Case for iPad 10th Gen - Black/Black/White</v>
          </cell>
          <cell r="F776" t="str">
            <v>Cases iPad</v>
          </cell>
          <cell r="G776" t="str">
            <v>iPad</v>
          </cell>
          <cell r="H776" t="str">
            <v>iPad 10th /11th - 10.9"/11" (2022-2025)</v>
          </cell>
          <cell r="I776">
            <v>714.80172413793105</v>
          </cell>
          <cell r="J776">
            <v>0.17000000000000004</v>
          </cell>
          <cell r="K776">
            <v>999</v>
          </cell>
          <cell r="L776" t="str">
            <v>Amazon</v>
          </cell>
          <cell r="M776" t="str">
            <v>Active</v>
          </cell>
          <cell r="N776" t="str">
            <v>150226-D143-M</v>
          </cell>
        </row>
        <row r="777">
          <cell r="A777" t="str">
            <v>Speck</v>
          </cell>
          <cell r="B777" t="str">
            <v>B0D2GSPL3B</v>
          </cell>
          <cell r="C777" t="str">
            <v>150526-D143</v>
          </cell>
          <cell r="D777" t="str">
            <v>840168536245</v>
          </cell>
          <cell r="E777" t="str">
            <v>Speck BALANCE FOLIO APPLE 13" IPAD AIR CASES - Black</v>
          </cell>
          <cell r="F777" t="str">
            <v>Cases iPad</v>
          </cell>
          <cell r="G777" t="str">
            <v>iPad</v>
          </cell>
          <cell r="H777" t="str">
            <v>iPad Air 13" M2</v>
          </cell>
          <cell r="I777">
            <v>1072.5603448275863</v>
          </cell>
          <cell r="J777">
            <v>0.16999999999999993</v>
          </cell>
          <cell r="K777">
            <v>1499</v>
          </cell>
          <cell r="L777" t="str">
            <v>Amazon</v>
          </cell>
          <cell r="M777" t="str">
            <v>Active</v>
          </cell>
          <cell r="N777" t="str">
            <v>150526-D143-M</v>
          </cell>
        </row>
        <row r="778">
          <cell r="A778" t="str">
            <v>Speck</v>
          </cell>
          <cell r="C778" t="str">
            <v>140999-1050</v>
          </cell>
          <cell r="D778" t="str">
            <v>840168501823</v>
          </cell>
          <cell r="E778" t="str">
            <v>Speck Presidio Pro Folio for iPad Pro 11" 2/M1/M2 /Air 10.9" 4/5 - Black</v>
          </cell>
          <cell r="F778" t="str">
            <v>Cases iPad</v>
          </cell>
          <cell r="G778" t="str">
            <v>iPad</v>
          </cell>
          <cell r="H778" t="str">
            <v>iPad Pro 11" 2/3</v>
          </cell>
          <cell r="I778">
            <v>1072.5603448275863</v>
          </cell>
          <cell r="J778">
            <v>0.17</v>
          </cell>
          <cell r="K778">
            <v>1499</v>
          </cell>
          <cell r="L778" t="str">
            <v>Amazon</v>
          </cell>
          <cell r="M778" t="str">
            <v>Active</v>
          </cell>
          <cell r="N778" t="str">
            <v>140999-1050-M</v>
          </cell>
        </row>
        <row r="779">
          <cell r="A779" t="str">
            <v>Speck</v>
          </cell>
          <cell r="B779" t="str">
            <v>B08VHM9H2M</v>
          </cell>
          <cell r="C779" t="str">
            <v>140548-7265</v>
          </cell>
          <cell r="D779" t="str">
            <v>840168501335</v>
          </cell>
          <cell r="E779" t="str">
            <v>Speck Balance Folio for iPad Air 10.9"/Pro 11" - Plumberry Purple/Crushed Purple/C</v>
          </cell>
          <cell r="F779" t="str">
            <v>Cases iPad</v>
          </cell>
          <cell r="G779" t="str">
            <v>iPad</v>
          </cell>
          <cell r="H779" t="str">
            <v>iPad Pro 11" 2/3/4/Air 4/5</v>
          </cell>
          <cell r="I779">
            <v>1072.5603448275863</v>
          </cell>
          <cell r="J779">
            <v>0.16999999999999993</v>
          </cell>
          <cell r="K779">
            <v>1499</v>
          </cell>
          <cell r="L779" t="str">
            <v>Amazon</v>
          </cell>
          <cell r="M779" t="str">
            <v>Active</v>
          </cell>
          <cell r="N779" t="str">
            <v>140548-7265-M</v>
          </cell>
        </row>
        <row r="780">
          <cell r="A780" t="str">
            <v>Speck</v>
          </cell>
          <cell r="B780" t="str">
            <v>B08X2X6D5Z</v>
          </cell>
          <cell r="C780" t="str">
            <v>140548-1050</v>
          </cell>
          <cell r="D780" t="str">
            <v>840168501106</v>
          </cell>
          <cell r="E780" t="str">
            <v>Speck Balance Folio Case with Microban for iPad Pro 11" M1/Air 10.9" - Black</v>
          </cell>
          <cell r="F780" t="str">
            <v>Cases iPad</v>
          </cell>
          <cell r="G780" t="str">
            <v>iPad</v>
          </cell>
          <cell r="H780" t="str">
            <v>iPad Pro 11" 2/3/4/Air 4/5</v>
          </cell>
          <cell r="I780">
            <v>857.90517241379314</v>
          </cell>
          <cell r="J780">
            <v>0.17000000000000004</v>
          </cell>
          <cell r="K780">
            <v>1199</v>
          </cell>
          <cell r="L780" t="str">
            <v>Amazon</v>
          </cell>
          <cell r="M780" t="str">
            <v>Active</v>
          </cell>
          <cell r="N780" t="str">
            <v>140548-1050-M</v>
          </cell>
        </row>
        <row r="781">
          <cell r="A781" t="str">
            <v>Speck</v>
          </cell>
          <cell r="B781" t="str">
            <v>B08X2WNRV3</v>
          </cell>
          <cell r="C781" t="str">
            <v>140548-9322</v>
          </cell>
          <cell r="D781" t="str">
            <v>840168501328</v>
          </cell>
          <cell r="E781" t="str">
            <v>Speck Balance Folio iPad Pro 11/Air 2020 Arcadia Navy/Moody Grey</v>
          </cell>
          <cell r="F781" t="str">
            <v>Cases iPad</v>
          </cell>
          <cell r="G781" t="str">
            <v>iPad</v>
          </cell>
          <cell r="H781" t="str">
            <v>iPad Pro 11" 2/3/4/Air 4/5</v>
          </cell>
          <cell r="I781">
            <v>857.90517241379314</v>
          </cell>
          <cell r="J781">
            <v>0.17000000000000004</v>
          </cell>
          <cell r="K781">
            <v>1199</v>
          </cell>
          <cell r="L781" t="str">
            <v>Amazon</v>
          </cell>
          <cell r="M781" t="str">
            <v>Active</v>
          </cell>
          <cell r="N781" t="str">
            <v>140548-9322-M</v>
          </cell>
        </row>
        <row r="782">
          <cell r="A782" t="str">
            <v>Speck</v>
          </cell>
          <cell r="B782" t="str">
            <v>B0D2GSRC1L</v>
          </cell>
          <cell r="C782" t="str">
            <v>150525-D143</v>
          </cell>
          <cell r="D782" t="str">
            <v>840168536160</v>
          </cell>
          <cell r="E782" t="str">
            <v>Speck BALANCE FOLIO APPLE 11" IPAD PRO CASES - Black</v>
          </cell>
          <cell r="F782" t="str">
            <v>Cases iPad</v>
          </cell>
          <cell r="G782" t="str">
            <v>iPad</v>
          </cell>
          <cell r="H782" t="str">
            <v>iPad Pro 11" M3/M4</v>
          </cell>
          <cell r="I782">
            <v>1072.5603448275863</v>
          </cell>
          <cell r="J782">
            <v>0.16999999999999993</v>
          </cell>
          <cell r="K782">
            <v>1499</v>
          </cell>
          <cell r="L782" t="str">
            <v>Amazon</v>
          </cell>
          <cell r="M782" t="str">
            <v>Active</v>
          </cell>
          <cell r="N782" t="str">
            <v>150525-D143-M</v>
          </cell>
        </row>
        <row r="783">
          <cell r="A783" t="str">
            <v>Speck</v>
          </cell>
          <cell r="B783" t="str">
            <v>B0BGT3YFFZ</v>
          </cell>
          <cell r="C783" t="str">
            <v>150198-9969</v>
          </cell>
          <cell r="D783" t="str">
            <v>840168526871</v>
          </cell>
          <cell r="E783" t="str">
            <v>IPAD PRO 12.9” (2022) BALANCE FOLIO (W/MB) (ALMOND MILK/MOCHA/CHARCOAL)</v>
          </cell>
          <cell r="F783" t="str">
            <v>Cases iPad</v>
          </cell>
          <cell r="G783" t="str">
            <v>iPad</v>
          </cell>
          <cell r="H783" t="str">
            <v>iPad Pro 12.9</v>
          </cell>
          <cell r="I783">
            <v>1072.5603448275863</v>
          </cell>
          <cell r="J783">
            <v>0.16999999999999993</v>
          </cell>
          <cell r="K783">
            <v>1499</v>
          </cell>
          <cell r="L783" t="str">
            <v>Amazon</v>
          </cell>
          <cell r="M783" t="str">
            <v>Active</v>
          </cell>
          <cell r="N783" t="str">
            <v>150198-9969-M</v>
          </cell>
        </row>
        <row r="784">
          <cell r="A784" t="str">
            <v>Speck</v>
          </cell>
          <cell r="B784" t="str">
            <v>B0BGT347XD</v>
          </cell>
          <cell r="C784" t="str">
            <v>150198-D143</v>
          </cell>
          <cell r="D784" t="str">
            <v>840168526840</v>
          </cell>
          <cell r="E784" t="str">
            <v>IPAD PRO 12.9” (2022) BALANCEFOLIO (W/MB) (BLACK/BLACK/WHITE)</v>
          </cell>
          <cell r="F784" t="str">
            <v>Cases iPad</v>
          </cell>
          <cell r="G784" t="str">
            <v>iPad</v>
          </cell>
          <cell r="H784" t="str">
            <v>iPad Pro 12.9</v>
          </cell>
          <cell r="I784">
            <v>1072.5603448275863</v>
          </cell>
          <cell r="J784">
            <v>0.17</v>
          </cell>
          <cell r="K784">
            <v>1499</v>
          </cell>
          <cell r="L784" t="str">
            <v>Amazon</v>
          </cell>
          <cell r="M784" t="str">
            <v>Active</v>
          </cell>
          <cell r="N784" t="str">
            <v>150198-D143-M</v>
          </cell>
        </row>
        <row r="785">
          <cell r="A785" t="str">
            <v>Speck</v>
          </cell>
          <cell r="B785" t="str">
            <v>B0D2GLKZ27</v>
          </cell>
          <cell r="C785" t="str">
            <v>150527-D143</v>
          </cell>
          <cell r="D785" t="str">
            <v>840168536320</v>
          </cell>
          <cell r="E785" t="str">
            <v>Speck BALANCE FOLIO APPLE 13" IPAD PRO CASES - Black</v>
          </cell>
          <cell r="F785" t="str">
            <v>Cases iPad</v>
          </cell>
          <cell r="G785" t="str">
            <v>iPad</v>
          </cell>
          <cell r="H785" t="str">
            <v>iPad Pro 13" M4</v>
          </cell>
          <cell r="I785">
            <v>1072.5603448275863</v>
          </cell>
          <cell r="J785">
            <v>0.16999999999999993</v>
          </cell>
          <cell r="K785">
            <v>1499</v>
          </cell>
          <cell r="L785" t="str">
            <v>Amazon</v>
          </cell>
          <cell r="M785" t="str">
            <v>Active</v>
          </cell>
          <cell r="N785" t="str">
            <v>150527-D143-M</v>
          </cell>
        </row>
        <row r="786">
          <cell r="A786" t="str">
            <v>Speck</v>
          </cell>
          <cell r="B786" t="str">
            <v>B0BXYSNMYK</v>
          </cell>
          <cell r="C786" t="str">
            <v>150143-3068</v>
          </cell>
          <cell r="D786" t="str">
            <v>840168524846</v>
          </cell>
          <cell r="E786" t="str">
            <v>Speck Presidio2 Pro Case for iPhone 14 Pro - Charcoal/Cool Bronze</v>
          </cell>
          <cell r="F786" t="str">
            <v>Cases iPhone</v>
          </cell>
          <cell r="G786" t="str">
            <v>iPhone 14</v>
          </cell>
          <cell r="H786" t="str">
            <v>iPhone 14 Pro</v>
          </cell>
          <cell r="I786">
            <v>643.25</v>
          </cell>
          <cell r="J786">
            <v>0.17</v>
          </cell>
          <cell r="K786">
            <v>899</v>
          </cell>
          <cell r="L786" t="str">
            <v>Amazon</v>
          </cell>
          <cell r="M786" t="str">
            <v>Active</v>
          </cell>
          <cell r="N786" t="str">
            <v>150143-3068-M</v>
          </cell>
        </row>
        <row r="787">
          <cell r="A787" t="str">
            <v>Speck</v>
          </cell>
          <cell r="B787" t="str">
            <v>B0BDR2NRHW</v>
          </cell>
          <cell r="C787" t="str">
            <v>150089-5085</v>
          </cell>
          <cell r="D787" t="str">
            <v>840168523016</v>
          </cell>
          <cell r="E787" t="str">
            <v>Speck Presidio Perfect Clear Case for iPhone 14 Pro Max - Clear</v>
          </cell>
          <cell r="F787" t="str">
            <v>Cases iPhone</v>
          </cell>
          <cell r="G787" t="str">
            <v>iPhone 14</v>
          </cell>
          <cell r="H787" t="str">
            <v>iPhone 14 Pro Max</v>
          </cell>
          <cell r="I787">
            <v>643.25</v>
          </cell>
          <cell r="J787">
            <v>0.17</v>
          </cell>
          <cell r="K787">
            <v>899</v>
          </cell>
          <cell r="L787" t="str">
            <v>Amazon</v>
          </cell>
          <cell r="M787" t="str">
            <v>Active</v>
          </cell>
          <cell r="N787" t="str">
            <v>150089-5085-M</v>
          </cell>
        </row>
        <row r="788">
          <cell r="A788" t="str">
            <v>Speck</v>
          </cell>
          <cell r="B788" t="str">
            <v>B0CFW32DTW</v>
          </cell>
          <cell r="C788" t="str">
            <v>150447-3206</v>
          </cell>
          <cell r="D788" t="str">
            <v>840168533008</v>
          </cell>
          <cell r="E788" t="str">
            <v>Speck Presidio®2 Grip Magsafe® Clicklock™ Costal Blue / Dust Grey iPhone 15 Pro</v>
          </cell>
          <cell r="F788" t="str">
            <v>Cases iPhone</v>
          </cell>
          <cell r="G788" t="str">
            <v>iPhone 15</v>
          </cell>
          <cell r="H788" t="str">
            <v>iPhone 15 Pro</v>
          </cell>
          <cell r="I788">
            <v>714.80172413793105</v>
          </cell>
          <cell r="J788">
            <v>0.17</v>
          </cell>
          <cell r="K788">
            <v>999</v>
          </cell>
          <cell r="L788" t="str">
            <v>Amazon</v>
          </cell>
          <cell r="M788" t="str">
            <v>Active</v>
          </cell>
          <cell r="N788" t="str">
            <v>150447-3206-M</v>
          </cell>
        </row>
        <row r="789">
          <cell r="A789" t="str">
            <v>Speck</v>
          </cell>
          <cell r="B789" t="str">
            <v>B0CFVWFNFD</v>
          </cell>
          <cell r="C789" t="str">
            <v>150463-3212</v>
          </cell>
          <cell r="D789" t="str">
            <v>840168533589</v>
          </cell>
          <cell r="E789" t="str">
            <v>Speck Presidio®2 Grip Magsafe® Clicklock™ Charcoal Grey/ Cool Bronze iPhone 15 Pro Max</v>
          </cell>
          <cell r="F789" t="str">
            <v>Cases iPhone</v>
          </cell>
          <cell r="G789" t="str">
            <v>iPhone 15</v>
          </cell>
          <cell r="H789" t="str">
            <v>iPhone 15 Pro Max</v>
          </cell>
          <cell r="I789">
            <v>714.80172413793105</v>
          </cell>
          <cell r="J789">
            <v>0.17</v>
          </cell>
          <cell r="K789">
            <v>999</v>
          </cell>
          <cell r="L789" t="str">
            <v>Amazon</v>
          </cell>
          <cell r="M789" t="str">
            <v>Active</v>
          </cell>
          <cell r="N789" t="str">
            <v>150463-3212-M</v>
          </cell>
        </row>
        <row r="790">
          <cell r="A790" t="str">
            <v>Speck</v>
          </cell>
          <cell r="B790" t="str">
            <v>B0CFVYRYXX</v>
          </cell>
          <cell r="C790" t="str">
            <v>150491-5085</v>
          </cell>
          <cell r="D790" t="str">
            <v>840168534944</v>
          </cell>
          <cell r="E790" t="str">
            <v>Speck GemShell® iPhone 15</v>
          </cell>
          <cell r="F790" t="str">
            <v>Cases iPhone</v>
          </cell>
          <cell r="G790" t="str">
            <v>iPhone 15</v>
          </cell>
          <cell r="H790" t="str">
            <v>iPhone 16e / 15 / 14 / 13</v>
          </cell>
          <cell r="I790">
            <v>428.59482758620697</v>
          </cell>
          <cell r="J790">
            <v>0.17</v>
          </cell>
          <cell r="K790">
            <v>599</v>
          </cell>
          <cell r="L790" t="str">
            <v>Amazon</v>
          </cell>
          <cell r="M790" t="str">
            <v>Active</v>
          </cell>
          <cell r="N790" t="str">
            <v>150491-5085-M</v>
          </cell>
        </row>
        <row r="791">
          <cell r="A791" t="str">
            <v>Speck</v>
          </cell>
          <cell r="C791" t="str">
            <v>150689-3214</v>
          </cell>
          <cell r="D791" t="str">
            <v>840168540389</v>
          </cell>
          <cell r="E791" t="str">
            <v>Speck AP-1031 PRESIDIO2 GRIP + CL BLEACHED BONE/HE</v>
          </cell>
          <cell r="F791" t="str">
            <v>Cases iPhone</v>
          </cell>
          <cell r="G791" t="str">
            <v>iPhone 16</v>
          </cell>
          <cell r="H791">
            <v>0</v>
          </cell>
          <cell r="I791">
            <v>714.80172413793105</v>
          </cell>
          <cell r="J791">
            <v>0.17</v>
          </cell>
          <cell r="K791">
            <v>999</v>
          </cell>
          <cell r="L791" t="str">
            <v>Amazon</v>
          </cell>
          <cell r="M791" t="str">
            <v>Active</v>
          </cell>
          <cell r="N791" t="str">
            <v>150689-3214-M</v>
          </cell>
        </row>
        <row r="792">
          <cell r="A792" t="str">
            <v>Speck</v>
          </cell>
          <cell r="B792" t="str">
            <v>B0D9C4WXZ8</v>
          </cell>
          <cell r="C792" t="str">
            <v>150697-5085</v>
          </cell>
          <cell r="D792" t="str">
            <v>840168540655</v>
          </cell>
          <cell r="E792" t="str">
            <v>Speck iPhone 16 Gemshell Grip +Ms Clear/Clear</v>
          </cell>
          <cell r="F792" t="str">
            <v>Cases iPhone</v>
          </cell>
          <cell r="G792" t="str">
            <v>iPhone 16</v>
          </cell>
          <cell r="H792" t="str">
            <v>iPhone 16</v>
          </cell>
          <cell r="I792">
            <v>428.59482758620697</v>
          </cell>
          <cell r="J792">
            <v>0.17</v>
          </cell>
          <cell r="K792">
            <v>599</v>
          </cell>
          <cell r="L792" t="str">
            <v>Amazon</v>
          </cell>
          <cell r="M792" t="str">
            <v>Active</v>
          </cell>
          <cell r="N792" t="str">
            <v>150697-5085-M</v>
          </cell>
        </row>
        <row r="793">
          <cell r="A793" t="str">
            <v>Speck</v>
          </cell>
          <cell r="C793" t="str">
            <v>150695-3205</v>
          </cell>
          <cell r="D793" t="str">
            <v>840168544493</v>
          </cell>
          <cell r="E793" t="str">
            <v>Speck iPhone 16 CandyShell Grip + MS Black Slate</v>
          </cell>
          <cell r="F793" t="str">
            <v>Cases iPhone</v>
          </cell>
          <cell r="G793" t="str">
            <v>iPhone 16</v>
          </cell>
          <cell r="H793" t="str">
            <v>iPhone 16</v>
          </cell>
          <cell r="I793">
            <v>643.25</v>
          </cell>
          <cell r="J793">
            <v>0.17</v>
          </cell>
          <cell r="K793">
            <v>899</v>
          </cell>
          <cell r="L793" t="str">
            <v>Amazon</v>
          </cell>
          <cell r="M793" t="str">
            <v>Active</v>
          </cell>
          <cell r="N793" t="str">
            <v>150695-3205-M</v>
          </cell>
        </row>
        <row r="794">
          <cell r="A794" t="str">
            <v>Speck</v>
          </cell>
          <cell r="B794" t="str">
            <v>B0D9C4HC5H</v>
          </cell>
          <cell r="C794" t="str">
            <v>150698-9508</v>
          </cell>
          <cell r="D794" t="str">
            <v>840168540662</v>
          </cell>
          <cell r="E794" t="str">
            <v>Speck iPhone 16 Gemshell Clear/ Platinum Glitter</v>
          </cell>
          <cell r="F794" t="str">
            <v>Cases iPhone</v>
          </cell>
          <cell r="G794" t="str">
            <v>iPhone 16</v>
          </cell>
          <cell r="H794" t="str">
            <v>iPhone 16</v>
          </cell>
          <cell r="I794">
            <v>428.59482758620697</v>
          </cell>
          <cell r="J794">
            <v>0.17</v>
          </cell>
          <cell r="K794">
            <v>599</v>
          </cell>
          <cell r="L794" t="str">
            <v>Amazon</v>
          </cell>
          <cell r="M794" t="str">
            <v>Active</v>
          </cell>
          <cell r="N794" t="str">
            <v>150698-9508-M</v>
          </cell>
        </row>
        <row r="795">
          <cell r="A795" t="str">
            <v>Speck</v>
          </cell>
          <cell r="B795" t="str">
            <v>B0D9C46V52</v>
          </cell>
          <cell r="C795" t="str">
            <v>150696-5085</v>
          </cell>
          <cell r="D795" t="str">
            <v>840168540648</v>
          </cell>
          <cell r="E795" t="str">
            <v>Speck iPhone 16 Gemshell Clear/Clear</v>
          </cell>
          <cell r="F795" t="str">
            <v>Cases iPhone</v>
          </cell>
          <cell r="G795" t="str">
            <v>iPhone 16</v>
          </cell>
          <cell r="H795" t="str">
            <v>iPhone 16</v>
          </cell>
          <cell r="I795">
            <v>428.59482758620697</v>
          </cell>
          <cell r="J795">
            <v>0.17</v>
          </cell>
          <cell r="K795">
            <v>599</v>
          </cell>
          <cell r="L795" t="str">
            <v>Amazon</v>
          </cell>
          <cell r="M795" t="str">
            <v>Active</v>
          </cell>
          <cell r="N795" t="str">
            <v>150696-5085-M</v>
          </cell>
        </row>
        <row r="796">
          <cell r="A796" t="str">
            <v>Speck</v>
          </cell>
          <cell r="C796" t="str">
            <v>150689-3249</v>
          </cell>
          <cell r="D796" t="str">
            <v>840168540396</v>
          </cell>
          <cell r="E796" t="str">
            <v>Speck iPhone 16 Presidio2 Grip +Cl True Pink/Shocking Pink/White</v>
          </cell>
          <cell r="F796" t="str">
            <v>Cases iPhone</v>
          </cell>
          <cell r="G796" t="str">
            <v>iPhone 16</v>
          </cell>
          <cell r="H796" t="str">
            <v>iPhone 16</v>
          </cell>
          <cell r="I796">
            <v>714.80172413793105</v>
          </cell>
          <cell r="J796">
            <v>0.17</v>
          </cell>
          <cell r="K796">
            <v>999</v>
          </cell>
          <cell r="L796" t="str">
            <v>Amazon</v>
          </cell>
          <cell r="M796" t="str">
            <v>Active</v>
          </cell>
          <cell r="N796" t="str">
            <v>150689-3249-M</v>
          </cell>
        </row>
        <row r="797">
          <cell r="A797" t="str">
            <v>Speck</v>
          </cell>
          <cell r="C797" t="str">
            <v>150689-3206</v>
          </cell>
          <cell r="D797" t="str">
            <v>840168540365</v>
          </cell>
          <cell r="E797" t="str">
            <v>Speck iPhone 16 Presidio2 Grip +Cl Coastal Blue/Dustgrey/White</v>
          </cell>
          <cell r="F797" t="str">
            <v>Cases iPhone</v>
          </cell>
          <cell r="G797" t="str">
            <v>iPhone 16</v>
          </cell>
          <cell r="H797" t="str">
            <v>iPhone 16</v>
          </cell>
          <cell r="I797">
            <v>714.80172413793105</v>
          </cell>
          <cell r="J797">
            <v>0.17</v>
          </cell>
          <cell r="K797">
            <v>999</v>
          </cell>
          <cell r="L797" t="str">
            <v>Amazon</v>
          </cell>
          <cell r="M797" t="str">
            <v>Active</v>
          </cell>
          <cell r="N797" t="str">
            <v>150689-3206-M</v>
          </cell>
        </row>
        <row r="798">
          <cell r="A798" t="str">
            <v>Speck</v>
          </cell>
          <cell r="B798" t="str">
            <v>B0D9C4JYWK</v>
          </cell>
          <cell r="C798" t="str">
            <v>150721-5085</v>
          </cell>
          <cell r="D798" t="str">
            <v>840168541478</v>
          </cell>
          <cell r="E798" t="str">
            <v>Speck iPhone 16 Plus Gemshell Grip +Ms Clear/Clear</v>
          </cell>
          <cell r="F798" t="str">
            <v>Cases iPhone</v>
          </cell>
          <cell r="G798" t="str">
            <v>iPhone 16</v>
          </cell>
          <cell r="H798" t="str">
            <v>iPhone 16 Plus</v>
          </cell>
          <cell r="I798">
            <v>428.59482758620697</v>
          </cell>
          <cell r="J798">
            <v>0.17</v>
          </cell>
          <cell r="K798">
            <v>599</v>
          </cell>
          <cell r="L798" t="str">
            <v>Amazon</v>
          </cell>
          <cell r="M798" t="str">
            <v>Active</v>
          </cell>
          <cell r="N798" t="str">
            <v>150721-5085-M</v>
          </cell>
        </row>
        <row r="799">
          <cell r="A799" t="str">
            <v>Speck</v>
          </cell>
          <cell r="B799" t="str">
            <v>B0D9C3G4KV</v>
          </cell>
          <cell r="C799" t="str">
            <v>150722-9508</v>
          </cell>
          <cell r="D799" t="str">
            <v>840168541485</v>
          </cell>
          <cell r="E799" t="str">
            <v>Speck iPhone 16 Plus Gemshell Clear/ Platinum Glitter</v>
          </cell>
          <cell r="F799" t="str">
            <v>Cases iPhone</v>
          </cell>
          <cell r="G799" t="str">
            <v>iPhone 16</v>
          </cell>
          <cell r="H799" t="str">
            <v>iPhone 16 Plus</v>
          </cell>
          <cell r="I799">
            <v>428.59482758620697</v>
          </cell>
          <cell r="J799">
            <v>0.17</v>
          </cell>
          <cell r="K799">
            <v>599</v>
          </cell>
          <cell r="L799" t="str">
            <v>Amazon</v>
          </cell>
          <cell r="M799" t="str">
            <v>Discontinued</v>
          </cell>
          <cell r="N799" t="str">
            <v>150722-9508-M</v>
          </cell>
        </row>
        <row r="800">
          <cell r="A800" t="str">
            <v>Speck</v>
          </cell>
          <cell r="B800" t="str">
            <v>B0DCPFJW6Q</v>
          </cell>
          <cell r="C800" t="str">
            <v>150701-3206</v>
          </cell>
          <cell r="D800" t="str">
            <v>840168540778</v>
          </cell>
          <cell r="E800" t="str">
            <v>Speck iPhone 16 Pro Presidio2 Grip +Cl Coastal Blue/Dustgrey/White</v>
          </cell>
          <cell r="F800" t="str">
            <v>Cases iPhone</v>
          </cell>
          <cell r="G800" t="str">
            <v>iPhone 16</v>
          </cell>
          <cell r="H800" t="str">
            <v>iPhone 16 Pro</v>
          </cell>
          <cell r="I800">
            <v>714.80172413793105</v>
          </cell>
          <cell r="J800">
            <v>0.17</v>
          </cell>
          <cell r="K800">
            <v>999</v>
          </cell>
          <cell r="L800" t="str">
            <v>Amazon</v>
          </cell>
          <cell r="M800" t="str">
            <v>Active</v>
          </cell>
          <cell r="N800" t="str">
            <v>150701-3206-M</v>
          </cell>
        </row>
        <row r="801">
          <cell r="A801" t="str">
            <v>Speck</v>
          </cell>
          <cell r="C801" t="str">
            <v>150706-9221</v>
          </cell>
          <cell r="D801" t="str">
            <v>840168540945</v>
          </cell>
          <cell r="E801" t="str">
            <v>Speck iPhone 16 Pro Presidio Lux +Cl Clear/Clear /Gold Glitter?</v>
          </cell>
          <cell r="F801" t="str">
            <v>Cases iPhone</v>
          </cell>
          <cell r="G801" t="str">
            <v>iPhone 16</v>
          </cell>
          <cell r="H801" t="str">
            <v>iPhone 16 Pro / iPhone 17</v>
          </cell>
          <cell r="I801">
            <v>714.80172413793105</v>
          </cell>
          <cell r="J801">
            <v>0.17</v>
          </cell>
          <cell r="K801">
            <v>999</v>
          </cell>
          <cell r="L801" t="str">
            <v>Amazon</v>
          </cell>
          <cell r="M801" t="str">
            <v>Active</v>
          </cell>
          <cell r="N801" t="str">
            <v>150706-9221-M</v>
          </cell>
        </row>
        <row r="802">
          <cell r="A802" t="str">
            <v>Speck</v>
          </cell>
          <cell r="C802" t="str">
            <v>150703-3258</v>
          </cell>
          <cell r="D802" t="str">
            <v>840168544509</v>
          </cell>
          <cell r="E802" t="str">
            <v>Speck iPhone 16 Pro Presidio Perfect Clear Clear Frosted Black</v>
          </cell>
          <cell r="F802" t="str">
            <v>Cases iPhone</v>
          </cell>
          <cell r="G802" t="str">
            <v>iPhone 16</v>
          </cell>
          <cell r="H802" t="str">
            <v>iPhone 16 Pro / iPhone 17</v>
          </cell>
          <cell r="I802">
            <v>714.80172413793105</v>
          </cell>
          <cell r="J802">
            <v>0.17</v>
          </cell>
          <cell r="K802">
            <v>999</v>
          </cell>
          <cell r="L802" t="str">
            <v>Amazon</v>
          </cell>
          <cell r="M802" t="str">
            <v>Active</v>
          </cell>
          <cell r="N802" t="str">
            <v>150703-3258-M</v>
          </cell>
        </row>
        <row r="803">
          <cell r="A803" t="str">
            <v>Speck</v>
          </cell>
          <cell r="B803" t="str">
            <v>B0DCM7T6JL</v>
          </cell>
          <cell r="C803" t="str">
            <v>150703-3199</v>
          </cell>
          <cell r="D803" t="str">
            <v>840168540846</v>
          </cell>
          <cell r="E803" t="str">
            <v>Speck iPhone 16 Pro Presidio Perfect Clear +Cl Clear/Chrome Fini</v>
          </cell>
          <cell r="F803" t="str">
            <v>Cases iPhone</v>
          </cell>
          <cell r="G803" t="str">
            <v>iPhone 16</v>
          </cell>
          <cell r="H803" t="str">
            <v>iPhone 16 Pro / iPhone 17</v>
          </cell>
          <cell r="I803">
            <v>714.80172413793105</v>
          </cell>
          <cell r="J803">
            <v>0.17</v>
          </cell>
          <cell r="K803">
            <v>999</v>
          </cell>
          <cell r="L803" t="str">
            <v>Amazon</v>
          </cell>
          <cell r="M803" t="str">
            <v>Active</v>
          </cell>
          <cell r="N803" t="str">
            <v>150703-3199-M</v>
          </cell>
        </row>
        <row r="804">
          <cell r="A804" t="str">
            <v>Speck</v>
          </cell>
          <cell r="C804" t="str">
            <v>150765-3237</v>
          </cell>
          <cell r="D804" t="str">
            <v>840168543175</v>
          </cell>
          <cell r="E804" t="str">
            <v>Speck iPhone 16 Pro Presidio2 Lux +Ms Amazing Purple/Clear</v>
          </cell>
          <cell r="F804" t="str">
            <v>Cases iPhone</v>
          </cell>
          <cell r="G804" t="str">
            <v>iPhone 16</v>
          </cell>
          <cell r="H804" t="str">
            <v>iPhone 16 Pro / iPhone 17</v>
          </cell>
          <cell r="I804">
            <v>714.80172413793105</v>
          </cell>
          <cell r="J804">
            <v>0.17</v>
          </cell>
          <cell r="K804">
            <v>999</v>
          </cell>
          <cell r="L804" t="str">
            <v>Amazon</v>
          </cell>
          <cell r="M804" t="str">
            <v>Active</v>
          </cell>
          <cell r="N804" t="str">
            <v>150765-3237-M</v>
          </cell>
        </row>
        <row r="805">
          <cell r="A805" t="str">
            <v>Speck</v>
          </cell>
          <cell r="B805" t="str">
            <v>B0DCQ19H21</v>
          </cell>
          <cell r="C805" t="str">
            <v>150701-3205</v>
          </cell>
          <cell r="D805" t="str">
            <v>840168540761</v>
          </cell>
          <cell r="E805" t="str">
            <v>Speck iPhone 16 Pro Presidio2 Grip +Cl Black / Slate Grey /White</v>
          </cell>
          <cell r="F805" t="str">
            <v>Cases iPhone</v>
          </cell>
          <cell r="G805" t="str">
            <v>iPhone 16</v>
          </cell>
          <cell r="H805" t="str">
            <v>iPhone 16 Pro / iPhone 17</v>
          </cell>
          <cell r="I805">
            <v>714.80172413793105</v>
          </cell>
          <cell r="J805">
            <v>0.17</v>
          </cell>
          <cell r="K805">
            <v>999</v>
          </cell>
          <cell r="L805" t="str">
            <v>Amazon</v>
          </cell>
          <cell r="M805" t="str">
            <v>Active</v>
          </cell>
          <cell r="N805" t="str">
            <v>150701-3205-M</v>
          </cell>
        </row>
        <row r="806">
          <cell r="A806" t="str">
            <v>Speck</v>
          </cell>
          <cell r="C806" t="str">
            <v>150701-3249</v>
          </cell>
          <cell r="D806" t="str">
            <v>840168540808</v>
          </cell>
          <cell r="E806" t="str">
            <v>Speck iPhone 16 Pro Presidio2 Grip +Cl True Pink/Shocking Pink/White</v>
          </cell>
          <cell r="F806" t="str">
            <v>Cases iPhone</v>
          </cell>
          <cell r="G806" t="str">
            <v>iPhone 16</v>
          </cell>
          <cell r="H806" t="str">
            <v>iPhone 16 Pro / iPhone 17</v>
          </cell>
          <cell r="I806">
            <v>714.80172413793105</v>
          </cell>
          <cell r="J806">
            <v>0.17</v>
          </cell>
          <cell r="K806">
            <v>999</v>
          </cell>
          <cell r="L806" t="str">
            <v>Amazon</v>
          </cell>
          <cell r="M806" t="str">
            <v>Active</v>
          </cell>
          <cell r="N806" t="str">
            <v>150701-3249-M</v>
          </cell>
        </row>
        <row r="807">
          <cell r="A807" t="str">
            <v>Speck</v>
          </cell>
          <cell r="C807" t="str">
            <v>150727-3199</v>
          </cell>
          <cell r="D807" t="str">
            <v>840168544561</v>
          </cell>
          <cell r="E807" t="str">
            <v>Speck iPhone 16 Pro Max Presidio Perfect Clear +Cl Clear/Clear/Chrome Finish/Serene Silver</v>
          </cell>
          <cell r="F807" t="str">
            <v>Cases iPhone</v>
          </cell>
          <cell r="G807" t="str">
            <v>iPhone 16</v>
          </cell>
          <cell r="H807" t="str">
            <v>iPhone 16 Pro Max</v>
          </cell>
          <cell r="I807">
            <v>714.80172413793105</v>
          </cell>
          <cell r="J807">
            <v>0.17</v>
          </cell>
          <cell r="K807">
            <v>999</v>
          </cell>
          <cell r="L807" t="str">
            <v>Amazon</v>
          </cell>
          <cell r="M807" t="str">
            <v>Active</v>
          </cell>
          <cell r="N807" t="str">
            <v>150727-3199-M</v>
          </cell>
        </row>
        <row r="808">
          <cell r="A808" t="str">
            <v>Speck</v>
          </cell>
          <cell r="C808" t="str">
            <v>150775-3237</v>
          </cell>
          <cell r="D808" t="str">
            <v>840168543656</v>
          </cell>
          <cell r="E808" t="str">
            <v>Speck iPhone 16 Pro Max Presidio2 Lux +Ms Amazing Purple/Clear</v>
          </cell>
          <cell r="F808" t="str">
            <v>Cases iPhone</v>
          </cell>
          <cell r="G808" t="str">
            <v>iPhone 16</v>
          </cell>
          <cell r="H808" t="str">
            <v>iPhone 16 Pro Max</v>
          </cell>
          <cell r="I808">
            <v>7154.4568965517237</v>
          </cell>
          <cell r="J808">
            <v>0.17</v>
          </cell>
          <cell r="K808">
            <v>9999</v>
          </cell>
          <cell r="L808" t="str">
            <v>Amazon</v>
          </cell>
          <cell r="M808" t="str">
            <v>Active</v>
          </cell>
          <cell r="N808" t="str">
            <v>150775-3237-M</v>
          </cell>
        </row>
        <row r="809">
          <cell r="A809" t="str">
            <v>Speck</v>
          </cell>
          <cell r="C809" t="str">
            <v>150727-3258</v>
          </cell>
          <cell r="D809" t="str">
            <v>840168544530</v>
          </cell>
          <cell r="E809" t="str">
            <v>Speck iPhone 16 Pro Max Presidio Perfect Clear Clear Frosted Blk</v>
          </cell>
          <cell r="F809" t="str">
            <v>Cases iPhone</v>
          </cell>
          <cell r="G809" t="str">
            <v>iPhone 16</v>
          </cell>
          <cell r="H809" t="str">
            <v>iPhone 16 Pro Max</v>
          </cell>
          <cell r="I809">
            <v>714.80172413793105</v>
          </cell>
          <cell r="J809">
            <v>0.17</v>
          </cell>
          <cell r="K809">
            <v>999</v>
          </cell>
          <cell r="L809" t="str">
            <v>Amazon</v>
          </cell>
          <cell r="M809" t="str">
            <v>Active</v>
          </cell>
          <cell r="N809" t="str">
            <v>150727-3258-M</v>
          </cell>
        </row>
        <row r="810">
          <cell r="A810" t="str">
            <v>Speck</v>
          </cell>
          <cell r="B810" t="str">
            <v>B0DCPYT7PH</v>
          </cell>
          <cell r="C810" t="str">
            <v>150725-3205</v>
          </cell>
          <cell r="D810" t="str">
            <v>840168541584</v>
          </cell>
          <cell r="E810" t="str">
            <v>Speck iPhone 16 Pro Max Presidio2 Grip +Cl Black / Slate Grey</v>
          </cell>
          <cell r="F810" t="str">
            <v>Cases iPhone</v>
          </cell>
          <cell r="G810" t="str">
            <v>iPhone 16</v>
          </cell>
          <cell r="H810" t="str">
            <v>iPhone 16 Pro Max</v>
          </cell>
          <cell r="I810">
            <v>714.80172413793105</v>
          </cell>
          <cell r="J810">
            <v>0.17</v>
          </cell>
          <cell r="K810">
            <v>999</v>
          </cell>
          <cell r="L810" t="str">
            <v>Amazon</v>
          </cell>
          <cell r="M810" t="str">
            <v>Active</v>
          </cell>
          <cell r="N810" t="str">
            <v>150725-3205-M</v>
          </cell>
        </row>
        <row r="811">
          <cell r="A811" t="str">
            <v>Speck</v>
          </cell>
          <cell r="C811" t="str">
            <v>150730-9221</v>
          </cell>
          <cell r="D811" t="str">
            <v>840168541729</v>
          </cell>
          <cell r="E811" t="str">
            <v>Speck iPhone 16 Pro Max Presidio Lux +Cl Clear/Gold Glitter</v>
          </cell>
          <cell r="F811" t="str">
            <v>Cases iPhone</v>
          </cell>
          <cell r="G811" t="str">
            <v>iPhone 16</v>
          </cell>
          <cell r="H811" t="str">
            <v>iPhone 16 Pro Max</v>
          </cell>
          <cell r="I811">
            <v>714.80172413793105</v>
          </cell>
          <cell r="J811">
            <v>0.17</v>
          </cell>
          <cell r="K811">
            <v>999</v>
          </cell>
          <cell r="L811" t="str">
            <v>Amazon</v>
          </cell>
          <cell r="M811" t="str">
            <v>Discontinued</v>
          </cell>
          <cell r="N811" t="str">
            <v>150730-9221-M</v>
          </cell>
        </row>
        <row r="812">
          <cell r="A812" t="str">
            <v>Speck</v>
          </cell>
          <cell r="C812" t="str">
            <v>150691-3258</v>
          </cell>
          <cell r="D812" t="str">
            <v>840168544486</v>
          </cell>
          <cell r="E812" t="str">
            <v>Speck iPhone 16 Presidio® Perfect-Clear + ClickLock Clear Frosted Black</v>
          </cell>
          <cell r="F812" t="str">
            <v>Cases iPhone</v>
          </cell>
          <cell r="G812" t="str">
            <v>iPhone 16</v>
          </cell>
          <cell r="H812" t="str">
            <v>iPhone 16e,iPhone 15, iPhone 14, iPhone 13</v>
          </cell>
          <cell r="I812">
            <v>714.80172413793105</v>
          </cell>
          <cell r="J812">
            <v>0.17</v>
          </cell>
          <cell r="K812">
            <v>999</v>
          </cell>
          <cell r="L812" t="str">
            <v>Amazon</v>
          </cell>
          <cell r="M812" t="str">
            <v>Active</v>
          </cell>
          <cell r="N812" t="str">
            <v>150691-3258-M</v>
          </cell>
        </row>
        <row r="813">
          <cell r="A813" t="str">
            <v>Speck</v>
          </cell>
          <cell r="B813" t="str">
            <v>B0BHKMKLGQ</v>
          </cell>
          <cell r="C813" t="str">
            <v>150225-3086</v>
          </cell>
          <cell r="D813" t="str">
            <v>840168528141</v>
          </cell>
          <cell r="E813" t="str">
            <v>Speck Smartshell Case for Macbook Air 13" M2 2022 - Cozy Pink</v>
          </cell>
          <cell r="F813" t="str">
            <v>Cases Macbook</v>
          </cell>
          <cell r="G813" t="str">
            <v>Macbook</v>
          </cell>
          <cell r="H813" t="str">
            <v>MacBook Air 13" M4/M3/M2</v>
          </cell>
          <cell r="I813">
            <v>714.80172413793105</v>
          </cell>
          <cell r="J813">
            <v>0.17</v>
          </cell>
          <cell r="K813">
            <v>999</v>
          </cell>
          <cell r="L813" t="str">
            <v>Amazon</v>
          </cell>
          <cell r="M813" t="str">
            <v>Active</v>
          </cell>
          <cell r="N813" t="str">
            <v>150225-3086-M</v>
          </cell>
        </row>
        <row r="814">
          <cell r="A814" t="str">
            <v>Speck</v>
          </cell>
          <cell r="B814" t="str">
            <v>B0BHKVTXX3</v>
          </cell>
          <cell r="C814" t="str">
            <v>150225-3085</v>
          </cell>
          <cell r="D814" t="str">
            <v>840168528134</v>
          </cell>
          <cell r="E814" t="str">
            <v>Speck Smartshell Case for Macbook Air 13" M2 2022 - Obsidian</v>
          </cell>
          <cell r="F814" t="str">
            <v>Cases Macbook</v>
          </cell>
          <cell r="G814" t="str">
            <v>Macbook</v>
          </cell>
          <cell r="H814" t="str">
            <v>MacBook Air 13" M4/M3/M2</v>
          </cell>
          <cell r="I814">
            <v>714.80172413793105</v>
          </cell>
          <cell r="J814">
            <v>0.17</v>
          </cell>
          <cell r="K814">
            <v>999</v>
          </cell>
          <cell r="L814" t="str">
            <v>Amazon</v>
          </cell>
          <cell r="M814" t="str">
            <v>Active</v>
          </cell>
          <cell r="N814" t="str">
            <v>150225-3085-M</v>
          </cell>
        </row>
        <row r="815">
          <cell r="A815" t="str">
            <v>Speck</v>
          </cell>
          <cell r="B815" t="str">
            <v>B0CFM5P8JV</v>
          </cell>
          <cell r="C815" t="str">
            <v>150584-3086</v>
          </cell>
          <cell r="D815" t="str">
            <v>840168538652</v>
          </cell>
          <cell r="E815" t="str">
            <v>Speck Smartshell for Mackbook Air 15" - Cozy Pink/Sweater Grey</v>
          </cell>
          <cell r="F815" t="str">
            <v>Cases Macbook</v>
          </cell>
          <cell r="G815" t="str">
            <v>Macbook</v>
          </cell>
          <cell r="H815" t="str">
            <v>MacBook Air 15" M2/M3</v>
          </cell>
          <cell r="I815">
            <v>893.68103448275872</v>
          </cell>
          <cell r="J815">
            <v>0.17</v>
          </cell>
          <cell r="K815">
            <v>1249</v>
          </cell>
          <cell r="L815" t="str">
            <v>Amazon</v>
          </cell>
          <cell r="M815" t="str">
            <v>Active</v>
          </cell>
          <cell r="N815" t="str">
            <v>150584-3086-M</v>
          </cell>
        </row>
        <row r="816">
          <cell r="A816" t="str">
            <v>Speck</v>
          </cell>
          <cell r="B816" t="str">
            <v>B0CFM2XR4F</v>
          </cell>
          <cell r="C816" t="str">
            <v>150584-3085</v>
          </cell>
          <cell r="D816" t="str">
            <v>840168538645</v>
          </cell>
          <cell r="E816" t="str">
            <v>Speck Smartshell for Mackbook Air 15" - Obsidian/Sweater Grey</v>
          </cell>
          <cell r="F816" t="str">
            <v>Cases Macbook</v>
          </cell>
          <cell r="G816" t="str">
            <v>Macbook</v>
          </cell>
          <cell r="H816" t="str">
            <v>MacBook Air 15" M2/M3</v>
          </cell>
          <cell r="I816">
            <v>893.68103448275872</v>
          </cell>
          <cell r="J816">
            <v>0.17</v>
          </cell>
          <cell r="K816">
            <v>1249</v>
          </cell>
          <cell r="L816" t="str">
            <v>Amazon</v>
          </cell>
          <cell r="M816" t="str">
            <v>Active</v>
          </cell>
          <cell r="N816" t="str">
            <v>150584-3085-M</v>
          </cell>
        </row>
        <row r="817">
          <cell r="A817" t="str">
            <v>Speck</v>
          </cell>
          <cell r="B817" t="str">
            <v>B0CFM4W921</v>
          </cell>
          <cell r="C817" t="str">
            <v>150584-9992</v>
          </cell>
          <cell r="D817" t="str">
            <v>840168538638</v>
          </cell>
          <cell r="E817" t="str">
            <v>Speck Smartshell for Mackbook Air 15" - Clear/Sweater Grey</v>
          </cell>
          <cell r="F817" t="str">
            <v>Cases Macbook</v>
          </cell>
          <cell r="G817" t="str">
            <v>Macbook</v>
          </cell>
          <cell r="H817" t="str">
            <v>MacBook Air 15" M2/M3</v>
          </cell>
          <cell r="I817">
            <v>893.68103448275872</v>
          </cell>
          <cell r="J817">
            <v>0.17</v>
          </cell>
          <cell r="K817">
            <v>1249</v>
          </cell>
          <cell r="L817" t="str">
            <v>Amazon</v>
          </cell>
          <cell r="M817" t="str">
            <v>Active</v>
          </cell>
          <cell r="N817" t="str">
            <v>150584-9992-M</v>
          </cell>
        </row>
        <row r="818">
          <cell r="A818" t="str">
            <v>Speck</v>
          </cell>
          <cell r="B818" t="str">
            <v>B0BHK9ZQ4Z</v>
          </cell>
          <cell r="C818" t="str">
            <v>150224-3086</v>
          </cell>
          <cell r="D818" t="str">
            <v>840168528110</v>
          </cell>
          <cell r="E818" t="str">
            <v>Speck Smartshell Case for Macbook Pro 13" M2/M1 - Cozy Pink</v>
          </cell>
          <cell r="F818" t="str">
            <v>Cases Macbook</v>
          </cell>
          <cell r="G818" t="str">
            <v>Macbook</v>
          </cell>
          <cell r="H818" t="str">
            <v>MacBook Pro 13" M1/M2 Cases</v>
          </cell>
          <cell r="I818">
            <v>893.68103448275872</v>
          </cell>
          <cell r="J818">
            <v>0.17</v>
          </cell>
          <cell r="K818">
            <v>1249</v>
          </cell>
          <cell r="L818" t="str">
            <v>Amazon</v>
          </cell>
          <cell r="M818" t="str">
            <v>Active</v>
          </cell>
          <cell r="N818" t="str">
            <v>150224-3086-M</v>
          </cell>
        </row>
        <row r="819">
          <cell r="A819" t="str">
            <v>Speck</v>
          </cell>
          <cell r="B819" t="str">
            <v>B09RM231HS</v>
          </cell>
          <cell r="C819" t="str">
            <v>144896-9352</v>
          </cell>
          <cell r="D819" t="str">
            <v>840168516728</v>
          </cell>
          <cell r="E819" t="str">
            <v>Speck Smartshell Case with Microban for Macbook Pro 14" M1/M2 - Swell Blue</v>
          </cell>
          <cell r="F819" t="str">
            <v>Cases Macbook</v>
          </cell>
          <cell r="G819" t="str">
            <v>Macbook</v>
          </cell>
          <cell r="H819" t="str">
            <v>MacBook Pro 14" M1/M2 Cases</v>
          </cell>
          <cell r="I819">
            <v>714.80172413793105</v>
          </cell>
          <cell r="J819">
            <v>0.17</v>
          </cell>
          <cell r="K819">
            <v>999</v>
          </cell>
          <cell r="L819" t="str">
            <v>Amazon</v>
          </cell>
          <cell r="M819" t="str">
            <v>Active</v>
          </cell>
          <cell r="N819" t="str">
            <v>144896-9352-M</v>
          </cell>
        </row>
        <row r="820">
          <cell r="A820" t="str">
            <v>Speck</v>
          </cell>
          <cell r="B820" t="str">
            <v>B09RLSTQ4Y</v>
          </cell>
          <cell r="C820" t="str">
            <v>144895-9352</v>
          </cell>
          <cell r="D820" t="str">
            <v>840168515981</v>
          </cell>
          <cell r="E820" t="str">
            <v>Speck Smartshell Case with Microban for MacBook Pro 16" M1/M2 - Swell Blue</v>
          </cell>
          <cell r="F820" t="str">
            <v>Cases Macbook</v>
          </cell>
          <cell r="G820" t="str">
            <v>Macbook</v>
          </cell>
          <cell r="H820" t="str">
            <v>MacBook Pro 16" M1/M2 Cases</v>
          </cell>
          <cell r="I820">
            <v>893.68103448275872</v>
          </cell>
          <cell r="J820">
            <v>0.17</v>
          </cell>
          <cell r="K820">
            <v>1249</v>
          </cell>
          <cell r="L820" t="str">
            <v>Amazon</v>
          </cell>
          <cell r="M820" t="str">
            <v>Active</v>
          </cell>
          <cell r="N820" t="str">
            <v>144895-9352-M</v>
          </cell>
        </row>
        <row r="821">
          <cell r="A821" t="str">
            <v>Speck</v>
          </cell>
          <cell r="B821" t="str">
            <v>B09RM4B6ZS</v>
          </cell>
          <cell r="C821" t="str">
            <v>144895-0581</v>
          </cell>
          <cell r="D821" t="str">
            <v>840168515974</v>
          </cell>
          <cell r="E821" t="str">
            <v>Speck Smartshell Case with Microban for Macbook Pro 16" M1 Pro/M1 Max - Onix Black</v>
          </cell>
          <cell r="F821" t="str">
            <v>Cases Macbook</v>
          </cell>
          <cell r="G821" t="str">
            <v>Macbook</v>
          </cell>
          <cell r="H821" t="str">
            <v>MacBook Pro 16" Touch Bar Cases</v>
          </cell>
          <cell r="I821">
            <v>893.68103448275872</v>
          </cell>
          <cell r="J821">
            <v>0.17</v>
          </cell>
          <cell r="K821">
            <v>1249</v>
          </cell>
          <cell r="L821" t="str">
            <v>Amazon</v>
          </cell>
          <cell r="M821" t="str">
            <v>Active</v>
          </cell>
          <cell r="N821" t="str">
            <v>144895-0581-M</v>
          </cell>
        </row>
        <row r="822">
          <cell r="A822" t="str">
            <v>Speck</v>
          </cell>
          <cell r="B822" t="str">
            <v>B09RLY77SQ</v>
          </cell>
          <cell r="C822" t="str">
            <v>144895-9354</v>
          </cell>
          <cell r="D822" t="str">
            <v>840168515998</v>
          </cell>
          <cell r="E822" t="str">
            <v>Speck Smartshell Case with Microban for Macbook Pro 16" M1 Pro/M1 Max - Crystal Pi</v>
          </cell>
          <cell r="F822" t="str">
            <v>Cases Macbook</v>
          </cell>
          <cell r="G822" t="str">
            <v>Macbook</v>
          </cell>
          <cell r="H822" t="str">
            <v>MacBook Pro 16" Touch Bar Cases</v>
          </cell>
          <cell r="I822">
            <v>893.68103448275872</v>
          </cell>
          <cell r="J822">
            <v>0.17</v>
          </cell>
          <cell r="K822">
            <v>1249</v>
          </cell>
          <cell r="L822" t="str">
            <v>Amazon</v>
          </cell>
          <cell r="M822" t="str">
            <v>Active</v>
          </cell>
          <cell r="N822" t="str">
            <v>144895-9354-M</v>
          </cell>
        </row>
        <row r="823">
          <cell r="A823" t="str">
            <v>Speck</v>
          </cell>
          <cell r="B823" t="str">
            <v>B09P1YB3G9</v>
          </cell>
          <cell r="C823" t="str">
            <v>144229-5085</v>
          </cell>
          <cell r="D823" t="str">
            <v>840168514120</v>
          </cell>
          <cell r="E823" t="str">
            <v>Speck Samsung Galaxy S22 ULTRA  PRESIDIO CLEAR-CLEAR/CLEAR</v>
          </cell>
          <cell r="F823" t="str">
            <v>Cases Samsung</v>
          </cell>
          <cell r="G823" t="str">
            <v>Samsung</v>
          </cell>
          <cell r="H823" t="str">
            <v>S22</v>
          </cell>
          <cell r="I823">
            <v>641.04999999999995</v>
          </cell>
          <cell r="J823">
            <v>0.17283870967741943</v>
          </cell>
          <cell r="K823">
            <v>899</v>
          </cell>
          <cell r="L823" t="str">
            <v>Amazon</v>
          </cell>
          <cell r="M823" t="str">
            <v>Discontinued</v>
          </cell>
          <cell r="N823" t="str">
            <v>144229-5085-M</v>
          </cell>
        </row>
        <row r="824">
          <cell r="A824" t="str">
            <v>Speck</v>
          </cell>
          <cell r="B824" t="str">
            <v>B09P1WY69Q</v>
          </cell>
          <cell r="C824" t="str">
            <v>144239-5085</v>
          </cell>
          <cell r="D824" t="str">
            <v>840168514267</v>
          </cell>
          <cell r="E824" t="str">
            <v>Speck Samsung Galaxy S22 PRESIDIO CLEAR-CLEAR/CLEAR</v>
          </cell>
          <cell r="F824" t="str">
            <v>Cases Samsung</v>
          </cell>
          <cell r="G824" t="str">
            <v>Samsung</v>
          </cell>
          <cell r="H824" t="str">
            <v>S22 ULTRA</v>
          </cell>
          <cell r="I824">
            <v>641.04999999999995</v>
          </cell>
          <cell r="J824">
            <v>0.17283870967741943</v>
          </cell>
          <cell r="K824">
            <v>899</v>
          </cell>
          <cell r="L824" t="str">
            <v>Amazon</v>
          </cell>
          <cell r="M824" t="str">
            <v>Discontinued</v>
          </cell>
          <cell r="N824" t="str">
            <v>144239-5085-M</v>
          </cell>
        </row>
        <row r="825">
          <cell r="A825" t="str">
            <v>Speck</v>
          </cell>
          <cell r="B825" t="str">
            <v>B09P1XKCT2</v>
          </cell>
          <cell r="C825" t="str">
            <v>144234-5085</v>
          </cell>
          <cell r="D825" t="str">
            <v>840168514199</v>
          </cell>
          <cell r="E825" t="str">
            <v>Speck Samsung Galaxy S22 +  PRESIDIO CLEAR-CLEAR/CLEAR</v>
          </cell>
          <cell r="F825" t="str">
            <v>Cases Samsung</v>
          </cell>
          <cell r="G825" t="str">
            <v>Samsung</v>
          </cell>
          <cell r="H825" t="str">
            <v>S22+</v>
          </cell>
          <cell r="I825">
            <v>641.04999999999995</v>
          </cell>
          <cell r="J825">
            <v>0.17283870967741943</v>
          </cell>
          <cell r="K825">
            <v>899</v>
          </cell>
          <cell r="L825" t="str">
            <v>Amazon</v>
          </cell>
          <cell r="M825" t="str">
            <v>Discontinued</v>
          </cell>
          <cell r="N825" t="str">
            <v>144234-5085-M</v>
          </cell>
        </row>
        <row r="826">
          <cell r="A826" t="str">
            <v>Tech21</v>
          </cell>
          <cell r="B826" t="str">
            <v>B0DD47X5DJ</v>
          </cell>
          <cell r="C826" t="str">
            <v>T21-10857</v>
          </cell>
          <cell r="D826" t="str">
            <v>5056586735251</v>
          </cell>
          <cell r="E826" t="str">
            <v>Tech21 EvoCrystal w/MagSafe for iPhone 16  - Black</v>
          </cell>
          <cell r="F826" t="str">
            <v>Cases iPhone</v>
          </cell>
          <cell r="G826" t="str">
            <v>iPhone 16</v>
          </cell>
          <cell r="H826" t="str">
            <v>iPhone 16</v>
          </cell>
          <cell r="I826">
            <v>714.80172413793105</v>
          </cell>
          <cell r="J826">
            <v>0.17</v>
          </cell>
          <cell r="K826">
            <v>999</v>
          </cell>
          <cell r="L826" t="str">
            <v>Amazon</v>
          </cell>
          <cell r="M826" t="str">
            <v>Active</v>
          </cell>
          <cell r="N826" t="str">
            <v>T21-10857</v>
          </cell>
        </row>
        <row r="827">
          <cell r="A827" t="str">
            <v>Tech21</v>
          </cell>
          <cell r="B827" t="str">
            <v>B0DD458S7L</v>
          </cell>
          <cell r="C827" t="str">
            <v>T21-10858</v>
          </cell>
          <cell r="D827" t="str">
            <v>5056586735282</v>
          </cell>
          <cell r="E827" t="str">
            <v>Tech21 EvoCrystal w/MagSafe for iPhone 16 - Blue</v>
          </cell>
          <cell r="F827" t="str">
            <v>Cases iPhone</v>
          </cell>
          <cell r="G827" t="str">
            <v>iPhone 16</v>
          </cell>
          <cell r="H827" t="str">
            <v>iPhone 16</v>
          </cell>
          <cell r="I827">
            <v>714.80172413793105</v>
          </cell>
          <cell r="J827">
            <v>0.17</v>
          </cell>
          <cell r="K827">
            <v>999</v>
          </cell>
          <cell r="L827" t="str">
            <v>Amazon</v>
          </cell>
          <cell r="M827" t="str">
            <v>Active</v>
          </cell>
          <cell r="N827" t="str">
            <v>T21-10858</v>
          </cell>
        </row>
        <row r="828">
          <cell r="A828" t="str">
            <v>Tech21</v>
          </cell>
          <cell r="B828" t="str">
            <v>B0DGX8QHBF</v>
          </cell>
          <cell r="C828" t="str">
            <v>T21-10860</v>
          </cell>
          <cell r="D828" t="str">
            <v>5056586735343</v>
          </cell>
          <cell r="E828" t="str">
            <v>Tech21 EvoCrystal w/MagSafe for iPhone 16 - Pink</v>
          </cell>
          <cell r="F828" t="str">
            <v>Cases iPhone</v>
          </cell>
          <cell r="G828" t="str">
            <v>iPhone 16</v>
          </cell>
          <cell r="H828" t="str">
            <v>iPhone 16</v>
          </cell>
          <cell r="I828">
            <v>714.80172413793105</v>
          </cell>
          <cell r="J828">
            <v>0.17</v>
          </cell>
          <cell r="K828">
            <v>999</v>
          </cell>
          <cell r="L828" t="str">
            <v>Amazon</v>
          </cell>
          <cell r="M828" t="str">
            <v>Active</v>
          </cell>
          <cell r="N828" t="str">
            <v>T21-10860</v>
          </cell>
        </row>
        <row r="829">
          <cell r="A829" t="str">
            <v>Tech21</v>
          </cell>
          <cell r="B829" t="str">
            <v>B0DD43PZ3H</v>
          </cell>
          <cell r="C829" t="str">
            <v>T21-10976</v>
          </cell>
          <cell r="D829" t="str">
            <v>5056586738825</v>
          </cell>
          <cell r="E829" t="str">
            <v>Tech21 EvoCrystal w/MagSafe for iPhone 16 Pro - Blue</v>
          </cell>
          <cell r="F829" t="str">
            <v>Cases iPhone</v>
          </cell>
          <cell r="G829" t="str">
            <v>iPhone 16</v>
          </cell>
          <cell r="H829" t="str">
            <v>iPhone 16 Pro / iPhone 17</v>
          </cell>
          <cell r="I829">
            <v>714.80172413793105</v>
          </cell>
          <cell r="J829">
            <v>0.17</v>
          </cell>
          <cell r="K829">
            <v>999</v>
          </cell>
          <cell r="L829" t="str">
            <v>Amazon</v>
          </cell>
          <cell r="M829" t="str">
            <v>Active</v>
          </cell>
          <cell r="N829" t="str">
            <v>T21-10976</v>
          </cell>
        </row>
        <row r="830">
          <cell r="A830" t="str">
            <v>Tech21</v>
          </cell>
          <cell r="B830" t="str">
            <v>B0DD46ZP8V</v>
          </cell>
          <cell r="C830" t="str">
            <v>T21-10992</v>
          </cell>
          <cell r="D830" t="str">
            <v>5056586739303</v>
          </cell>
          <cell r="E830" t="str">
            <v>Tech21 EvoPro w/MagSafe for iPhone 16 Pro - Clear/Black</v>
          </cell>
          <cell r="F830" t="str">
            <v>Cases iPhone</v>
          </cell>
          <cell r="G830" t="str">
            <v>iPhone 16</v>
          </cell>
          <cell r="H830" t="str">
            <v>iPhone 16 Pro / iPhone 17</v>
          </cell>
          <cell r="I830">
            <v>857.90517241379314</v>
          </cell>
          <cell r="J830">
            <v>0.17</v>
          </cell>
          <cell r="K830">
            <v>1199</v>
          </cell>
          <cell r="L830" t="str">
            <v>Amazon</v>
          </cell>
          <cell r="M830" t="str">
            <v>Active</v>
          </cell>
          <cell r="N830" t="str">
            <v>T21-10992</v>
          </cell>
        </row>
        <row r="831">
          <cell r="A831" t="str">
            <v>Tech21</v>
          </cell>
          <cell r="B831" t="str">
            <v>B0DD45QVW3</v>
          </cell>
          <cell r="C831" t="str">
            <v>T21-10989</v>
          </cell>
          <cell r="D831" t="str">
            <v>5056586739211</v>
          </cell>
          <cell r="E831" t="str">
            <v>Tech21 EvoPro w/MagSafe for iPhone 16 Pro - Clear iPhone 16 Pro</v>
          </cell>
          <cell r="F831" t="str">
            <v>Cases iPhone</v>
          </cell>
          <cell r="G831" t="str">
            <v>iPhone 16</v>
          </cell>
          <cell r="H831" t="str">
            <v>iPhone 16 Pro / iPhone 17</v>
          </cell>
          <cell r="I831">
            <v>857.90517241379314</v>
          </cell>
          <cell r="J831">
            <v>0.17</v>
          </cell>
          <cell r="K831">
            <v>1199</v>
          </cell>
          <cell r="L831" t="str">
            <v>Amazon</v>
          </cell>
          <cell r="M831" t="str">
            <v>Active</v>
          </cell>
          <cell r="N831" t="str">
            <v>T21-10989</v>
          </cell>
        </row>
        <row r="832">
          <cell r="A832" t="str">
            <v>Tech21</v>
          </cell>
          <cell r="B832" t="str">
            <v>B0DD46CCS4</v>
          </cell>
          <cell r="C832" t="str">
            <v>T21-10975</v>
          </cell>
          <cell r="D832" t="str">
            <v>5056586738795</v>
          </cell>
          <cell r="E832" t="str">
            <v>Tech21 EvoCrystal w/MagSafe for iPhone 16 Pro  - Black</v>
          </cell>
          <cell r="F832" t="str">
            <v>Cases iPhone</v>
          </cell>
          <cell r="G832" t="str">
            <v>iPhone 16</v>
          </cell>
          <cell r="H832" t="str">
            <v>iPhone 16 Pro / iPhone 17</v>
          </cell>
          <cell r="I832">
            <v>714.80172413793105</v>
          </cell>
          <cell r="J832">
            <v>0.17</v>
          </cell>
          <cell r="K832">
            <v>999</v>
          </cell>
          <cell r="L832" t="str">
            <v>Amazon</v>
          </cell>
          <cell r="M832" t="str">
            <v>Active</v>
          </cell>
          <cell r="N832" t="str">
            <v>T21-10975</v>
          </cell>
        </row>
        <row r="833">
          <cell r="A833" t="str">
            <v>Tech21</v>
          </cell>
          <cell r="B833" t="str">
            <v>B0DD47FCZW</v>
          </cell>
          <cell r="C833" t="str">
            <v>T21-11048</v>
          </cell>
          <cell r="D833" t="str">
            <v>5056586740989</v>
          </cell>
          <cell r="E833" t="str">
            <v>Tech21 EvoPro w/MagSafe for iPhone 16 Pro Max - Clear</v>
          </cell>
          <cell r="F833" t="str">
            <v>Cases iPhone</v>
          </cell>
          <cell r="G833" t="str">
            <v>iPhone 16</v>
          </cell>
          <cell r="H833" t="str">
            <v>iPhone 16 Pro Max</v>
          </cell>
          <cell r="I833">
            <v>857.90517241379314</v>
          </cell>
          <cell r="J833">
            <v>0.17</v>
          </cell>
          <cell r="K833">
            <v>1199</v>
          </cell>
          <cell r="L833" t="str">
            <v>Amazon</v>
          </cell>
          <cell r="M833" t="str">
            <v>Active</v>
          </cell>
          <cell r="N833" t="str">
            <v>T21-11048</v>
          </cell>
        </row>
        <row r="834">
          <cell r="A834" t="str">
            <v>Tech21</v>
          </cell>
          <cell r="B834" t="str">
            <v>B0DD46DQGC</v>
          </cell>
          <cell r="C834" t="str">
            <v>T21-11035</v>
          </cell>
          <cell r="D834" t="str">
            <v>5056586740590</v>
          </cell>
          <cell r="E834" t="str">
            <v>Tech21 EvoCrystal w/MagSafe for iPhone 16 Pro Max - Blue</v>
          </cell>
          <cell r="F834" t="str">
            <v>Cases iPhone</v>
          </cell>
          <cell r="G834" t="str">
            <v>iPhone 16</v>
          </cell>
          <cell r="H834" t="str">
            <v>iPhone 16 Pro Max</v>
          </cell>
          <cell r="I834">
            <v>714.80172413793105</v>
          </cell>
          <cell r="J834">
            <v>0.17</v>
          </cell>
          <cell r="K834">
            <v>999</v>
          </cell>
          <cell r="L834" t="str">
            <v>Amazon</v>
          </cell>
          <cell r="M834" t="str">
            <v>Active</v>
          </cell>
          <cell r="N834" t="str">
            <v>T21-11035</v>
          </cell>
        </row>
        <row r="835">
          <cell r="A835" t="str">
            <v>Tech21</v>
          </cell>
          <cell r="B835" t="str">
            <v>B0DD45XKDJ</v>
          </cell>
          <cell r="C835" t="str">
            <v>T21-11051</v>
          </cell>
          <cell r="D835" t="str">
            <v>5056586741078</v>
          </cell>
          <cell r="E835" t="str">
            <v>Tech21 EvoPro w/MagSafe for iPhone 16 Pro Max - Clear/Black</v>
          </cell>
          <cell r="F835" t="str">
            <v>Cases iPhone</v>
          </cell>
          <cell r="G835" t="str">
            <v>iPhone 16</v>
          </cell>
          <cell r="H835" t="str">
            <v>iPhone 16 Pro Max</v>
          </cell>
          <cell r="I835">
            <v>857.90517241379314</v>
          </cell>
          <cell r="J835">
            <v>0.17</v>
          </cell>
          <cell r="K835">
            <v>1199</v>
          </cell>
          <cell r="L835" t="str">
            <v>Amazon</v>
          </cell>
          <cell r="M835" t="str">
            <v>Active</v>
          </cell>
          <cell r="N835" t="str">
            <v>T21-11051</v>
          </cell>
        </row>
        <row r="836">
          <cell r="A836" t="str">
            <v>Cubitt</v>
          </cell>
          <cell r="B836" t="str">
            <v>CT-SOUND1</v>
          </cell>
          <cell r="C836" t="str">
            <v>CT-SOUND1</v>
          </cell>
          <cell r="D836" t="str">
            <v>608011863241</v>
          </cell>
          <cell r="E836" t="str">
            <v>Cubitt Waterproof Speakers Black</v>
          </cell>
          <cell r="F836" t="str">
            <v>Audio</v>
          </cell>
          <cell r="G836" t="str">
            <v>Speakers</v>
          </cell>
          <cell r="H836" t="str">
            <v>Cubitt</v>
          </cell>
          <cell r="I836">
            <v>754.54310344827593</v>
          </cell>
          <cell r="J836">
            <v>0.27</v>
          </cell>
          <cell r="K836">
            <v>1199</v>
          </cell>
          <cell r="L836" t="str">
            <v>Mercado Libre</v>
          </cell>
          <cell r="M836" t="str">
            <v>Active</v>
          </cell>
          <cell r="N836" t="str">
            <v>CT-SOUND1</v>
          </cell>
        </row>
        <row r="837">
          <cell r="A837" t="str">
            <v>HYPERGEAR</v>
          </cell>
          <cell r="B837">
            <v>15437</v>
          </cell>
          <cell r="C837">
            <v>15437</v>
          </cell>
          <cell r="D837" t="str">
            <v>633755154379</v>
          </cell>
          <cell r="E837" t="str">
            <v xml:space="preserve">HyperGear SnapShot Wireless Selfie Stick + Tripod Black
</v>
          </cell>
          <cell r="F837" t="str">
            <v>Hardware</v>
          </cell>
          <cell r="G837" t="str">
            <v>Tripod</v>
          </cell>
          <cell r="H837" t="str">
            <v>Selfie + Tripod</v>
          </cell>
          <cell r="I837">
            <v>378.13793103448279</v>
          </cell>
          <cell r="J837">
            <v>0.3724749642346209</v>
          </cell>
          <cell r="K837">
            <v>699</v>
          </cell>
          <cell r="L837" t="str">
            <v>Mercado Libre</v>
          </cell>
          <cell r="M837" t="str">
            <v>Active</v>
          </cell>
          <cell r="N837" t="str">
            <v>15437-M</v>
          </cell>
        </row>
        <row r="838">
          <cell r="A838" t="str">
            <v>Nomad</v>
          </cell>
          <cell r="B838" t="str">
            <v>NM01912B00</v>
          </cell>
          <cell r="C838" t="str">
            <v>NM01912B00</v>
          </cell>
          <cell r="D838" t="str">
            <v>856504015497</v>
          </cell>
          <cell r="E838" t="str">
            <v>Nomad Lightning Cable - 1.5M | USB C | Rugged</v>
          </cell>
          <cell r="F838" t="str">
            <v>Cables</v>
          </cell>
          <cell r="G838" t="str">
            <v>Lightning - Type C</v>
          </cell>
          <cell r="H838" t="str">
            <v>6 ft</v>
          </cell>
          <cell r="I838">
            <v>502.81896551724139</v>
          </cell>
          <cell r="J838">
            <v>0.27</v>
          </cell>
          <cell r="K838">
            <v>799</v>
          </cell>
          <cell r="L838" t="str">
            <v>Mercado Libre</v>
          </cell>
          <cell r="M838" t="str">
            <v>Active</v>
          </cell>
          <cell r="N838" t="str">
            <v>NM01912B00-M</v>
          </cell>
        </row>
        <row r="839">
          <cell r="A839" t="str">
            <v>Nomad</v>
          </cell>
          <cell r="B839" t="str">
            <v>NM01836285</v>
          </cell>
          <cell r="C839" t="str">
            <v>NM01836285</v>
          </cell>
          <cell r="D839" t="str">
            <v>856500018362</v>
          </cell>
          <cell r="E839" t="str">
            <v>Nomad Modern Leather Case - Airpods Pro (2nd gen) | Brown | Nomad Leather</v>
          </cell>
          <cell r="F839" t="str">
            <v>Cases Airpods</v>
          </cell>
          <cell r="G839" t="str">
            <v>Airpods</v>
          </cell>
          <cell r="H839" t="str">
            <v>Pro 2</v>
          </cell>
          <cell r="I839">
            <v>439.88793103448279</v>
          </cell>
          <cell r="J839">
            <v>0.27</v>
          </cell>
          <cell r="K839">
            <v>699</v>
          </cell>
          <cell r="L839" t="str">
            <v>Mercado Libre</v>
          </cell>
          <cell r="M839" t="str">
            <v>Active</v>
          </cell>
          <cell r="N839" t="str">
            <v>NM01836285-M</v>
          </cell>
        </row>
        <row r="840">
          <cell r="A840" t="str">
            <v>Nomad</v>
          </cell>
          <cell r="B840" t="str">
            <v>NM01806585</v>
          </cell>
          <cell r="C840" t="str">
            <v>NM01806585</v>
          </cell>
          <cell r="D840" t="str">
            <v>856500018065</v>
          </cell>
          <cell r="E840" t="str">
            <v>Nomad Modern Leather Case - Airpods Pro (2nd gen) | Black | Nomad Leather</v>
          </cell>
          <cell r="F840" t="str">
            <v>Cases Airpods</v>
          </cell>
          <cell r="G840" t="str">
            <v>Airpods</v>
          </cell>
          <cell r="H840" t="str">
            <v>Pro 2</v>
          </cell>
          <cell r="I840">
            <v>378.13793103448279</v>
          </cell>
          <cell r="J840">
            <v>0.3724749642346209</v>
          </cell>
          <cell r="K840">
            <v>699</v>
          </cell>
          <cell r="L840" t="str">
            <v>Mercado Libre</v>
          </cell>
          <cell r="M840" t="str">
            <v>Active</v>
          </cell>
          <cell r="N840" t="str">
            <v>NM01806585-M</v>
          </cell>
        </row>
        <row r="841">
          <cell r="A841" t="str">
            <v>Nomad</v>
          </cell>
          <cell r="B841" t="str">
            <v>NM01011385</v>
          </cell>
          <cell r="C841" t="str">
            <v>NM01011385</v>
          </cell>
          <cell r="D841" t="str">
            <v>856500010113</v>
          </cell>
          <cell r="E841" t="str">
            <v>Nomad Keychain - AirTag | Rustic Brown | Horween Leather</v>
          </cell>
          <cell r="F841" t="str">
            <v>Cases AirTag</v>
          </cell>
          <cell r="G841" t="str">
            <v>AirTag</v>
          </cell>
          <cell r="H841" t="str">
            <v>AirTag</v>
          </cell>
          <cell r="I841">
            <v>628.68103448275861</v>
          </cell>
          <cell r="J841">
            <v>0.27</v>
          </cell>
          <cell r="K841">
            <v>999</v>
          </cell>
          <cell r="L841" t="str">
            <v>Mercado Libre</v>
          </cell>
          <cell r="M841" t="str">
            <v>Active</v>
          </cell>
          <cell r="N841" t="str">
            <v>NM01011385-M</v>
          </cell>
        </row>
        <row r="842">
          <cell r="A842" t="str">
            <v>Nomad</v>
          </cell>
          <cell r="B842" t="str">
            <v>NM01058885</v>
          </cell>
          <cell r="C842" t="str">
            <v>NM01058885</v>
          </cell>
          <cell r="D842" t="str">
            <v>856500010588</v>
          </cell>
          <cell r="E842" t="str">
            <v>Nomad Modern Leather Case - Rustic Brown | Horween Leather | MagSafe | iPhone 13 Pro</v>
          </cell>
          <cell r="F842" t="str">
            <v>Cases iPhone</v>
          </cell>
          <cell r="G842" t="str">
            <v>iPhone 13</v>
          </cell>
          <cell r="H842" t="str">
            <v>iPhone 13 Pro</v>
          </cell>
          <cell r="I842">
            <v>413.18965517241384</v>
          </cell>
          <cell r="J842">
            <v>0.31430615164520748</v>
          </cell>
          <cell r="K842">
            <v>699</v>
          </cell>
          <cell r="L842" t="str">
            <v>Mercado Libre</v>
          </cell>
          <cell r="M842" t="str">
            <v>Active</v>
          </cell>
          <cell r="N842" t="str">
            <v>NM01058885-M</v>
          </cell>
        </row>
        <row r="843">
          <cell r="A843" t="str">
            <v>Nomad</v>
          </cell>
          <cell r="B843" t="str">
            <v>NM01209485</v>
          </cell>
          <cell r="C843" t="str">
            <v>NM01209485</v>
          </cell>
          <cell r="D843" t="str">
            <v>856500012094</v>
          </cell>
          <cell r="E843" t="str">
            <v>Nomad Sport Case - iPhone 14 Pro Max | Ash Green</v>
          </cell>
          <cell r="F843" t="str">
            <v>Cases iPhone</v>
          </cell>
          <cell r="G843" t="str">
            <v>iPhone 14</v>
          </cell>
          <cell r="H843" t="str">
            <v>iPhone 14 Max</v>
          </cell>
          <cell r="I843">
            <v>278.62068965517244</v>
          </cell>
          <cell r="J843">
            <v>0.46043405676126881</v>
          </cell>
          <cell r="K843">
            <v>599</v>
          </cell>
          <cell r="L843" t="str">
            <v>Mercado Libre</v>
          </cell>
          <cell r="M843" t="str">
            <v>Active</v>
          </cell>
          <cell r="N843" t="str">
            <v>NM01209485-M</v>
          </cell>
        </row>
        <row r="844">
          <cell r="A844" t="str">
            <v>Nomad</v>
          </cell>
          <cell r="B844" t="str">
            <v>NM01152385</v>
          </cell>
          <cell r="C844" t="str">
            <v>NM01152385</v>
          </cell>
          <cell r="D844" t="str">
            <v>856500011523</v>
          </cell>
          <cell r="E844" t="str">
            <v>Nomad Rugged Case - Ultra Orange | iPhone 14 Pro</v>
          </cell>
          <cell r="F844" t="str">
            <v>Cases iPhone</v>
          </cell>
          <cell r="G844" t="str">
            <v>iPhone 14</v>
          </cell>
          <cell r="H844" t="str">
            <v>iPhone 14 Pro</v>
          </cell>
          <cell r="I844">
            <v>628.68103448275861</v>
          </cell>
          <cell r="J844">
            <v>0.27</v>
          </cell>
          <cell r="K844">
            <v>999</v>
          </cell>
          <cell r="L844" t="str">
            <v>Mercado Libre</v>
          </cell>
          <cell r="M844" t="str">
            <v>Active</v>
          </cell>
          <cell r="N844" t="str">
            <v>NM01152385-M</v>
          </cell>
        </row>
        <row r="845">
          <cell r="A845" t="str">
            <v>Nomad</v>
          </cell>
          <cell r="B845" t="str">
            <v>NM01225485</v>
          </cell>
          <cell r="C845" t="str">
            <v>NM01225485</v>
          </cell>
          <cell r="D845" t="str">
            <v>856500012254</v>
          </cell>
          <cell r="E845" t="str">
            <v>Nomad Modern Leather Case - iPhone 14 Pro | Rustic Brown | Horween Leather</v>
          </cell>
          <cell r="F845" t="str">
            <v>Cases iPhone</v>
          </cell>
          <cell r="G845" t="str">
            <v>iPhone 14</v>
          </cell>
          <cell r="H845" t="str">
            <v>iPhone 14 Pro</v>
          </cell>
          <cell r="I845">
            <v>413.18965517241384</v>
          </cell>
          <cell r="J845">
            <v>0.31430615164520748</v>
          </cell>
          <cell r="K845">
            <v>699</v>
          </cell>
          <cell r="L845" t="str">
            <v>Mercado Libre</v>
          </cell>
          <cell r="M845" t="str">
            <v>Active</v>
          </cell>
          <cell r="N845" t="str">
            <v>NM01225485-M</v>
          </cell>
        </row>
        <row r="846">
          <cell r="A846" t="str">
            <v>Nomad</v>
          </cell>
          <cell r="B846" t="str">
            <v>NM01222385</v>
          </cell>
          <cell r="C846" t="str">
            <v>NM01222385</v>
          </cell>
          <cell r="D846" t="str">
            <v>856500012223</v>
          </cell>
          <cell r="E846" t="str">
            <v>Nomad Modern Leather Case - iPhone 14 Pro | Black | Horween Leather</v>
          </cell>
          <cell r="F846" t="str">
            <v>Cases iPhone</v>
          </cell>
          <cell r="G846" t="str">
            <v>iPhone 14</v>
          </cell>
          <cell r="H846" t="str">
            <v>iPhone 14 Pro</v>
          </cell>
          <cell r="I846">
            <v>943.33620689655174</v>
          </cell>
          <cell r="J846">
            <v>0.27</v>
          </cell>
          <cell r="K846">
            <v>1499</v>
          </cell>
          <cell r="L846" t="str">
            <v>Mercado Libre</v>
          </cell>
          <cell r="M846" t="str">
            <v>Active</v>
          </cell>
          <cell r="N846" t="str">
            <v>NM01222385-M</v>
          </cell>
        </row>
        <row r="847">
          <cell r="A847" t="str">
            <v>Nomad</v>
          </cell>
          <cell r="B847" t="str">
            <v>NM01210085</v>
          </cell>
          <cell r="C847" t="str">
            <v>NM01210085</v>
          </cell>
          <cell r="D847" t="str">
            <v>856500012100</v>
          </cell>
          <cell r="E847" t="str">
            <v>Nomad Sport Case - iPhone 14 Pro | Ash Green</v>
          </cell>
          <cell r="F847" t="str">
            <v>Cases iPhone</v>
          </cell>
          <cell r="G847" t="str">
            <v>iPhone 14</v>
          </cell>
          <cell r="H847" t="str">
            <v>iPhone 14 Pro</v>
          </cell>
          <cell r="I847">
            <v>486.81034482758628</v>
          </cell>
          <cell r="J847">
            <v>0.37185761957730812</v>
          </cell>
          <cell r="K847">
            <v>899</v>
          </cell>
          <cell r="L847" t="str">
            <v>Mercado Libre</v>
          </cell>
          <cell r="M847" t="str">
            <v>Active</v>
          </cell>
          <cell r="N847" t="str">
            <v>NM01210085-M</v>
          </cell>
        </row>
        <row r="848">
          <cell r="A848" t="str">
            <v>Nomad</v>
          </cell>
          <cell r="B848" t="str">
            <v>NM01207085</v>
          </cell>
          <cell r="C848" t="str">
            <v>NM01207085</v>
          </cell>
          <cell r="D848" t="str">
            <v>856500012070</v>
          </cell>
          <cell r="E848" t="str">
            <v>Nomad Sport Case - iPhone 14 Pro | Marine Blue</v>
          </cell>
          <cell r="F848" t="str">
            <v>Cases iPhone</v>
          </cell>
          <cell r="G848" t="str">
            <v>iPhone 14</v>
          </cell>
          <cell r="H848" t="str">
            <v>iPhone 14 Pro</v>
          </cell>
          <cell r="I848">
            <v>333.44827586206901</v>
          </cell>
          <cell r="J848">
            <v>0.3542570951585976</v>
          </cell>
          <cell r="K848">
            <v>599</v>
          </cell>
          <cell r="L848" t="str">
            <v>Mercado Libre</v>
          </cell>
          <cell r="M848" t="str">
            <v>Active</v>
          </cell>
          <cell r="N848" t="str">
            <v>NM01207085-M</v>
          </cell>
        </row>
        <row r="849">
          <cell r="A849" t="str">
            <v>Nomad</v>
          </cell>
          <cell r="B849" t="str">
            <v>NM01221685</v>
          </cell>
          <cell r="C849" t="str">
            <v>NM01221685</v>
          </cell>
          <cell r="D849" t="str">
            <v>856500012216</v>
          </cell>
          <cell r="E849" t="str">
            <v>Nomad Modern Leather Case - iPhone 14 Pro Max | Black | Horween Leather</v>
          </cell>
          <cell r="F849" t="str">
            <v>Cases iPhone</v>
          </cell>
          <cell r="G849" t="str">
            <v>iPhone 14</v>
          </cell>
          <cell r="H849" t="str">
            <v>iPhone 14 Pro Max</v>
          </cell>
          <cell r="I849">
            <v>409.56896551724145</v>
          </cell>
          <cell r="J849">
            <v>0.32031473533619448</v>
          </cell>
          <cell r="K849">
            <v>699</v>
          </cell>
          <cell r="L849" t="str">
            <v>Mercado Libre</v>
          </cell>
          <cell r="M849" t="str">
            <v>Active</v>
          </cell>
          <cell r="N849" t="str">
            <v>NM01221685-M</v>
          </cell>
        </row>
        <row r="850">
          <cell r="A850" t="str">
            <v>Nomad</v>
          </cell>
          <cell r="B850" t="str">
            <v>NM01224785</v>
          </cell>
          <cell r="C850" t="str">
            <v>NM01224785</v>
          </cell>
          <cell r="D850" t="str">
            <v>856500012247</v>
          </cell>
          <cell r="E850" t="str">
            <v>Nomad Modern Leather Case - iPhone 14 Pro Max | Rustic Brown | Horween Leather</v>
          </cell>
          <cell r="F850" t="str">
            <v>Cases iPhone</v>
          </cell>
          <cell r="G850" t="str">
            <v>iPhone 14</v>
          </cell>
          <cell r="H850" t="str">
            <v>iPhone 14 Pro Max</v>
          </cell>
          <cell r="I850">
            <v>943.33620689655174</v>
          </cell>
          <cell r="J850">
            <v>0.27</v>
          </cell>
          <cell r="K850">
            <v>1499</v>
          </cell>
          <cell r="L850" t="str">
            <v>Mercado Libre</v>
          </cell>
          <cell r="M850" t="str">
            <v>Active</v>
          </cell>
          <cell r="N850" t="str">
            <v>NM01224785-M</v>
          </cell>
        </row>
        <row r="851">
          <cell r="A851" t="str">
            <v>Nomad</v>
          </cell>
          <cell r="B851" t="str">
            <v>NM01614685</v>
          </cell>
          <cell r="C851" t="str">
            <v>NM01614685</v>
          </cell>
          <cell r="D851" t="str">
            <v>856500016146</v>
          </cell>
          <cell r="E851" t="str">
            <v>Nomad Modern Leather Case - iPhone 15 Pro | Brown | Nomad Leather</v>
          </cell>
          <cell r="F851" t="str">
            <v>Cases iPhone</v>
          </cell>
          <cell r="G851" t="str">
            <v>iPhone 15</v>
          </cell>
          <cell r="H851" t="str">
            <v>iPhone 15 Pro</v>
          </cell>
          <cell r="I851">
            <v>628.68103448275861</v>
          </cell>
          <cell r="J851">
            <v>0.27</v>
          </cell>
          <cell r="K851">
            <v>999</v>
          </cell>
          <cell r="L851" t="str">
            <v>Mercado Libre</v>
          </cell>
          <cell r="M851" t="str">
            <v>Active</v>
          </cell>
          <cell r="N851" t="str">
            <v>NM01614685-M</v>
          </cell>
        </row>
        <row r="852">
          <cell r="A852" t="str">
            <v>Nomad</v>
          </cell>
          <cell r="B852" t="str">
            <v>NM01613985</v>
          </cell>
          <cell r="C852" t="str">
            <v>NM01613985</v>
          </cell>
          <cell r="D852" t="str">
            <v>856500016139</v>
          </cell>
          <cell r="E852" t="str">
            <v>Nomad Modern Leather Case - iPhone 15 Pro | Black | Nomad Leather</v>
          </cell>
          <cell r="F852" t="str">
            <v>Cases iPhone</v>
          </cell>
          <cell r="G852" t="str">
            <v>iPhone 15</v>
          </cell>
          <cell r="H852" t="str">
            <v>iPhone 15 Pro</v>
          </cell>
          <cell r="I852">
            <v>628.68103448275861</v>
          </cell>
          <cell r="J852">
            <v>0.27</v>
          </cell>
          <cell r="K852">
            <v>999</v>
          </cell>
          <cell r="L852" t="str">
            <v>Mercado Libre</v>
          </cell>
          <cell r="M852" t="str">
            <v>Active</v>
          </cell>
          <cell r="N852" t="str">
            <v>NM01613985-M</v>
          </cell>
        </row>
        <row r="853">
          <cell r="A853" t="str">
            <v>Nomad</v>
          </cell>
          <cell r="B853" t="str">
            <v>NM01670285</v>
          </cell>
          <cell r="C853" t="str">
            <v>NM01670285</v>
          </cell>
          <cell r="D853" t="str">
            <v>856500016702</v>
          </cell>
          <cell r="E853" t="str">
            <v>Nomad Rugged Case - iPhone 15 Pro | Ultra Orange</v>
          </cell>
          <cell r="F853" t="str">
            <v>Cases iPhone</v>
          </cell>
          <cell r="G853" t="str">
            <v>iPhone 15</v>
          </cell>
          <cell r="H853" t="str">
            <v>iPhone 15 Pro</v>
          </cell>
          <cell r="I853">
            <v>628.62</v>
          </cell>
          <cell r="J853">
            <v>0.270070870870871</v>
          </cell>
          <cell r="K853">
            <v>999</v>
          </cell>
          <cell r="L853" t="str">
            <v>Mercado Libre</v>
          </cell>
          <cell r="M853" t="str">
            <v>Active</v>
          </cell>
          <cell r="N853" t="str">
            <v>NM01670285-M</v>
          </cell>
        </row>
        <row r="854">
          <cell r="A854" t="str">
            <v>Nomad</v>
          </cell>
          <cell r="B854" t="str">
            <v>NM01619185</v>
          </cell>
          <cell r="C854" t="str">
            <v>NM01619185</v>
          </cell>
          <cell r="D854" t="str">
            <v>856500016191</v>
          </cell>
          <cell r="E854" t="str">
            <v>Nomad Modern Leather Case - iPhone 15 Pro Max | Brown | Nomad Leather</v>
          </cell>
          <cell r="F854" t="str">
            <v>Cases iPhone</v>
          </cell>
          <cell r="G854" t="str">
            <v>iPhone 15</v>
          </cell>
          <cell r="H854" t="str">
            <v>iPhone 15 Pro Max</v>
          </cell>
          <cell r="I854">
            <v>624.74</v>
          </cell>
          <cell r="J854">
            <v>0.27457617617617613</v>
          </cell>
          <cell r="K854">
            <v>999</v>
          </cell>
          <cell r="L854" t="str">
            <v>Mercado Libre</v>
          </cell>
          <cell r="M854" t="str">
            <v>Active</v>
          </cell>
          <cell r="N854" t="str">
            <v>NM01619185-M</v>
          </cell>
        </row>
        <row r="855">
          <cell r="A855" t="str">
            <v>Nomad</v>
          </cell>
          <cell r="B855" t="str">
            <v>NM01618485</v>
          </cell>
          <cell r="C855" t="str">
            <v>NM01618485</v>
          </cell>
          <cell r="D855" t="str">
            <v>856500016184</v>
          </cell>
          <cell r="E855" t="str">
            <v>Nomad Modern Leather Case - iPhone 15 Pro Max | Black | Nomad Leather</v>
          </cell>
          <cell r="F855" t="str">
            <v>Cases iPhone</v>
          </cell>
          <cell r="G855" t="str">
            <v>iPhone 15</v>
          </cell>
          <cell r="H855" t="str">
            <v>iPhone 15 Pro Max</v>
          </cell>
          <cell r="I855">
            <v>615.16999999999996</v>
          </cell>
          <cell r="J855">
            <v>0.2856884884884886</v>
          </cell>
          <cell r="K855">
            <v>999</v>
          </cell>
          <cell r="L855" t="str">
            <v>Mercado Libre</v>
          </cell>
          <cell r="M855" t="str">
            <v>Active</v>
          </cell>
          <cell r="N855" t="str">
            <v>NM01618485-M</v>
          </cell>
        </row>
        <row r="856">
          <cell r="A856" t="str">
            <v>Nomad</v>
          </cell>
          <cell r="B856" t="str">
            <v>NM01695585</v>
          </cell>
          <cell r="C856" t="str">
            <v>NM01695585</v>
          </cell>
          <cell r="D856" t="str">
            <v>856500016955</v>
          </cell>
          <cell r="E856" t="str">
            <v xml:space="preserve">Nomad Modern Leather Case - iPhone 16 Pro  English Tan-C </v>
          </cell>
          <cell r="F856" t="str">
            <v>Cases iPhone</v>
          </cell>
          <cell r="G856" t="str">
            <v>iPhone 16</v>
          </cell>
          <cell r="H856" t="str">
            <v>iPhone 16 Pro / iPhone 17</v>
          </cell>
          <cell r="I856">
            <v>559.7844827586207</v>
          </cell>
          <cell r="J856">
            <v>0.35000000000000009</v>
          </cell>
          <cell r="K856">
            <v>999</v>
          </cell>
          <cell r="L856" t="str">
            <v>Mercado Libre</v>
          </cell>
          <cell r="M856" t="str">
            <v>Active</v>
          </cell>
          <cell r="N856" t="str">
            <v>NM01695585-M</v>
          </cell>
        </row>
        <row r="857">
          <cell r="A857" t="str">
            <v>Nomad</v>
          </cell>
          <cell r="B857" t="str">
            <v>NM01382485</v>
          </cell>
          <cell r="C857" t="str">
            <v>NM01382485</v>
          </cell>
          <cell r="D857" t="str">
            <v>856500013824</v>
          </cell>
          <cell r="E857" t="str">
            <v>Nomad Rugged Case - iPhone 16 Pro | Atlantic Blue</v>
          </cell>
          <cell r="F857" t="str">
            <v>Cases iPhone</v>
          </cell>
          <cell r="G857" t="str">
            <v>iPhone 16</v>
          </cell>
          <cell r="H857" t="str">
            <v>iPhone 16 Pro / iPhone 17</v>
          </cell>
          <cell r="I857">
            <v>559.7844827586207</v>
          </cell>
          <cell r="J857">
            <v>0.35000000000000009</v>
          </cell>
          <cell r="K857">
            <v>999</v>
          </cell>
          <cell r="L857" t="str">
            <v>Mercado Libre</v>
          </cell>
          <cell r="M857" t="str">
            <v>Active</v>
          </cell>
          <cell r="N857" t="str">
            <v>NM01382485</v>
          </cell>
        </row>
        <row r="858">
          <cell r="A858" t="str">
            <v>Nomad</v>
          </cell>
          <cell r="B858" t="str">
            <v>NM01384885</v>
          </cell>
          <cell r="C858" t="str">
            <v>NM01384885</v>
          </cell>
          <cell r="D858" t="str">
            <v>856500013848</v>
          </cell>
          <cell r="E858" t="str">
            <v>Nomad Rugged Case - iPhone 16 Pro | Desert</v>
          </cell>
          <cell r="F858" t="str">
            <v>Cases iPhone</v>
          </cell>
          <cell r="G858" t="str">
            <v>iPhone 16</v>
          </cell>
          <cell r="H858" t="str">
            <v>iPhone 16 Pro / iPhone 17</v>
          </cell>
          <cell r="I858">
            <v>559.7844827586207</v>
          </cell>
          <cell r="J858">
            <v>0.35000000000000009</v>
          </cell>
          <cell r="K858">
            <v>999</v>
          </cell>
          <cell r="L858" t="str">
            <v>Mercado Libre</v>
          </cell>
          <cell r="M858" t="str">
            <v>Active</v>
          </cell>
          <cell r="N858" t="str">
            <v>NM01384885</v>
          </cell>
        </row>
        <row r="859">
          <cell r="A859" t="str">
            <v>Nomad</v>
          </cell>
          <cell r="B859" t="str">
            <v>NM01696285</v>
          </cell>
          <cell r="C859" t="str">
            <v>NM01696285</v>
          </cell>
          <cell r="D859" t="str">
            <v>856500016962</v>
          </cell>
          <cell r="E859" t="str">
            <v>Nomad Modern Leather Case - iPhone 16 Pro  Brown</v>
          </cell>
          <cell r="F859" t="str">
            <v>Cases iPhone</v>
          </cell>
          <cell r="G859" t="str">
            <v>iPhone 16</v>
          </cell>
          <cell r="H859" t="str">
            <v>iPhone 16 Pro / iPhone 17</v>
          </cell>
          <cell r="I859">
            <v>559.7844827586207</v>
          </cell>
          <cell r="J859">
            <v>0.35000000000000009</v>
          </cell>
          <cell r="K859">
            <v>999</v>
          </cell>
          <cell r="L859" t="str">
            <v>Mercado Libre</v>
          </cell>
          <cell r="M859" t="str">
            <v>Active</v>
          </cell>
          <cell r="N859" t="str">
            <v>NM01696285-M</v>
          </cell>
        </row>
        <row r="860">
          <cell r="A860" t="str">
            <v>Nomad</v>
          </cell>
          <cell r="B860" t="str">
            <v>NM01697985</v>
          </cell>
          <cell r="C860" t="str">
            <v>NM01697985</v>
          </cell>
          <cell r="D860" t="str">
            <v>856500016979</v>
          </cell>
          <cell r="E860" t="str">
            <v>Nomad Modern Leather Case - iPhone 16 Pro  Black</v>
          </cell>
          <cell r="F860" t="str">
            <v>Cases iPhone</v>
          </cell>
          <cell r="G860" t="str">
            <v>iPhone 16</v>
          </cell>
          <cell r="H860" t="str">
            <v>iPhone 16 Pro / iPhone 17</v>
          </cell>
          <cell r="I860">
            <v>559.7844827586207</v>
          </cell>
          <cell r="J860">
            <v>0.35000000000000009</v>
          </cell>
          <cell r="K860">
            <v>999</v>
          </cell>
          <cell r="L860" t="str">
            <v>Mercado Libre</v>
          </cell>
          <cell r="M860" t="str">
            <v>Active</v>
          </cell>
          <cell r="N860" t="str">
            <v>NM01697985-M</v>
          </cell>
        </row>
        <row r="861">
          <cell r="A861" t="str">
            <v>Nomad</v>
          </cell>
          <cell r="B861" t="str">
            <v>NM01692485</v>
          </cell>
          <cell r="C861" t="str">
            <v>NM01692485</v>
          </cell>
          <cell r="D861" t="str">
            <v>856500016924</v>
          </cell>
          <cell r="E861" t="str">
            <v>Nomad Modern Leather Case - iPhone 16 Pro Max | Brown | Nomad Leather</v>
          </cell>
          <cell r="F861" t="str">
            <v>Cases iPhone</v>
          </cell>
          <cell r="G861" t="str">
            <v>iPhone 16</v>
          </cell>
          <cell r="H861" t="str">
            <v>iPhone 16 Pro Max</v>
          </cell>
          <cell r="I861">
            <v>567.69000000000005</v>
          </cell>
          <cell r="J861">
            <v>0.34082042042042038</v>
          </cell>
          <cell r="K861">
            <v>999</v>
          </cell>
          <cell r="L861" t="str">
            <v>Mercado Libre</v>
          </cell>
          <cell r="M861" t="str">
            <v>Active</v>
          </cell>
          <cell r="N861" t="str">
            <v>NM01692485-M</v>
          </cell>
        </row>
        <row r="862">
          <cell r="A862" t="str">
            <v>Nomad</v>
          </cell>
          <cell r="B862" t="str">
            <v>NM01381785</v>
          </cell>
          <cell r="C862" t="str">
            <v>NM01381785</v>
          </cell>
          <cell r="D862" t="str">
            <v>856500013817</v>
          </cell>
          <cell r="E862" t="str">
            <v>Nomad Rugged Case - iPhone 16 Pro Max | Desert</v>
          </cell>
          <cell r="F862" t="str">
            <v>Cases iPhone</v>
          </cell>
          <cell r="G862" t="str">
            <v>iPhone 16</v>
          </cell>
          <cell r="H862" t="str">
            <v>iPhone 16 Pro Max</v>
          </cell>
          <cell r="I862">
            <v>559.7844827586207</v>
          </cell>
          <cell r="J862">
            <v>0.35000000000000009</v>
          </cell>
          <cell r="K862">
            <v>999</v>
          </cell>
          <cell r="L862" t="str">
            <v>Mercado Libre</v>
          </cell>
          <cell r="M862" t="str">
            <v>Active</v>
          </cell>
          <cell r="N862" t="str">
            <v>NM01381785</v>
          </cell>
        </row>
        <row r="863">
          <cell r="A863" t="str">
            <v>Nomad</v>
          </cell>
          <cell r="B863" t="str">
            <v>NM01379485</v>
          </cell>
          <cell r="C863" t="str">
            <v>NM01379485</v>
          </cell>
          <cell r="D863" t="str">
            <v>856500013794</v>
          </cell>
          <cell r="E863" t="str">
            <v>Nomad Rugged Case - iPhone 16 Pro Max | Atlantic Blue</v>
          </cell>
          <cell r="F863" t="str">
            <v>Cases iPhone</v>
          </cell>
          <cell r="G863" t="str">
            <v>iPhone 16</v>
          </cell>
          <cell r="H863" t="str">
            <v>iPhone 16 Pro Max</v>
          </cell>
          <cell r="I863">
            <v>559.7844827586207</v>
          </cell>
          <cell r="J863">
            <v>0.35000000000000009</v>
          </cell>
          <cell r="K863">
            <v>999</v>
          </cell>
          <cell r="L863" t="str">
            <v>Mercado Libre</v>
          </cell>
          <cell r="M863" t="str">
            <v>Active</v>
          </cell>
          <cell r="N863" t="str">
            <v>NM01379485</v>
          </cell>
        </row>
        <row r="864">
          <cell r="A864" t="str">
            <v>Nomad</v>
          </cell>
          <cell r="B864" t="str">
            <v>NM01693185</v>
          </cell>
          <cell r="C864" t="str">
            <v>NM01693185</v>
          </cell>
          <cell r="D864" t="str">
            <v>856500016931</v>
          </cell>
          <cell r="E864" t="str">
            <v xml:space="preserve">Nomad Modern Leather Case - iPhone 16 Pro Max  Black </v>
          </cell>
          <cell r="F864" t="str">
            <v>Cases iPhone</v>
          </cell>
          <cell r="G864" t="str">
            <v>iPhone 16</v>
          </cell>
          <cell r="H864" t="str">
            <v>iPhone 16 Pro Max</v>
          </cell>
          <cell r="I864">
            <v>559.7844827586207</v>
          </cell>
          <cell r="J864">
            <v>0.35000000000000009</v>
          </cell>
          <cell r="K864">
            <v>999</v>
          </cell>
          <cell r="L864" t="str">
            <v>Mercado Libre</v>
          </cell>
          <cell r="M864" t="str">
            <v>Active</v>
          </cell>
          <cell r="N864" t="str">
            <v>NM01693185-M</v>
          </cell>
        </row>
        <row r="865">
          <cell r="A865" t="str">
            <v>Nomad</v>
          </cell>
          <cell r="B865" t="str">
            <v>NM01136385</v>
          </cell>
          <cell r="C865" t="str">
            <v>NM01136385</v>
          </cell>
          <cell r="D865" t="str">
            <v>856500011363</v>
          </cell>
          <cell r="E865" t="str">
            <v xml:space="preserve">Nomad Sport Band - 41/40mm/38mm | S/M | Azul </v>
          </cell>
          <cell r="F865" t="str">
            <v>Straps</v>
          </cell>
          <cell r="G865" t="str">
            <v>Apple Watch</v>
          </cell>
          <cell r="H865" t="str">
            <v>38mm/40mm/41mm</v>
          </cell>
          <cell r="I865">
            <v>691.61206896551732</v>
          </cell>
          <cell r="J865">
            <v>0.27</v>
          </cell>
          <cell r="K865">
            <v>1099</v>
          </cell>
          <cell r="L865" t="str">
            <v>Mercado Libre</v>
          </cell>
          <cell r="M865" t="str">
            <v>Active</v>
          </cell>
          <cell r="N865" t="str">
            <v>NM01136385</v>
          </cell>
        </row>
        <row r="866">
          <cell r="A866" t="str">
            <v>Nomad</v>
          </cell>
          <cell r="B866" t="str">
            <v>NM01959885</v>
          </cell>
          <cell r="C866" t="str">
            <v>NM01959885</v>
          </cell>
          <cell r="D866" t="str">
            <v>856500019598</v>
          </cell>
          <cell r="E866" t="str">
            <v xml:space="preserve">Nomad Sport Band - 41/40mm/38mm | S/M | Gris </v>
          </cell>
          <cell r="F866" t="str">
            <v>Straps</v>
          </cell>
          <cell r="G866" t="str">
            <v>Apple Watch</v>
          </cell>
          <cell r="H866" t="str">
            <v>38mm/40mm/41mm</v>
          </cell>
          <cell r="I866">
            <v>691.61206896551732</v>
          </cell>
          <cell r="J866">
            <v>0.27</v>
          </cell>
          <cell r="K866">
            <v>1099</v>
          </cell>
          <cell r="L866" t="str">
            <v>Mercado Libre</v>
          </cell>
          <cell r="M866" t="str">
            <v>Active</v>
          </cell>
          <cell r="N866" t="str">
            <v>NM01959885-M</v>
          </cell>
        </row>
        <row r="867">
          <cell r="A867" t="str">
            <v>Nomad</v>
          </cell>
          <cell r="B867" t="str">
            <v>NM1Am10000</v>
          </cell>
          <cell r="C867" t="str">
            <v>NM1Am10000</v>
          </cell>
          <cell r="D867" t="str">
            <v>856500018522</v>
          </cell>
          <cell r="E867" t="str">
            <v>Nomad Sport Strap - 45/44mm/42mm | M/L | Black | FKM | V2</v>
          </cell>
          <cell r="F867" t="str">
            <v>Straps</v>
          </cell>
          <cell r="G867" t="str">
            <v>Apple Watch</v>
          </cell>
          <cell r="H867" t="str">
            <v>49/45/44/42 mm</v>
          </cell>
          <cell r="I867">
            <v>624.74137931034488</v>
          </cell>
          <cell r="J867">
            <v>0.27457457457457457</v>
          </cell>
          <cell r="K867">
            <v>999</v>
          </cell>
          <cell r="L867" t="str">
            <v>Mercado Libre</v>
          </cell>
          <cell r="M867" t="str">
            <v>Active</v>
          </cell>
          <cell r="N867" t="str">
            <v>NM1Am10000-M</v>
          </cell>
        </row>
        <row r="868">
          <cell r="A868" t="str">
            <v>Nomad</v>
          </cell>
          <cell r="B868" t="str">
            <v>NM01958185</v>
          </cell>
          <cell r="C868" t="str">
            <v>NM01958185</v>
          </cell>
          <cell r="D868" t="str">
            <v>856500019581</v>
          </cell>
          <cell r="E868" t="str">
            <v>Nomad Sport Band - 45/44mm/42mm | M/L | Lunar Gray | FKM | V2</v>
          </cell>
          <cell r="F868" t="str">
            <v>Straps</v>
          </cell>
          <cell r="G868" t="str">
            <v>Apple Watch</v>
          </cell>
          <cell r="H868" t="str">
            <v>49/45/44/42 mm</v>
          </cell>
          <cell r="I868">
            <v>624.74137931034488</v>
          </cell>
          <cell r="J868">
            <v>0.27457457457457457</v>
          </cell>
          <cell r="K868">
            <v>999</v>
          </cell>
          <cell r="L868" t="str">
            <v>Mercado Libre</v>
          </cell>
          <cell r="M868" t="str">
            <v>Active</v>
          </cell>
          <cell r="N868" t="str">
            <v>NM01958185-M</v>
          </cell>
        </row>
        <row r="869">
          <cell r="A869" t="str">
            <v>Nomad</v>
          </cell>
          <cell r="B869" t="str">
            <v>NM01580085</v>
          </cell>
          <cell r="C869" t="str">
            <v>NM01580085</v>
          </cell>
          <cell r="D869" t="str">
            <v>856504015800</v>
          </cell>
          <cell r="E869" t="str">
            <v>Nomad Sport Band - 45mm Glow 2.0</v>
          </cell>
          <cell r="F869" t="str">
            <v>Straps</v>
          </cell>
          <cell r="G869" t="str">
            <v>Apple Watch</v>
          </cell>
          <cell r="H869" t="str">
            <v>49/45/44/42 mm</v>
          </cell>
          <cell r="I869">
            <v>624.74137931034488</v>
          </cell>
          <cell r="J869">
            <v>0.27457457457457457</v>
          </cell>
          <cell r="K869">
            <v>999</v>
          </cell>
          <cell r="L869" t="str">
            <v>Mercado Libre</v>
          </cell>
          <cell r="M869" t="str">
            <v>Active</v>
          </cell>
          <cell r="N869" t="str">
            <v>NM01580085-M</v>
          </cell>
        </row>
        <row r="870">
          <cell r="A870" t="str">
            <v>Nomad</v>
          </cell>
          <cell r="B870" t="str">
            <v>NM00736685</v>
          </cell>
          <cell r="C870" t="str">
            <v>NM00736685</v>
          </cell>
          <cell r="D870" t="str">
            <v>855848007366</v>
          </cell>
          <cell r="E870" t="str">
            <v>Nomad Sport Band - 45mm | Ultra Orange</v>
          </cell>
          <cell r="F870" t="str">
            <v>Straps</v>
          </cell>
          <cell r="G870" t="str">
            <v>Apple Watch</v>
          </cell>
          <cell r="H870" t="str">
            <v>49/45/44/42 mm</v>
          </cell>
          <cell r="I870">
            <v>713.6</v>
          </cell>
          <cell r="J870">
            <v>0.17139539539539539</v>
          </cell>
          <cell r="K870">
            <v>999</v>
          </cell>
          <cell r="L870" t="str">
            <v>Mercado Libre</v>
          </cell>
          <cell r="M870" t="str">
            <v>Active</v>
          </cell>
          <cell r="N870" t="str">
            <v>NM00736685-M</v>
          </cell>
        </row>
        <row r="871">
          <cell r="A871" t="str">
            <v>Nomad</v>
          </cell>
          <cell r="B871" t="str">
            <v>NM01132585</v>
          </cell>
          <cell r="C871" t="str">
            <v>NM01132585</v>
          </cell>
          <cell r="D871" t="str">
            <v>856500011325</v>
          </cell>
          <cell r="E871" t="str">
            <v>Nomad Sport Band - 45/44mm/42mm | M/L | Ash Green | FKM | V2</v>
          </cell>
          <cell r="F871" t="str">
            <v>Straps</v>
          </cell>
          <cell r="G871" t="str">
            <v>Apple Watch</v>
          </cell>
          <cell r="H871" t="str">
            <v>49/45/44/42 mm</v>
          </cell>
          <cell r="I871">
            <v>691.61206896551732</v>
          </cell>
          <cell r="J871">
            <v>0.27</v>
          </cell>
          <cell r="K871">
            <v>1099</v>
          </cell>
          <cell r="L871" t="str">
            <v>Mercado Libre</v>
          </cell>
          <cell r="M871" t="str">
            <v>Active</v>
          </cell>
          <cell r="N871" t="str">
            <v>NM01132585-M</v>
          </cell>
        </row>
        <row r="872">
          <cell r="A872" t="str">
            <v>Nomad</v>
          </cell>
          <cell r="B872" t="str">
            <v>NM01111085</v>
          </cell>
          <cell r="C872" t="str">
            <v>NM01111085</v>
          </cell>
          <cell r="D872" t="str">
            <v>856500011110</v>
          </cell>
          <cell r="E872" t="str">
            <v>Nomad Sport Band - 49/45/44/42mm White FKM V2</v>
          </cell>
          <cell r="F872" t="str">
            <v>Straps</v>
          </cell>
          <cell r="G872" t="str">
            <v>Apple Watch</v>
          </cell>
          <cell r="H872" t="str">
            <v>49/45/44/42 mm</v>
          </cell>
          <cell r="I872">
            <v>691.61206896551732</v>
          </cell>
          <cell r="J872">
            <v>0.27</v>
          </cell>
          <cell r="K872">
            <v>1099</v>
          </cell>
          <cell r="L872" t="str">
            <v>Mercado Libre</v>
          </cell>
          <cell r="M872" t="str">
            <v>Active</v>
          </cell>
          <cell r="N872" t="str">
            <v>NM01111085-M</v>
          </cell>
        </row>
        <row r="873">
          <cell r="A873" t="str">
            <v>Pitaka</v>
          </cell>
          <cell r="B873" t="str">
            <v>KW3001A</v>
          </cell>
          <cell r="C873" t="str">
            <v>KW3001A</v>
          </cell>
          <cell r="D873" t="str">
            <v>749355413454</v>
          </cell>
          <cell r="E873" t="str">
            <v>Pitaka Air Case for Apple Watch Ultra (49mm )</v>
          </cell>
          <cell r="F873" t="str">
            <v>Cases Apple watch</v>
          </cell>
          <cell r="G873" t="str">
            <v>Apple Watch</v>
          </cell>
          <cell r="H873" t="str">
            <v>49 mm</v>
          </cell>
          <cell r="I873">
            <v>567.41379310344837</v>
          </cell>
          <cell r="J873">
            <v>0.34114114114114114</v>
          </cell>
          <cell r="K873">
            <v>999</v>
          </cell>
          <cell r="L873" t="str">
            <v>Mercado Libre</v>
          </cell>
          <cell r="M873" t="str">
            <v>Active</v>
          </cell>
          <cell r="N873" t="str">
            <v>KW3001A</v>
          </cell>
        </row>
        <row r="874">
          <cell r="A874" t="str">
            <v>Pitaka</v>
          </cell>
          <cell r="B874" t="str">
            <v>KI1501PP</v>
          </cell>
          <cell r="C874" t="str">
            <v>KI1501PP</v>
          </cell>
          <cell r="D874" t="str">
            <v>749355414567</v>
          </cell>
          <cell r="E874" t="str">
            <v>Pitaka MagEZ Case Pro 4 (Black/Grey Twill) 1500D for iPhone15 Pro</v>
          </cell>
          <cell r="F874" t="str">
            <v>Cases iPhone</v>
          </cell>
          <cell r="G874" t="str">
            <v>iPhone 15</v>
          </cell>
          <cell r="H874" t="str">
            <v>iPhone15 Pro</v>
          </cell>
          <cell r="I874">
            <v>845.00000000000011</v>
          </cell>
          <cell r="J874">
            <v>0.29935668334524657</v>
          </cell>
          <cell r="K874">
            <v>1399</v>
          </cell>
          <cell r="L874" t="str">
            <v>Mercado Libre</v>
          </cell>
          <cell r="M874" t="str">
            <v>Active</v>
          </cell>
          <cell r="N874" t="str">
            <v>KI1501PP-M</v>
          </cell>
        </row>
        <row r="875">
          <cell r="A875" t="str">
            <v>Quikcell</v>
          </cell>
          <cell r="B875" t="str">
            <v>CTPRO2-BLK</v>
          </cell>
          <cell r="C875" t="str">
            <v>CTPRO2-BLK</v>
          </cell>
          <cell r="D875" t="str">
            <v>846537063060</v>
          </cell>
          <cell r="E875" t="str">
            <v>Quikcell Cross Trainer Pro II Sports Stereo Bluetooth Earphones - Black</v>
          </cell>
          <cell r="F875" t="str">
            <v>Audio</v>
          </cell>
          <cell r="G875" t="str">
            <v>HEADPHONE WIRELESS</v>
          </cell>
          <cell r="H875" t="str">
            <v>In Ear</v>
          </cell>
          <cell r="I875">
            <v>314.02586206896552</v>
          </cell>
          <cell r="J875">
            <v>0.27</v>
          </cell>
          <cell r="K875">
            <v>499</v>
          </cell>
          <cell r="L875" t="str">
            <v>Mercado Libre</v>
          </cell>
          <cell r="M875" t="str">
            <v>Active</v>
          </cell>
          <cell r="N875" t="str">
            <v>CTPRO2-BLK-M</v>
          </cell>
        </row>
        <row r="876">
          <cell r="A876" t="str">
            <v>Quikcell</v>
          </cell>
          <cell r="B876" t="str">
            <v>CTPRO2-WHT</v>
          </cell>
          <cell r="C876" t="str">
            <v>CTPRO2-WHT</v>
          </cell>
          <cell r="D876" t="str">
            <v>846537063077</v>
          </cell>
          <cell r="E876" t="str">
            <v>Quikcell Cross Trainer Pro II Wireless Sport Headphones - White</v>
          </cell>
          <cell r="F876" t="str">
            <v>Audio</v>
          </cell>
          <cell r="G876" t="str">
            <v>HEADPHONE WIRELESS</v>
          </cell>
          <cell r="H876" t="str">
            <v>In Ear</v>
          </cell>
          <cell r="I876">
            <v>314.02586206896552</v>
          </cell>
          <cell r="J876">
            <v>0.27</v>
          </cell>
          <cell r="K876">
            <v>499</v>
          </cell>
          <cell r="L876" t="str">
            <v>Mercado Libre</v>
          </cell>
          <cell r="M876" t="str">
            <v>Active</v>
          </cell>
          <cell r="N876" t="str">
            <v>CTPRO2-WHT-M</v>
          </cell>
        </row>
        <row r="877">
          <cell r="A877" t="str">
            <v>Quikcell</v>
          </cell>
          <cell r="B877" t="str">
            <v>MONO-BLK</v>
          </cell>
          <cell r="C877" t="str">
            <v>MONO-BLK</v>
          </cell>
          <cell r="D877" t="str">
            <v>846537084232</v>
          </cell>
          <cell r="E877" t="str">
            <v>Quikcell Mono Bluetooth</v>
          </cell>
          <cell r="F877" t="str">
            <v>Audio</v>
          </cell>
          <cell r="G877" t="str">
            <v>Headphones Wireless</v>
          </cell>
          <cell r="H877" t="str">
            <v>Bluetooth</v>
          </cell>
          <cell r="I877">
            <v>345.49137931034483</v>
          </cell>
          <cell r="J877">
            <v>0.27</v>
          </cell>
          <cell r="K877">
            <v>549</v>
          </cell>
          <cell r="L877" t="str">
            <v>Mercado Libre</v>
          </cell>
          <cell r="M877" t="str">
            <v>Active</v>
          </cell>
          <cell r="N877" t="str">
            <v>MONO-BLK-M</v>
          </cell>
        </row>
        <row r="878">
          <cell r="A878" t="str">
            <v>Quikcell</v>
          </cell>
          <cell r="B878" t="str">
            <v>QAIR-BUDS</v>
          </cell>
          <cell r="C878" t="str">
            <v>QAIR-BUDS</v>
          </cell>
          <cell r="D878" t="str">
            <v>846537068881</v>
          </cell>
          <cell r="E878" t="str">
            <v>Quikcell QAIR BUDS True Wireless Earbuds with Charging Case - Black</v>
          </cell>
          <cell r="F878" t="str">
            <v>Audio</v>
          </cell>
          <cell r="G878" t="str">
            <v>Headphones Wireless</v>
          </cell>
          <cell r="H878" t="str">
            <v>QAir</v>
          </cell>
          <cell r="I878">
            <v>628.68103448275861</v>
          </cell>
          <cell r="J878">
            <v>0.27</v>
          </cell>
          <cell r="K878">
            <v>999</v>
          </cell>
          <cell r="L878" t="str">
            <v>Mercado Libre</v>
          </cell>
          <cell r="M878" t="str">
            <v>Active</v>
          </cell>
          <cell r="N878" t="str">
            <v>QAIR-BUDS-M</v>
          </cell>
        </row>
        <row r="879">
          <cell r="A879" t="str">
            <v>Quikcell</v>
          </cell>
          <cell r="B879" t="str">
            <v>QAIR-BUDS</v>
          </cell>
          <cell r="C879" t="str">
            <v>QAIR-BUDS</v>
          </cell>
          <cell r="D879" t="str">
            <v>846537068881</v>
          </cell>
          <cell r="E879" t="str">
            <v>Quikcell QAIR BUDS True Wireless Earbuds with Charging Case - Black</v>
          </cell>
          <cell r="F879" t="str">
            <v>Audio</v>
          </cell>
          <cell r="G879" t="str">
            <v>Headphones Wireless</v>
          </cell>
          <cell r="H879" t="str">
            <v>QAir</v>
          </cell>
          <cell r="I879">
            <v>391.68</v>
          </cell>
          <cell r="J879">
            <v>0.35000171673819747</v>
          </cell>
          <cell r="K879">
            <v>699</v>
          </cell>
          <cell r="L879" t="str">
            <v>Mercado Libre</v>
          </cell>
          <cell r="M879" t="str">
            <v>Active</v>
          </cell>
          <cell r="N879" t="str">
            <v>QAIR-BUDS-M</v>
          </cell>
        </row>
        <row r="880">
          <cell r="A880" t="str">
            <v>Quikcell</v>
          </cell>
          <cell r="B880" t="str">
            <v>QAIR-BUDS-WHT</v>
          </cell>
          <cell r="C880" t="str">
            <v>QAIR-BUDS-WHT</v>
          </cell>
          <cell r="D880" t="str">
            <v>846537075582</v>
          </cell>
          <cell r="E880" t="str">
            <v>Quikcell QAIR BUDS True Wireless Earbuds with Charging Case - White</v>
          </cell>
          <cell r="F880" t="str">
            <v>Audio</v>
          </cell>
          <cell r="G880" t="str">
            <v>Headphones Wireless</v>
          </cell>
          <cell r="H880" t="str">
            <v>QAir</v>
          </cell>
          <cell r="I880">
            <v>391.68</v>
          </cell>
          <cell r="J880">
            <v>0.35000171673819747</v>
          </cell>
          <cell r="K880">
            <v>699</v>
          </cell>
          <cell r="L880" t="str">
            <v>Mercado Libre</v>
          </cell>
          <cell r="M880" t="str">
            <v>Active</v>
          </cell>
          <cell r="N880" t="str">
            <v>QAIR-BUDS-WHT-M</v>
          </cell>
        </row>
        <row r="881">
          <cell r="A881" t="str">
            <v>Quikcell</v>
          </cell>
          <cell r="B881" t="str">
            <v>QLIGHTC6FT</v>
          </cell>
          <cell r="C881" t="str">
            <v>QLIGHTC6FT</v>
          </cell>
          <cell r="D881" t="str">
            <v>846537077104</v>
          </cell>
          <cell r="E881" t="str">
            <v>Quikcell CHARGE &amp; SYNC CABLE MFi Lightning to USB-C - 6ft - Black</v>
          </cell>
          <cell r="F881" t="str">
            <v>Cables</v>
          </cell>
          <cell r="G881" t="str">
            <v>Lightning - Type C</v>
          </cell>
          <cell r="H881" t="str">
            <v>6 ft</v>
          </cell>
          <cell r="I881">
            <v>282.56034482758622</v>
          </cell>
          <cell r="J881">
            <v>0.27</v>
          </cell>
          <cell r="K881">
            <v>449</v>
          </cell>
          <cell r="L881" t="str">
            <v>Mercado Libre</v>
          </cell>
          <cell r="M881" t="str">
            <v>Active</v>
          </cell>
          <cell r="N881" t="str">
            <v>QLIGHTC6FT-M</v>
          </cell>
        </row>
        <row r="882">
          <cell r="A882" t="str">
            <v>Quikcell</v>
          </cell>
          <cell r="B882" t="str">
            <v>QTYPECC3FT</v>
          </cell>
          <cell r="C882" t="str">
            <v>QTYPECC3FT</v>
          </cell>
          <cell r="D882" t="str">
            <v>846537082047</v>
          </cell>
          <cell r="E882" t="str">
            <v>Quikcell USB-C to USB-C cable 3 ft. 3A current; PVC+Nylon</v>
          </cell>
          <cell r="F882" t="str">
            <v>Cables</v>
          </cell>
          <cell r="G882" t="str">
            <v>Type C - Type C</v>
          </cell>
          <cell r="H882" t="str">
            <v>3 ft</v>
          </cell>
          <cell r="I882">
            <v>188.16379310344828</v>
          </cell>
          <cell r="J882">
            <v>0.27</v>
          </cell>
          <cell r="K882">
            <v>299</v>
          </cell>
          <cell r="L882" t="str">
            <v>Mercado Libre</v>
          </cell>
          <cell r="M882" t="str">
            <v>Active</v>
          </cell>
          <cell r="N882" t="str">
            <v>QTYPECC3FT-M</v>
          </cell>
        </row>
        <row r="883">
          <cell r="A883" t="str">
            <v>Quikcell</v>
          </cell>
          <cell r="B883" t="str">
            <v>QTYPECC6FT</v>
          </cell>
          <cell r="C883" t="str">
            <v>QTYPECC6FT</v>
          </cell>
          <cell r="D883" t="str">
            <v>846537077067</v>
          </cell>
          <cell r="E883" t="str">
            <v>Quikcell CHARGE &amp; SYNC CABLE USB-C to USB-C - 6 ft - Black</v>
          </cell>
          <cell r="F883" t="str">
            <v>Cables</v>
          </cell>
          <cell r="G883" t="str">
            <v>Type C - Type C</v>
          </cell>
          <cell r="H883" t="str">
            <v>6 ft</v>
          </cell>
          <cell r="I883">
            <v>219.62931034482759</v>
          </cell>
          <cell r="J883">
            <v>0.27</v>
          </cell>
          <cell r="K883">
            <v>349</v>
          </cell>
          <cell r="L883" t="str">
            <v>Mercado Libre</v>
          </cell>
          <cell r="M883" t="str">
            <v>Active</v>
          </cell>
          <cell r="N883" t="str">
            <v>QTYPECC6FT-M</v>
          </cell>
        </row>
        <row r="884">
          <cell r="A884" t="str">
            <v>Quikcell</v>
          </cell>
          <cell r="B884" t="str">
            <v>LPOUCH</v>
          </cell>
          <cell r="C884" t="str">
            <v>LPOUCH</v>
          </cell>
          <cell r="D884" t="str">
            <v>846537083013</v>
          </cell>
          <cell r="E884" t="str">
            <v>Quikcell SLIM Universal Large Phone Pouch - Carbon Black</v>
          </cell>
          <cell r="F884" t="str">
            <v>Cases Universal</v>
          </cell>
          <cell r="G884" t="str">
            <v>Universal</v>
          </cell>
          <cell r="H884" t="str">
            <v>Phone</v>
          </cell>
          <cell r="I884">
            <v>376.95689655172418</v>
          </cell>
          <cell r="J884">
            <v>0.27</v>
          </cell>
          <cell r="K884">
            <v>599</v>
          </cell>
          <cell r="L884" t="str">
            <v>Mercado Libre</v>
          </cell>
          <cell r="M884" t="str">
            <v>Active</v>
          </cell>
          <cell r="N884" t="str">
            <v>LPOUCH-M</v>
          </cell>
        </row>
        <row r="885">
          <cell r="A885" t="str">
            <v>Quikcell</v>
          </cell>
          <cell r="B885" t="str">
            <v>MFOLIOTAB</v>
          </cell>
          <cell r="C885" t="str">
            <v>MFOLIOTAB</v>
          </cell>
          <cell r="D885" t="str">
            <v>846537082986</v>
          </cell>
          <cell r="E885" t="str">
            <v>Quikcell FLEX TAB Universal 7-8" Tablet Folio Case  - Carbon Black</v>
          </cell>
          <cell r="F885" t="str">
            <v>Cases Universal</v>
          </cell>
          <cell r="G885" t="str">
            <v>Universal</v>
          </cell>
          <cell r="H885" t="str">
            <v>Tablet</v>
          </cell>
          <cell r="I885">
            <v>376.95689655172418</v>
          </cell>
          <cell r="J885">
            <v>0.27</v>
          </cell>
          <cell r="K885">
            <v>599</v>
          </cell>
          <cell r="L885" t="str">
            <v>Mercado Libre</v>
          </cell>
          <cell r="M885" t="str">
            <v>Active</v>
          </cell>
          <cell r="N885" t="str">
            <v>MFOLIOTAB-M</v>
          </cell>
        </row>
        <row r="886">
          <cell r="A886" t="str">
            <v>Quikcell</v>
          </cell>
          <cell r="B886" t="str">
            <v>QCVPA2001</v>
          </cell>
          <cell r="C886" t="str">
            <v>QCVPA2001</v>
          </cell>
          <cell r="D886" t="str">
            <v>846537076985</v>
          </cell>
          <cell r="E886" t="str">
            <v>Quikcell DUAL PORT CAR CHARGER  2 USB A x 12W - 24W</v>
          </cell>
          <cell r="F886" t="str">
            <v>Charger</v>
          </cell>
          <cell r="G886" t="str">
            <v>Car Charger</v>
          </cell>
          <cell r="H886" t="str">
            <v>24W</v>
          </cell>
          <cell r="I886">
            <v>219.62931034482759</v>
          </cell>
          <cell r="J886">
            <v>0.27</v>
          </cell>
          <cell r="K886">
            <v>349</v>
          </cell>
          <cell r="L886" t="str">
            <v>Mercado Libre</v>
          </cell>
          <cell r="M886" t="str">
            <v>Active</v>
          </cell>
          <cell r="N886" t="str">
            <v>QCVPA2001-M</v>
          </cell>
        </row>
        <row r="887">
          <cell r="A887" t="str">
            <v>Quikcell</v>
          </cell>
          <cell r="B887" t="str">
            <v>QTRC2001</v>
          </cell>
          <cell r="C887" t="str">
            <v>QTRC2001</v>
          </cell>
          <cell r="D887" t="str">
            <v>846537077005</v>
          </cell>
          <cell r="E887" t="str">
            <v>Quikcell DUAL PORT WALL CHARGER  2 USB A x 12W - 24W</v>
          </cell>
          <cell r="F887" t="str">
            <v>Charger</v>
          </cell>
          <cell r="G887" t="str">
            <v>Wall charger</v>
          </cell>
          <cell r="H887" t="str">
            <v>24 W</v>
          </cell>
          <cell r="I887">
            <v>314.02586206896552</v>
          </cell>
          <cell r="J887">
            <v>0.27</v>
          </cell>
          <cell r="K887">
            <v>499</v>
          </cell>
          <cell r="L887" t="str">
            <v>Mercado Libre</v>
          </cell>
          <cell r="M887" t="str">
            <v>Active</v>
          </cell>
          <cell r="N887" t="str">
            <v>QTRC2001-M</v>
          </cell>
        </row>
        <row r="888">
          <cell r="A888" t="str">
            <v>Quikcell</v>
          </cell>
          <cell r="B888" t="str">
            <v>QCPD35W</v>
          </cell>
          <cell r="C888" t="str">
            <v>QCPD35W</v>
          </cell>
          <cell r="D888" t="str">
            <v>846537091537</v>
          </cell>
          <cell r="E888" t="str">
            <v>Quikcell 35W PD A+C Dual Ports Wall Charger</v>
          </cell>
          <cell r="F888" t="str">
            <v>Charger</v>
          </cell>
          <cell r="G888" t="str">
            <v>Wall charger</v>
          </cell>
          <cell r="H888" t="str">
            <v>35W</v>
          </cell>
          <cell r="I888">
            <v>309.08620689655174</v>
          </cell>
          <cell r="J888">
            <v>0.3469216757741348</v>
          </cell>
          <cell r="K888">
            <v>549</v>
          </cell>
          <cell r="L888" t="str">
            <v>Mercado Libre</v>
          </cell>
          <cell r="M888" t="str">
            <v>Active</v>
          </cell>
          <cell r="N888" t="str">
            <v>QCPD35W-M</v>
          </cell>
        </row>
        <row r="889">
          <cell r="A889" t="str">
            <v>Quikcell</v>
          </cell>
          <cell r="B889" t="str">
            <v>PWERFLIP-BLK</v>
          </cell>
          <cell r="C889" t="str">
            <v>PWERFLIP-BLK</v>
          </cell>
          <cell r="D889" t="str">
            <v>846537080722</v>
          </cell>
          <cell r="E889" t="str">
            <v>Quikcell POWERFLIP 15W wireless 2-in-1 charger</v>
          </cell>
          <cell r="F889" t="str">
            <v>Charger</v>
          </cell>
          <cell r="G889" t="str">
            <v>Wireless</v>
          </cell>
          <cell r="H889" t="str">
            <v>15 W</v>
          </cell>
          <cell r="I889">
            <v>754.54310344827593</v>
          </cell>
          <cell r="J889">
            <v>0.27</v>
          </cell>
          <cell r="K889">
            <v>1199</v>
          </cell>
          <cell r="L889" t="str">
            <v>Mercado Libre</v>
          </cell>
          <cell r="M889" t="str">
            <v>Active</v>
          </cell>
          <cell r="N889" t="str">
            <v>PWERFLIP-BLK-M</v>
          </cell>
        </row>
        <row r="890">
          <cell r="A890" t="str">
            <v>Quikcell</v>
          </cell>
          <cell r="B890" t="str">
            <v>DRIVEDOCK</v>
          </cell>
          <cell r="C890" t="str">
            <v>DRIVEDOCK</v>
          </cell>
          <cell r="D890" t="str">
            <v>846537082122</v>
          </cell>
          <cell r="E890" t="str">
            <v>Quikcell Mount+Suction+Vent 2 in 1 air vent Dashboad Car Mount</v>
          </cell>
          <cell r="F890" t="str">
            <v>Hardware</v>
          </cell>
          <cell r="G890" t="str">
            <v>Car Mount</v>
          </cell>
          <cell r="H890" t="str">
            <v>Car Mount</v>
          </cell>
          <cell r="I890">
            <v>251.09482758620692</v>
          </cell>
          <cell r="J890">
            <v>0.27</v>
          </cell>
          <cell r="K890">
            <v>399</v>
          </cell>
          <cell r="L890" t="str">
            <v>Mercado Libre</v>
          </cell>
          <cell r="M890" t="str">
            <v>Active</v>
          </cell>
          <cell r="N890" t="str">
            <v>DRIVEDOCK-M</v>
          </cell>
        </row>
        <row r="891">
          <cell r="A891" t="str">
            <v>Quikcell</v>
          </cell>
          <cell r="B891" t="str">
            <v>GQC2059</v>
          </cell>
          <cell r="C891" t="str">
            <v>GQC2059</v>
          </cell>
          <cell r="D891" t="str">
            <v>846537082948</v>
          </cell>
          <cell r="E891" t="str">
            <v>Quikcell Apple iPad 10.2” TEMPERED GLASS Screen Protector</v>
          </cell>
          <cell r="F891" t="str">
            <v>Micas</v>
          </cell>
          <cell r="G891" t="str">
            <v>iPad</v>
          </cell>
          <cell r="H891" t="str">
            <v>iPad 10.2"</v>
          </cell>
          <cell r="I891">
            <v>565.75</v>
          </cell>
          <cell r="J891">
            <v>0.27</v>
          </cell>
          <cell r="K891">
            <v>899</v>
          </cell>
          <cell r="L891" t="str">
            <v>Mercado Libre</v>
          </cell>
          <cell r="M891" t="str">
            <v>Active</v>
          </cell>
          <cell r="N891" t="str">
            <v>GQC2059-M</v>
          </cell>
        </row>
        <row r="892">
          <cell r="A892" t="str">
            <v>Quikcell</v>
          </cell>
          <cell r="B892" t="str">
            <v>GP-IP21S-M</v>
          </cell>
          <cell r="C892" t="str">
            <v>GP-IP21S-M</v>
          </cell>
          <cell r="D892" t="str">
            <v>846537083464</v>
          </cell>
          <cell r="E892" t="str">
            <v>Quikcell Goof Proof Tempered Glass for iPhone 13 mini</v>
          </cell>
          <cell r="F892" t="str">
            <v>Micas</v>
          </cell>
          <cell r="G892" t="str">
            <v>iPhone 13</v>
          </cell>
          <cell r="H892" t="str">
            <v>iPhone 13 mini</v>
          </cell>
          <cell r="I892">
            <v>376.95689655172418</v>
          </cell>
          <cell r="J892">
            <v>0.27</v>
          </cell>
          <cell r="K892">
            <v>599</v>
          </cell>
          <cell r="L892" t="str">
            <v>Mercado Libre</v>
          </cell>
          <cell r="M892" t="str">
            <v>Active</v>
          </cell>
          <cell r="N892" t="str">
            <v>GP-IP21S-M</v>
          </cell>
        </row>
        <row r="893">
          <cell r="A893" t="str">
            <v>Quikcell</v>
          </cell>
          <cell r="B893" t="str">
            <v>GP-IP21L-M</v>
          </cell>
          <cell r="C893" t="str">
            <v>GP-IP21L-M</v>
          </cell>
          <cell r="D893" t="str">
            <v>846537083716</v>
          </cell>
          <cell r="E893" t="str">
            <v>Quikcell Goof Proof Tempered Glass for iPhone 13 Pro Max</v>
          </cell>
          <cell r="F893" t="str">
            <v>Micas</v>
          </cell>
          <cell r="G893" t="str">
            <v>iPhone 13</v>
          </cell>
          <cell r="H893" t="str">
            <v>iPhone 13 Pro Max</v>
          </cell>
          <cell r="I893">
            <v>376.95689655172418</v>
          </cell>
          <cell r="J893">
            <v>0.27</v>
          </cell>
          <cell r="K893">
            <v>599</v>
          </cell>
          <cell r="L893" t="str">
            <v>Mercado Libre</v>
          </cell>
          <cell r="M893" t="str">
            <v>Active</v>
          </cell>
          <cell r="N893" t="str">
            <v>GP-IP21L-M</v>
          </cell>
        </row>
        <row r="894">
          <cell r="A894" t="str">
            <v>Quikcell</v>
          </cell>
          <cell r="B894" t="str">
            <v>GQC2137-M</v>
          </cell>
          <cell r="C894" t="str">
            <v>GQC2137-M</v>
          </cell>
          <cell r="D894" t="str">
            <v>846537087714</v>
          </cell>
          <cell r="E894" t="str">
            <v>Quikcell Apple iPhone 14 Pro Max TEMPERED GLASS Screen Protector</v>
          </cell>
          <cell r="F894" t="str">
            <v>Micas</v>
          </cell>
          <cell r="G894" t="str">
            <v>iPhone 14</v>
          </cell>
          <cell r="H894" t="str">
            <v>iPhone 14 Pro Max</v>
          </cell>
          <cell r="I894">
            <v>345.49137931034483</v>
          </cell>
          <cell r="J894">
            <v>0.27</v>
          </cell>
          <cell r="K894">
            <v>549</v>
          </cell>
          <cell r="L894" t="str">
            <v>Mercado Libre</v>
          </cell>
          <cell r="M894" t="str">
            <v>Active</v>
          </cell>
          <cell r="N894" t="str">
            <v>GQC2137-M</v>
          </cell>
        </row>
        <row r="895">
          <cell r="A895" t="str">
            <v>Quikcell</v>
          </cell>
          <cell r="B895" t="str">
            <v>GQC2184-M</v>
          </cell>
          <cell r="C895" t="str">
            <v>GQC2184-M</v>
          </cell>
          <cell r="D895" t="str">
            <v>846537090950</v>
          </cell>
          <cell r="E895" t="str">
            <v>Quikcell Tempered Glass Screen Protector iPhone 15 Plus</v>
          </cell>
          <cell r="F895" t="str">
            <v>Micas</v>
          </cell>
          <cell r="G895" t="str">
            <v>iPhone 15</v>
          </cell>
          <cell r="H895" t="str">
            <v>iPhone 15 Plus</v>
          </cell>
          <cell r="I895">
            <v>345.49137931034483</v>
          </cell>
          <cell r="J895">
            <v>0.27</v>
          </cell>
          <cell r="K895">
            <v>549</v>
          </cell>
          <cell r="L895" t="str">
            <v>Mercado Libre</v>
          </cell>
          <cell r="M895" t="str">
            <v>Active</v>
          </cell>
          <cell r="N895" t="str">
            <v>GQC2184-M</v>
          </cell>
        </row>
        <row r="896">
          <cell r="A896" t="str">
            <v>Quikcell</v>
          </cell>
          <cell r="B896" t="str">
            <v>GQC2183-M</v>
          </cell>
          <cell r="C896" t="str">
            <v>GQC2183-M</v>
          </cell>
          <cell r="D896" t="str">
            <v>846537090844</v>
          </cell>
          <cell r="E896" t="str">
            <v>Quikcell Tempered Glass Screen Protector iPhone 15 Pro</v>
          </cell>
          <cell r="F896" t="str">
            <v>Micas</v>
          </cell>
          <cell r="G896" t="str">
            <v>iPhone 15</v>
          </cell>
          <cell r="H896" t="str">
            <v>iPhone 15 Pro</v>
          </cell>
          <cell r="I896">
            <v>345.49137931034483</v>
          </cell>
          <cell r="J896">
            <v>0.27</v>
          </cell>
          <cell r="K896">
            <v>549</v>
          </cell>
          <cell r="L896" t="str">
            <v>Mercado Libre</v>
          </cell>
          <cell r="M896" t="str">
            <v>Active</v>
          </cell>
          <cell r="N896" t="str">
            <v>GQC2183-M</v>
          </cell>
        </row>
        <row r="897">
          <cell r="A897" t="str">
            <v>Quikcell</v>
          </cell>
          <cell r="B897" t="str">
            <v>LIQUIDGTAB</v>
          </cell>
          <cell r="C897" t="str">
            <v>LIQUIDGTAB</v>
          </cell>
          <cell r="D897" t="str">
            <v>846537083037</v>
          </cell>
          <cell r="E897" t="str">
            <v>Quikcell ULTRA TABLET Liquid Glass Screen Protector</v>
          </cell>
          <cell r="F897" t="str">
            <v>Micas</v>
          </cell>
          <cell r="G897" t="str">
            <v>UNIVERSAL</v>
          </cell>
          <cell r="H897" t="str">
            <v>Tablet</v>
          </cell>
          <cell r="I897">
            <v>439.88793103448279</v>
          </cell>
          <cell r="J897">
            <v>0.27</v>
          </cell>
          <cell r="K897">
            <v>699</v>
          </cell>
          <cell r="L897" t="str">
            <v>Mercado Libre</v>
          </cell>
          <cell r="M897" t="str">
            <v>Active</v>
          </cell>
          <cell r="N897" t="str">
            <v>LIQUIDGTAB-M</v>
          </cell>
        </row>
        <row r="898">
          <cell r="A898" t="str">
            <v>Quikcell</v>
          </cell>
          <cell r="B898" t="str">
            <v>QC-LIQUIDG</v>
          </cell>
          <cell r="C898" t="str">
            <v>QC-LIQUIDG</v>
          </cell>
          <cell r="D898" t="str">
            <v>846537071317</v>
          </cell>
          <cell r="E898" t="str">
            <v>Quikcell Ultra LIQUID GLASS Screen Protector</v>
          </cell>
          <cell r="F898" t="str">
            <v>Micas</v>
          </cell>
          <cell r="G898" t="str">
            <v>UNIVERSAL</v>
          </cell>
          <cell r="H898" t="str">
            <v>Universal</v>
          </cell>
          <cell r="I898">
            <v>376.95689655172418</v>
          </cell>
          <cell r="J898">
            <v>0.27</v>
          </cell>
          <cell r="K898">
            <v>599</v>
          </cell>
          <cell r="L898" t="str">
            <v>Mercado Libre</v>
          </cell>
          <cell r="M898" t="str">
            <v>Active</v>
          </cell>
          <cell r="N898" t="str">
            <v>QC-LIQUIDG-M</v>
          </cell>
        </row>
        <row r="899">
          <cell r="A899" t="str">
            <v>Quikcell</v>
          </cell>
          <cell r="B899" t="str">
            <v>QAIR-WAT</v>
          </cell>
          <cell r="C899" t="str">
            <v>QAIR-WAT</v>
          </cell>
          <cell r="D899" t="str">
            <v>846537075643</v>
          </cell>
          <cell r="E899" t="str">
            <v>Quikcell Bundle Watch and QAIR BUDS True Wireless Earbuds with Charging Case - Black</v>
          </cell>
          <cell r="F899" t="str">
            <v>Wearable</v>
          </cell>
          <cell r="G899" t="str">
            <v>Smartwatch</v>
          </cell>
          <cell r="H899" t="str">
            <v>Bundle</v>
          </cell>
          <cell r="I899">
            <v>1540.387931034483</v>
          </cell>
          <cell r="J899">
            <v>0.35</v>
          </cell>
          <cell r="K899">
            <v>2749</v>
          </cell>
          <cell r="L899" t="str">
            <v>Mercado Libre</v>
          </cell>
          <cell r="M899" t="str">
            <v>Active</v>
          </cell>
          <cell r="N899" t="str">
            <v>QAIR-WAT-M</v>
          </cell>
        </row>
        <row r="900">
          <cell r="A900" t="str">
            <v>Raptic</v>
          </cell>
          <cell r="B900">
            <v>463485</v>
          </cell>
          <cell r="C900" t="str">
            <v>463485</v>
          </cell>
          <cell r="D900" t="str">
            <v>6950941463485</v>
          </cell>
          <cell r="E900" t="str">
            <v xml:space="preserve">Raptic 360X for Apple watch 45mm  Clear </v>
          </cell>
          <cell r="F900" t="str">
            <v>Cases Apple watch</v>
          </cell>
          <cell r="G900" t="str">
            <v>Apple Watch</v>
          </cell>
          <cell r="H900" t="str">
            <v>42mm/44mm/45mm</v>
          </cell>
          <cell r="I900">
            <v>157.15517241379311</v>
          </cell>
          <cell r="J900">
            <v>0.3903010033444817</v>
          </cell>
          <cell r="K900">
            <v>299</v>
          </cell>
          <cell r="L900" t="str">
            <v>Mercado Libre</v>
          </cell>
          <cell r="M900" t="str">
            <v>Active</v>
          </cell>
          <cell r="N900" t="str">
            <v>463485-M</v>
          </cell>
        </row>
        <row r="901">
          <cell r="A901" t="str">
            <v>Speck</v>
          </cell>
          <cell r="B901" t="str">
            <v>150422-1041</v>
          </cell>
          <cell r="C901" t="str">
            <v>150422-1041</v>
          </cell>
          <cell r="D901" t="str">
            <v>840168532131</v>
          </cell>
          <cell r="E901" t="str">
            <v>Speck Car Vent Mount for MagSafe Black iPhone 15 Car</v>
          </cell>
          <cell r="F901" t="str">
            <v>Accesories</v>
          </cell>
          <cell r="G901" t="str">
            <v>Click Lock</v>
          </cell>
          <cell r="H901" t="str">
            <v>Car Vent</v>
          </cell>
          <cell r="I901">
            <v>502.81896551724139</v>
          </cell>
          <cell r="J901">
            <v>0.27</v>
          </cell>
          <cell r="K901">
            <v>799</v>
          </cell>
          <cell r="L901" t="str">
            <v>Mercado Libre</v>
          </cell>
          <cell r="M901" t="str">
            <v>Active</v>
          </cell>
          <cell r="N901" t="str">
            <v>150422-1041-M</v>
          </cell>
        </row>
        <row r="902">
          <cell r="A902" t="str">
            <v>Speck</v>
          </cell>
          <cell r="B902" t="str">
            <v>150423-1041</v>
          </cell>
          <cell r="C902" t="str">
            <v>150423-1041</v>
          </cell>
          <cell r="D902" t="str">
            <v>840168532148</v>
          </cell>
          <cell r="E902" t="str">
            <v>Speck Wallet for MagSafe® Black iPhone 15 Wallet</v>
          </cell>
          <cell r="F902" t="str">
            <v>Accesories</v>
          </cell>
          <cell r="G902" t="str">
            <v>Click Lock</v>
          </cell>
          <cell r="H902" t="str">
            <v>Wallet</v>
          </cell>
          <cell r="I902">
            <v>376.95689655172418</v>
          </cell>
          <cell r="J902">
            <v>0.27</v>
          </cell>
          <cell r="K902">
            <v>599</v>
          </cell>
          <cell r="L902" t="str">
            <v>Mercado Libre</v>
          </cell>
          <cell r="M902" t="str">
            <v>Active</v>
          </cell>
          <cell r="N902" t="str">
            <v>150423-1041-M</v>
          </cell>
        </row>
        <row r="903">
          <cell r="A903" t="str">
            <v>Speck</v>
          </cell>
          <cell r="B903" t="str">
            <v>150533-3229</v>
          </cell>
          <cell r="C903" t="str">
            <v>150533-3229</v>
          </cell>
          <cell r="D903" t="str">
            <v>840168536641</v>
          </cell>
          <cell r="E903" t="str">
            <v>Speck Gemtones Play True Wireless Earbuds - Bob Blue</v>
          </cell>
          <cell r="F903" t="str">
            <v>Audio</v>
          </cell>
          <cell r="G903" t="str">
            <v>Headphones Wireless</v>
          </cell>
          <cell r="H903" t="str">
            <v>Gemtones</v>
          </cell>
          <cell r="I903">
            <v>559.7844827586207</v>
          </cell>
          <cell r="J903">
            <v>0.35</v>
          </cell>
          <cell r="K903">
            <v>999</v>
          </cell>
          <cell r="L903" t="str">
            <v>Mercado Libre</v>
          </cell>
          <cell r="M903" t="str">
            <v>Active</v>
          </cell>
          <cell r="N903" t="str">
            <v>150533-3229-M</v>
          </cell>
        </row>
        <row r="904">
          <cell r="A904" t="str">
            <v>Speck</v>
          </cell>
          <cell r="B904" t="str">
            <v>150533-3226</v>
          </cell>
          <cell r="C904" t="str">
            <v>150533-3226</v>
          </cell>
          <cell r="D904" t="str">
            <v>840168536610</v>
          </cell>
          <cell r="E904" t="str">
            <v>Speck Gemtones Play True Wireless Earbuds - Pop Purple</v>
          </cell>
          <cell r="F904" t="str">
            <v>Audio</v>
          </cell>
          <cell r="G904" t="str">
            <v>Headphones Wireless</v>
          </cell>
          <cell r="H904" t="str">
            <v>Gemtones</v>
          </cell>
          <cell r="I904">
            <v>559.7844827586207</v>
          </cell>
          <cell r="J904">
            <v>0.35</v>
          </cell>
          <cell r="K904">
            <v>999</v>
          </cell>
          <cell r="L904" t="str">
            <v>Mercado Libre</v>
          </cell>
          <cell r="M904" t="str">
            <v>Active</v>
          </cell>
          <cell r="N904" t="str">
            <v>150533-3226-M</v>
          </cell>
        </row>
        <row r="905">
          <cell r="A905" t="str">
            <v>Speck</v>
          </cell>
          <cell r="B905" t="str">
            <v>150533-3225</v>
          </cell>
          <cell r="C905" t="str">
            <v>150533-3225</v>
          </cell>
          <cell r="D905" t="str">
            <v>840168536795</v>
          </cell>
          <cell r="E905" t="str">
            <v>Speck Gemtones Play True Wireless Earbuds - Black</v>
          </cell>
          <cell r="F905" t="str">
            <v>Audio</v>
          </cell>
          <cell r="G905" t="str">
            <v>Headphones Wireless</v>
          </cell>
          <cell r="H905" t="str">
            <v>Gemtones</v>
          </cell>
          <cell r="I905">
            <v>559.7844827586207</v>
          </cell>
          <cell r="J905">
            <v>0.35</v>
          </cell>
          <cell r="K905">
            <v>999</v>
          </cell>
          <cell r="L905" t="str">
            <v>Mercado Libre</v>
          </cell>
          <cell r="M905" t="str">
            <v>Active</v>
          </cell>
          <cell r="N905" t="str">
            <v>150533-3225-M</v>
          </cell>
        </row>
        <row r="906">
          <cell r="A906" t="str">
            <v>Speck</v>
          </cell>
          <cell r="B906" t="str">
            <v>133535-7265</v>
          </cell>
          <cell r="C906" t="str">
            <v>133535-7265</v>
          </cell>
          <cell r="D906" t="str">
            <v>848709080639</v>
          </cell>
          <cell r="E906" t="str">
            <v>Speck Balance Folio Case for iPad 10.2" 7/8/9 Gen - Plumberry Purple/Crushed Purpl</v>
          </cell>
          <cell r="F906" t="str">
            <v>Cases iPad</v>
          </cell>
          <cell r="G906" t="str">
            <v>iPad</v>
          </cell>
          <cell r="H906" t="str">
            <v>iPad 10.2"</v>
          </cell>
          <cell r="I906">
            <v>673.39655172413802</v>
          </cell>
          <cell r="J906">
            <v>0.218078078078078</v>
          </cell>
          <cell r="K906">
            <v>999</v>
          </cell>
          <cell r="L906" t="str">
            <v>Mercado Libre</v>
          </cell>
          <cell r="M906" t="str">
            <v>Active</v>
          </cell>
          <cell r="N906" t="str">
            <v>133535-7265-M</v>
          </cell>
        </row>
        <row r="907">
          <cell r="A907" t="str">
            <v>Speck</v>
          </cell>
          <cell r="B907" t="str">
            <v>138654-1050</v>
          </cell>
          <cell r="C907" t="str">
            <v>138654-1050</v>
          </cell>
          <cell r="D907" t="str">
            <v>848709096296</v>
          </cell>
          <cell r="E907" t="str">
            <v>Speck Balance Folio Case with Microban for iPad 10.2" 7/8/9 Gen - Black/Black</v>
          </cell>
          <cell r="F907" t="str">
            <v>Cases iPad</v>
          </cell>
          <cell r="G907" t="str">
            <v>iPad</v>
          </cell>
          <cell r="H907" t="str">
            <v>iPad 10.2"</v>
          </cell>
          <cell r="I907">
            <v>610.4655172413793</v>
          </cell>
          <cell r="J907">
            <v>0.33131255901794143</v>
          </cell>
          <cell r="K907">
            <v>1059</v>
          </cell>
          <cell r="L907" t="str">
            <v>Mercado Libre</v>
          </cell>
          <cell r="M907" t="str">
            <v>Active</v>
          </cell>
          <cell r="N907" t="str">
            <v>138654-1050-M</v>
          </cell>
        </row>
        <row r="908">
          <cell r="A908" t="str">
            <v>Speck</v>
          </cell>
          <cell r="B908" t="str">
            <v>150226-9969</v>
          </cell>
          <cell r="C908" t="str">
            <v>150226-9969</v>
          </cell>
          <cell r="D908" t="str">
            <v>840168528172</v>
          </cell>
          <cell r="E908" t="str">
            <v>Speck Balance Folio Case for iPad 10th Gen - Almond Milk /Mocha/Charcoal</v>
          </cell>
          <cell r="F908" t="str">
            <v>Cases iPad</v>
          </cell>
          <cell r="G908" t="str">
            <v>iPad</v>
          </cell>
          <cell r="H908" t="str">
            <v>iPad 10th /11th - 10.9"/11" (2022-2025)</v>
          </cell>
          <cell r="I908">
            <v>654.08620689655174</v>
          </cell>
          <cell r="J908">
            <v>0.24050050050050054</v>
          </cell>
          <cell r="K908">
            <v>999</v>
          </cell>
          <cell r="L908" t="str">
            <v>Mercado Libre</v>
          </cell>
          <cell r="M908" t="str">
            <v>Active</v>
          </cell>
          <cell r="N908" t="str">
            <v>150226-9969-M</v>
          </cell>
        </row>
        <row r="909">
          <cell r="A909" t="str">
            <v>Speck</v>
          </cell>
          <cell r="B909" t="str">
            <v>142573-1050</v>
          </cell>
          <cell r="C909" t="str">
            <v>142573-1050</v>
          </cell>
          <cell r="D909" t="str">
            <v>840168507573</v>
          </cell>
          <cell r="E909" t="str">
            <v>Speck Balance Folio with Microban for iPad mini 6 - Black</v>
          </cell>
          <cell r="F909" t="str">
            <v>Cases iPad</v>
          </cell>
          <cell r="G909" t="str">
            <v>iPad</v>
          </cell>
          <cell r="H909" t="str">
            <v>iPad mini 6</v>
          </cell>
          <cell r="I909">
            <v>315.63793103448279</v>
          </cell>
          <cell r="J909">
            <v>0.63349349349349349</v>
          </cell>
          <cell r="K909">
            <v>999</v>
          </cell>
          <cell r="L909" t="str">
            <v>Mercado Libre</v>
          </cell>
          <cell r="M909" t="str">
            <v>Active</v>
          </cell>
          <cell r="N909" t="str">
            <v>142573-1050-M</v>
          </cell>
        </row>
        <row r="910">
          <cell r="A910" t="str">
            <v>Speck</v>
          </cell>
          <cell r="B910" t="str">
            <v>150198-9969</v>
          </cell>
          <cell r="C910" t="str">
            <v>150198-9969</v>
          </cell>
          <cell r="D910" t="str">
            <v>840168526871</v>
          </cell>
          <cell r="E910" t="str">
            <v>IPAD PRO 12.9” (2022) BALANCE FOLIO (W/MB) (ALMOND MILK/MOCHA/CHARCOAL)</v>
          </cell>
          <cell r="F910" t="str">
            <v>Cases iPad</v>
          </cell>
          <cell r="G910" t="str">
            <v>iPad</v>
          </cell>
          <cell r="H910" t="str">
            <v>iPad Pro 12.9</v>
          </cell>
          <cell r="I910">
            <v>979.00000000000011</v>
          </cell>
          <cell r="J910">
            <v>0.24240160106737818</v>
          </cell>
          <cell r="K910">
            <v>1499</v>
          </cell>
          <cell r="L910" t="str">
            <v>Mercado Libre</v>
          </cell>
          <cell r="M910" t="str">
            <v>Active</v>
          </cell>
          <cell r="N910" t="str">
            <v>150198-9969-M</v>
          </cell>
        </row>
        <row r="911">
          <cell r="A911" t="str">
            <v>Speck</v>
          </cell>
          <cell r="B911" t="str">
            <v>150198-D143</v>
          </cell>
          <cell r="C911" t="str">
            <v>150198-D143</v>
          </cell>
          <cell r="D911" t="str">
            <v>840168526840</v>
          </cell>
          <cell r="E911" t="str">
            <v>IPAD PRO 12.9” (2022) BALANCEFOLIO (W/MB) (BLACK/BLACK/WHITE)</v>
          </cell>
          <cell r="F911" t="str">
            <v>Cases iPad</v>
          </cell>
          <cell r="G911" t="str">
            <v>iPad</v>
          </cell>
          <cell r="H911" t="str">
            <v>iPad Pro 12.9</v>
          </cell>
          <cell r="I911">
            <v>1029.344827586207</v>
          </cell>
          <cell r="J911">
            <v>0.20344229486324217</v>
          </cell>
          <cell r="K911">
            <v>1499</v>
          </cell>
          <cell r="L911" t="str">
            <v>Mercado Libre</v>
          </cell>
          <cell r="M911" t="str">
            <v>Active</v>
          </cell>
          <cell r="N911" t="str">
            <v>150198-D143-M</v>
          </cell>
        </row>
        <row r="912">
          <cell r="A912" t="str">
            <v>Speck</v>
          </cell>
          <cell r="B912" t="str">
            <v>137621-1050</v>
          </cell>
          <cell r="C912" t="str">
            <v>137621-1050</v>
          </cell>
          <cell r="D912" t="str">
            <v>848709089199</v>
          </cell>
          <cell r="E912" t="str">
            <v>Speck iPhone  11/XR *New Candyshell (Black/Black)</v>
          </cell>
          <cell r="F912" t="str">
            <v>Cases iPhone</v>
          </cell>
          <cell r="G912" t="str">
            <v>iPhone 11</v>
          </cell>
          <cell r="H912" t="str">
            <v>iPhone 11</v>
          </cell>
          <cell r="I912">
            <v>376.95689655172418</v>
          </cell>
          <cell r="J912">
            <v>0.27</v>
          </cell>
          <cell r="K912">
            <v>599</v>
          </cell>
          <cell r="L912" t="str">
            <v>Mercado Libre</v>
          </cell>
          <cell r="M912" t="str">
            <v>Active</v>
          </cell>
          <cell r="N912" t="str">
            <v>137621-1050-M</v>
          </cell>
        </row>
        <row r="913">
          <cell r="A913" t="str">
            <v>Speck</v>
          </cell>
          <cell r="B913" t="str">
            <v>136495-5085</v>
          </cell>
          <cell r="C913" t="str">
            <v>136495-5085</v>
          </cell>
          <cell r="D913" t="str">
            <v>848709086235</v>
          </cell>
          <cell r="E913" t="str">
            <v>Speck iPhone  11 New Clear Grip (Clear/Clear)</v>
          </cell>
          <cell r="F913" t="str">
            <v>Cases iPhone</v>
          </cell>
          <cell r="G913" t="str">
            <v>iPhone 11</v>
          </cell>
          <cell r="H913" t="str">
            <v>iPhone 11</v>
          </cell>
          <cell r="I913">
            <v>129.39655172413794</v>
          </cell>
          <cell r="J913">
            <v>0.49799331103678934</v>
          </cell>
          <cell r="K913">
            <v>299</v>
          </cell>
          <cell r="L913" t="str">
            <v>Mercado Libre</v>
          </cell>
          <cell r="M913" t="str">
            <v>Active</v>
          </cell>
          <cell r="N913" t="str">
            <v>136495-5085-M</v>
          </cell>
        </row>
        <row r="914">
          <cell r="A914" t="str">
            <v>Speck</v>
          </cell>
          <cell r="B914" t="str">
            <v>137606-5085</v>
          </cell>
          <cell r="C914" t="str">
            <v>137606-5085</v>
          </cell>
          <cell r="D914" t="str">
            <v>848709088680</v>
          </cell>
          <cell r="E914" t="str">
            <v>Speck iPhone  12/12 Pro *Gemshell Grip (Clear/Clear)</v>
          </cell>
          <cell r="F914" t="str">
            <v>Cases iPhone</v>
          </cell>
          <cell r="G914" t="str">
            <v>iPhone 12</v>
          </cell>
          <cell r="H914" t="str">
            <v>iPhone 12 / 12 Pro</v>
          </cell>
          <cell r="I914">
            <v>135.6</v>
          </cell>
          <cell r="J914">
            <v>0.47392642140468233</v>
          </cell>
          <cell r="K914">
            <v>299</v>
          </cell>
          <cell r="L914" t="str">
            <v>Mercado Libre</v>
          </cell>
          <cell r="M914" t="str">
            <v>Active</v>
          </cell>
          <cell r="N914" t="str">
            <v>137606-5085-M</v>
          </cell>
        </row>
        <row r="915">
          <cell r="A915" t="str">
            <v>Speck</v>
          </cell>
          <cell r="B915" t="str">
            <v>137600-1050</v>
          </cell>
          <cell r="C915" t="str">
            <v>137600-1050</v>
          </cell>
          <cell r="D915" t="str">
            <v>848709088444</v>
          </cell>
          <cell r="E915" t="str">
            <v>Speck iPhone 12/12 Pro Candyshell Pro (Black/Black)</v>
          </cell>
          <cell r="F915" t="str">
            <v>Cases iPhone</v>
          </cell>
          <cell r="G915" t="str">
            <v>iPhone 12</v>
          </cell>
          <cell r="H915" t="str">
            <v>iPhone 12 / 12 Pro</v>
          </cell>
          <cell r="I915">
            <v>135.6</v>
          </cell>
          <cell r="J915">
            <v>0.47392642140468233</v>
          </cell>
          <cell r="K915">
            <v>299</v>
          </cell>
          <cell r="L915" t="str">
            <v>Mercado Libre</v>
          </cell>
          <cell r="M915" t="str">
            <v>Active</v>
          </cell>
          <cell r="N915" t="str">
            <v>137600-1050-M</v>
          </cell>
        </row>
        <row r="916">
          <cell r="A916" t="str">
            <v>Speck</v>
          </cell>
          <cell r="B916" t="str">
            <v>137603-5095</v>
          </cell>
          <cell r="C916" t="str">
            <v>137603-5095</v>
          </cell>
          <cell r="D916" t="str">
            <v>840168527427</v>
          </cell>
          <cell r="E916" t="str">
            <v>Speck iPhone  12/12 Pro Gemshell (Clear/Black)</v>
          </cell>
          <cell r="F916" t="str">
            <v>Cases iPhone</v>
          </cell>
          <cell r="G916" t="str">
            <v>iPhone 12</v>
          </cell>
          <cell r="H916" t="str">
            <v>iPhone 12 / 12 Pro</v>
          </cell>
          <cell r="I916">
            <v>376.95689655172418</v>
          </cell>
          <cell r="J916">
            <v>0.27</v>
          </cell>
          <cell r="K916">
            <v>599</v>
          </cell>
          <cell r="L916" t="str">
            <v>Mercado Libre</v>
          </cell>
          <cell r="M916" t="str">
            <v>Active</v>
          </cell>
          <cell r="N916" t="str">
            <v>137603-5095-M</v>
          </cell>
        </row>
        <row r="917">
          <cell r="A917" t="str">
            <v>Speck</v>
          </cell>
          <cell r="B917" t="str">
            <v>141696-9608</v>
          </cell>
          <cell r="C917" t="str">
            <v>141696-9608</v>
          </cell>
          <cell r="D917" t="str">
            <v>840168504725</v>
          </cell>
          <cell r="E917" t="str">
            <v>Speck Presidio Perfect Clear Impact Geometry Case for iPhone 13 - Clear/Unreal Red</v>
          </cell>
          <cell r="F917" t="str">
            <v>Cases iPhone</v>
          </cell>
          <cell r="G917" t="str">
            <v>iPhone 13</v>
          </cell>
          <cell r="H917" t="str">
            <v>iPhone 13 Cases</v>
          </cell>
          <cell r="I917">
            <v>43.706896551724142</v>
          </cell>
          <cell r="J917">
            <v>0.83043478260869563</v>
          </cell>
          <cell r="K917">
            <v>299</v>
          </cell>
          <cell r="L917" t="str">
            <v>Mercado Libre</v>
          </cell>
          <cell r="M917" t="str">
            <v>Active</v>
          </cell>
          <cell r="N917" t="str">
            <v>141696-9608-M</v>
          </cell>
        </row>
        <row r="918">
          <cell r="A918" t="str">
            <v>Speck</v>
          </cell>
          <cell r="B918" t="str">
            <v>150455-3205</v>
          </cell>
          <cell r="C918" t="str">
            <v>150455-3205</v>
          </cell>
          <cell r="D918" t="str">
            <v>840168533251</v>
          </cell>
          <cell r="E918" t="str">
            <v>Speck Presidio®2 Grip Magsafe® Clicklock™ Black / Slate Grey iPhone 15 Plus</v>
          </cell>
          <cell r="F918" t="str">
            <v>Cases iPhone</v>
          </cell>
          <cell r="G918" t="str">
            <v>iPhone 15</v>
          </cell>
          <cell r="H918" t="str">
            <v>iPhone 15 Plus</v>
          </cell>
          <cell r="I918">
            <v>559.7844827586207</v>
          </cell>
          <cell r="J918">
            <v>0.35</v>
          </cell>
          <cell r="K918">
            <v>999</v>
          </cell>
          <cell r="L918" t="str">
            <v>Mercado Libre</v>
          </cell>
          <cell r="M918" t="str">
            <v>Active</v>
          </cell>
          <cell r="N918" t="str">
            <v>150455-3205-M</v>
          </cell>
        </row>
        <row r="919">
          <cell r="A919" t="str">
            <v>Speck</v>
          </cell>
          <cell r="B919" t="str">
            <v>150455-3212</v>
          </cell>
          <cell r="C919" t="str">
            <v>150455-3212</v>
          </cell>
          <cell r="D919" t="str">
            <v>840168533329</v>
          </cell>
          <cell r="E919" t="str">
            <v>Speck Presidio®2 Grip Magsafe® Clicklock™ Charcoal Grey/ Cool Bronze iPhone 15 Plus</v>
          </cell>
          <cell r="F919" t="str">
            <v>Cases iPhone</v>
          </cell>
          <cell r="G919" t="str">
            <v>iPhone 15</v>
          </cell>
          <cell r="H919" t="str">
            <v>iPhone 15 Plus</v>
          </cell>
          <cell r="I919">
            <v>559.7844827586207</v>
          </cell>
          <cell r="J919">
            <v>0.35</v>
          </cell>
          <cell r="K919">
            <v>999</v>
          </cell>
          <cell r="L919" t="str">
            <v>Mercado Libre</v>
          </cell>
          <cell r="M919" t="str">
            <v>Active</v>
          </cell>
          <cell r="N919" t="str">
            <v>150455-3212-M</v>
          </cell>
        </row>
        <row r="920">
          <cell r="A920" t="str">
            <v>Speck</v>
          </cell>
          <cell r="B920" t="str">
            <v>150455-3206</v>
          </cell>
          <cell r="C920" t="str">
            <v>150455-3206</v>
          </cell>
          <cell r="D920" t="str">
            <v>840168533268</v>
          </cell>
          <cell r="E920" t="str">
            <v>Speck Presidio®2 Grip Magsafe® Clicklock™ Costal Blue / Dust Grey iPhone 15 Plus</v>
          </cell>
          <cell r="F920" t="str">
            <v>Cases iPhone</v>
          </cell>
          <cell r="G920" t="str">
            <v>iPhone 15</v>
          </cell>
          <cell r="H920" t="str">
            <v>iPhone 15 Plus</v>
          </cell>
          <cell r="I920">
            <v>559.7844827586207</v>
          </cell>
          <cell r="J920">
            <v>0.35</v>
          </cell>
          <cell r="K920">
            <v>999</v>
          </cell>
          <cell r="L920" t="str">
            <v>Mercado Libre</v>
          </cell>
          <cell r="M920" t="str">
            <v>Active</v>
          </cell>
          <cell r="N920" t="str">
            <v>150455-3206-M</v>
          </cell>
        </row>
        <row r="921">
          <cell r="A921" t="str">
            <v>Speck</v>
          </cell>
          <cell r="B921" t="str">
            <v>150459-3199</v>
          </cell>
          <cell r="C921" t="str">
            <v>150459-3199</v>
          </cell>
          <cell r="D921" t="str">
            <v>840168533381</v>
          </cell>
          <cell r="E921" t="str">
            <v>Speck Presidio® Perfect-Clear Grip Magsafe® Clicklock™ Clear/Clear/Chrome iPhone 15 Plus</v>
          </cell>
          <cell r="F921" t="str">
            <v>Cases iPhone</v>
          </cell>
          <cell r="G921" t="str">
            <v>iPhone 15</v>
          </cell>
          <cell r="H921" t="str">
            <v>iPhone 15 Plus</v>
          </cell>
          <cell r="I921">
            <v>559.7844827586207</v>
          </cell>
          <cell r="J921">
            <v>0.35</v>
          </cell>
          <cell r="K921">
            <v>999</v>
          </cell>
          <cell r="L921" t="str">
            <v>Mercado Libre</v>
          </cell>
          <cell r="M921" t="str">
            <v>Active</v>
          </cell>
          <cell r="N921" t="str">
            <v>150459-3199-M</v>
          </cell>
        </row>
        <row r="922">
          <cell r="A922" t="str">
            <v>Speck</v>
          </cell>
          <cell r="B922" t="str">
            <v>150451-3199</v>
          </cell>
          <cell r="C922" t="str">
            <v>150451-3199</v>
          </cell>
          <cell r="D922" t="str">
            <v>840168533121</v>
          </cell>
          <cell r="E922" t="str">
            <v>Speck Presidio® Perfect-Clear Grip Magsafe® Clicklock™ Clear/Clear/Chrome iPhone 15 Pro</v>
          </cell>
          <cell r="F922" t="str">
            <v>Cases iPhone</v>
          </cell>
          <cell r="G922" t="str">
            <v>iPhone 15</v>
          </cell>
          <cell r="H922" t="str">
            <v>iPhone 15 Pro</v>
          </cell>
          <cell r="I922">
            <v>559.7844827586207</v>
          </cell>
          <cell r="J922">
            <v>0.35</v>
          </cell>
          <cell r="K922">
            <v>999</v>
          </cell>
          <cell r="L922" t="str">
            <v>Mercado Libre</v>
          </cell>
          <cell r="M922" t="str">
            <v>Active</v>
          </cell>
          <cell r="N922" t="str">
            <v>150451-3199-M</v>
          </cell>
        </row>
        <row r="923">
          <cell r="A923" t="str">
            <v>Speck</v>
          </cell>
          <cell r="B923" t="str">
            <v>150447-3205</v>
          </cell>
          <cell r="C923" t="str">
            <v>150447-3205</v>
          </cell>
          <cell r="D923" t="str">
            <v>840168532995</v>
          </cell>
          <cell r="E923" t="str">
            <v>Speck Presidio®2 Grip Magsafe® Clicklock™ Black / Slate Grey iPhone 15 Pro</v>
          </cell>
          <cell r="F923" t="str">
            <v>Cases iPhone</v>
          </cell>
          <cell r="G923" t="str">
            <v>iPhone 15</v>
          </cell>
          <cell r="H923" t="str">
            <v>iPhone 15 Pro</v>
          </cell>
          <cell r="I923">
            <v>559.7844827586207</v>
          </cell>
          <cell r="J923">
            <v>0.35</v>
          </cell>
          <cell r="K923">
            <v>999</v>
          </cell>
          <cell r="L923" t="str">
            <v>Mercado Libre</v>
          </cell>
          <cell r="M923" t="str">
            <v>Active</v>
          </cell>
          <cell r="N923" t="str">
            <v>150447-3205-M</v>
          </cell>
        </row>
        <row r="924">
          <cell r="A924" t="str">
            <v>Speck</v>
          </cell>
          <cell r="B924" t="str">
            <v>150447-3212</v>
          </cell>
          <cell r="C924" t="str">
            <v>150447-3212</v>
          </cell>
          <cell r="D924" t="str">
            <v>840168533060</v>
          </cell>
          <cell r="E924" t="str">
            <v>Speck Presidio®2 Grip Magsafe® Clicklock™ Charcoal Grey/ Cool Bronze iPhone 15 Pro</v>
          </cell>
          <cell r="F924" t="str">
            <v>Cases iPhone</v>
          </cell>
          <cell r="G924" t="str">
            <v>iPhone 15</v>
          </cell>
          <cell r="H924" t="str">
            <v>iPhone 15 Pro</v>
          </cell>
          <cell r="I924">
            <v>559.7844827586207</v>
          </cell>
          <cell r="J924">
            <v>0.35</v>
          </cell>
          <cell r="K924">
            <v>999</v>
          </cell>
          <cell r="L924" t="str">
            <v>Mercado Libre</v>
          </cell>
          <cell r="M924" t="str">
            <v>Active</v>
          </cell>
          <cell r="N924" t="str">
            <v>150447-3212-M</v>
          </cell>
        </row>
        <row r="925">
          <cell r="A925" t="str">
            <v>Speck</v>
          </cell>
          <cell r="B925" t="str">
            <v>150447-3206</v>
          </cell>
          <cell r="C925" t="str">
            <v>150447-3206</v>
          </cell>
          <cell r="D925" t="str">
            <v>840168533008</v>
          </cell>
          <cell r="E925" t="str">
            <v>Speck Presidio®2 Grip Magsafe® Clicklock™ Costal Blue / Dust Grey iPhone 15 Pro</v>
          </cell>
          <cell r="F925" t="str">
            <v>Cases iPhone</v>
          </cell>
          <cell r="G925" t="str">
            <v>iPhone 15</v>
          </cell>
          <cell r="H925" t="str">
            <v>iPhone 15 Pro</v>
          </cell>
          <cell r="I925">
            <v>559.7844827586207</v>
          </cell>
          <cell r="J925">
            <v>0.35</v>
          </cell>
          <cell r="K925">
            <v>999</v>
          </cell>
          <cell r="L925" t="str">
            <v>Mercado Libre</v>
          </cell>
          <cell r="M925" t="str">
            <v>Active</v>
          </cell>
          <cell r="N925" t="str">
            <v>150447-3206-M</v>
          </cell>
        </row>
        <row r="926">
          <cell r="A926" t="str">
            <v>Speck</v>
          </cell>
          <cell r="B926" t="str">
            <v>150561-3216</v>
          </cell>
          <cell r="C926" t="str">
            <v>150561-3216</v>
          </cell>
          <cell r="D926" t="str">
            <v>840168537518</v>
          </cell>
          <cell r="E926" t="str">
            <v>Speck Presidio® Lux Magsafe® Clear/Clear W/Gold Glitter iPhone 15 Pro</v>
          </cell>
          <cell r="F926" t="str">
            <v>Cases iPhone</v>
          </cell>
          <cell r="G926" t="str">
            <v>iPhone 15</v>
          </cell>
          <cell r="H926" t="str">
            <v>iPhone 15 Pro</v>
          </cell>
          <cell r="I926">
            <v>559.7844827586207</v>
          </cell>
          <cell r="J926">
            <v>0.35</v>
          </cell>
          <cell r="K926">
            <v>999</v>
          </cell>
          <cell r="L926" t="str">
            <v>Mercado Libre</v>
          </cell>
          <cell r="M926" t="str">
            <v>Active</v>
          </cell>
          <cell r="N926" t="str">
            <v>150561-3216-M</v>
          </cell>
        </row>
        <row r="927">
          <cell r="A927" t="str">
            <v>Speck</v>
          </cell>
          <cell r="B927" t="str">
            <v>150447-3211</v>
          </cell>
          <cell r="C927" t="str">
            <v>150447-3211</v>
          </cell>
          <cell r="D927" t="str">
            <v>840168533053</v>
          </cell>
          <cell r="E927" t="str">
            <v>Speck Presidio®2 Grip Magsafe® Clicklock™ Future Blue / Horizon Purple iPhone 15 Pro</v>
          </cell>
          <cell r="F927" t="str">
            <v>Cases iPhone</v>
          </cell>
          <cell r="G927" t="str">
            <v>iPhone 15</v>
          </cell>
          <cell r="H927" t="str">
            <v>iPhone 15 Pro</v>
          </cell>
          <cell r="I927">
            <v>559.7844827586207</v>
          </cell>
          <cell r="J927">
            <v>0.35</v>
          </cell>
          <cell r="K927">
            <v>999</v>
          </cell>
          <cell r="L927" t="str">
            <v>Mercado Libre</v>
          </cell>
          <cell r="M927" t="str">
            <v>Active</v>
          </cell>
          <cell r="N927" t="str">
            <v>150447-3211-M</v>
          </cell>
        </row>
        <row r="928">
          <cell r="A928" t="str">
            <v>Speck</v>
          </cell>
          <cell r="B928" t="str">
            <v>150447-3208</v>
          </cell>
          <cell r="C928" t="str">
            <v>150447-3208</v>
          </cell>
          <cell r="D928" t="str">
            <v>840168533022</v>
          </cell>
          <cell r="E928" t="str">
            <v>Speck Presidio®2 Grip Magsafe® Clicklock™ New Planet/Clay Tan iPhone 15 Pro</v>
          </cell>
          <cell r="F928" t="str">
            <v>Cases iPhone</v>
          </cell>
          <cell r="G928" t="str">
            <v>iPhone 15</v>
          </cell>
          <cell r="H928" t="str">
            <v>iPhone 15 Pro</v>
          </cell>
          <cell r="I928">
            <v>559.7844827586207</v>
          </cell>
          <cell r="J928">
            <v>0.35</v>
          </cell>
          <cell r="K928">
            <v>999</v>
          </cell>
          <cell r="L928" t="str">
            <v>Mercado Libre</v>
          </cell>
          <cell r="M928" t="str">
            <v>Active</v>
          </cell>
          <cell r="N928" t="str">
            <v>150447-3208-M</v>
          </cell>
        </row>
        <row r="929">
          <cell r="A929" t="str">
            <v>Speck</v>
          </cell>
          <cell r="B929" t="str">
            <v>150467-3199</v>
          </cell>
          <cell r="C929" t="str">
            <v>150467-3199</v>
          </cell>
          <cell r="D929" t="str">
            <v>840168533640</v>
          </cell>
          <cell r="E929" t="str">
            <v>Speck Presidio® Perfect-Clear Grip Magsafe® Clicklock™ Clear/Clear/Chrome iPhone 15 Pro Max</v>
          </cell>
          <cell r="F929" t="str">
            <v>Cases iPhone</v>
          </cell>
          <cell r="G929" t="str">
            <v>iPhone 15</v>
          </cell>
          <cell r="H929" t="str">
            <v>iPhone 15 Pro Max</v>
          </cell>
          <cell r="I929">
            <v>611.0344827586207</v>
          </cell>
          <cell r="J929">
            <v>0.29049049049049058</v>
          </cell>
          <cell r="K929">
            <v>999</v>
          </cell>
          <cell r="L929" t="str">
            <v>Mercado Libre</v>
          </cell>
          <cell r="M929" t="str">
            <v>Active</v>
          </cell>
          <cell r="N929" t="str">
            <v>150467-3199-M</v>
          </cell>
        </row>
        <row r="930">
          <cell r="A930" t="str">
            <v>Speck</v>
          </cell>
          <cell r="B930" t="str">
            <v>150463-3212</v>
          </cell>
          <cell r="C930" t="str">
            <v>150463-3212</v>
          </cell>
          <cell r="D930" t="str">
            <v>840168533589</v>
          </cell>
          <cell r="E930" t="str">
            <v>Speck Presidio®2 Grip Magsafe® Clicklock™ Charcoal Grey/ Cool Bronze iPhone 15 Pro Max</v>
          </cell>
          <cell r="F930" t="str">
            <v>Cases iPhone</v>
          </cell>
          <cell r="G930" t="str">
            <v>iPhone 15</v>
          </cell>
          <cell r="H930" t="str">
            <v>iPhone 15 Pro Max</v>
          </cell>
          <cell r="I930">
            <v>552.87</v>
          </cell>
          <cell r="J930">
            <v>0.3580288288288288</v>
          </cell>
          <cell r="K930">
            <v>999</v>
          </cell>
          <cell r="L930" t="str">
            <v>Mercado Libre</v>
          </cell>
          <cell r="M930" t="str">
            <v>Active</v>
          </cell>
          <cell r="N930" t="str">
            <v>150463-3212-M</v>
          </cell>
        </row>
        <row r="931">
          <cell r="A931" t="str">
            <v>Speck</v>
          </cell>
          <cell r="B931" t="str">
            <v>150465-3199</v>
          </cell>
          <cell r="C931" t="str">
            <v>150465-3199</v>
          </cell>
          <cell r="D931" t="str">
            <v>840168533626</v>
          </cell>
          <cell r="E931" t="str">
            <v>Speck Presidio® Perfect-Clear Magsafe® Clicklock™ Clear/Clear/ Chrome iPhone 15 Pro Max</v>
          </cell>
          <cell r="F931" t="str">
            <v>Cases iPhone</v>
          </cell>
          <cell r="G931" t="str">
            <v>iPhone 15</v>
          </cell>
          <cell r="H931" t="str">
            <v>iPhone 15 Pro Max</v>
          </cell>
          <cell r="I931">
            <v>556.20689655172418</v>
          </cell>
          <cell r="J931">
            <v>0.35415415415415408</v>
          </cell>
          <cell r="K931">
            <v>999</v>
          </cell>
          <cell r="L931" t="str">
            <v>Mercado Libre</v>
          </cell>
          <cell r="M931" t="str">
            <v>Active</v>
          </cell>
          <cell r="N931" t="str">
            <v>150465-3199-M</v>
          </cell>
        </row>
        <row r="932">
          <cell r="A932" t="str">
            <v>Speck</v>
          </cell>
          <cell r="B932" t="str">
            <v>150463-3206</v>
          </cell>
          <cell r="C932" t="str">
            <v>150463-3206</v>
          </cell>
          <cell r="D932" t="str">
            <v>840168533527</v>
          </cell>
          <cell r="E932" t="str">
            <v>Speck Presidio®2 Grip Magsafe® Clicklock™ Costal Blue / Dust Grey iPhone 15 Pro Max</v>
          </cell>
          <cell r="F932" t="str">
            <v>Cases iPhone</v>
          </cell>
          <cell r="G932" t="str">
            <v>iPhone 15</v>
          </cell>
          <cell r="H932" t="str">
            <v>iPhone 15 Pro Max</v>
          </cell>
          <cell r="I932">
            <v>552.87</v>
          </cell>
          <cell r="J932">
            <v>0.3580288288288288</v>
          </cell>
          <cell r="K932">
            <v>999</v>
          </cell>
          <cell r="L932" t="str">
            <v>Mercado Libre</v>
          </cell>
          <cell r="M932" t="str">
            <v>Active</v>
          </cell>
          <cell r="N932" t="str">
            <v>150463-3206-M</v>
          </cell>
        </row>
        <row r="933">
          <cell r="A933" t="str">
            <v>Speck</v>
          </cell>
          <cell r="B933" t="str">
            <v>150491-5085</v>
          </cell>
          <cell r="C933" t="str">
            <v>150491-5085</v>
          </cell>
          <cell r="D933" t="str">
            <v>840168534944</v>
          </cell>
          <cell r="E933" t="str">
            <v>Speck GemShell® iPhone 15</v>
          </cell>
          <cell r="F933" t="str">
            <v>Cases iPhone</v>
          </cell>
          <cell r="G933" t="str">
            <v>iPhone 15</v>
          </cell>
          <cell r="H933" t="str">
            <v>iPhone 16e / 15 / 14 / 13</v>
          </cell>
          <cell r="I933">
            <v>335.64655172413802</v>
          </cell>
          <cell r="J933">
            <v>0.35</v>
          </cell>
          <cell r="K933">
            <v>599</v>
          </cell>
          <cell r="L933" t="str">
            <v>Mercado Libre</v>
          </cell>
          <cell r="M933" t="str">
            <v>Active</v>
          </cell>
          <cell r="N933" t="str">
            <v>150491-5085-M</v>
          </cell>
        </row>
        <row r="934">
          <cell r="A934" t="str">
            <v>Speck</v>
          </cell>
          <cell r="B934" t="str">
            <v>150443-3199</v>
          </cell>
          <cell r="C934" t="str">
            <v>150443-3199</v>
          </cell>
          <cell r="D934" t="str">
            <v>840168532865</v>
          </cell>
          <cell r="E934" t="str">
            <v>Speck Presidio® Perfect-Clear Grip Magsafe® Clicklock™ Clear/Clear/Chrome iPhone 15</v>
          </cell>
          <cell r="F934" t="str">
            <v>Cases iPhone</v>
          </cell>
          <cell r="G934" t="str">
            <v>iPhone 15</v>
          </cell>
          <cell r="H934" t="str">
            <v>iPhone 16e / 15 / 14 / 13</v>
          </cell>
          <cell r="I934">
            <v>559.7844827586207</v>
          </cell>
          <cell r="J934">
            <v>0.35</v>
          </cell>
          <cell r="K934">
            <v>999</v>
          </cell>
          <cell r="L934" t="str">
            <v>Mercado Libre</v>
          </cell>
          <cell r="M934" t="str">
            <v>Active</v>
          </cell>
          <cell r="N934" t="str">
            <v>150443-3199-M</v>
          </cell>
        </row>
        <row r="935">
          <cell r="A935" t="str">
            <v>Speck</v>
          </cell>
          <cell r="B935" t="str">
            <v>150439-3205</v>
          </cell>
          <cell r="C935" t="str">
            <v>150439-3205</v>
          </cell>
          <cell r="D935" t="str">
            <v>840168532735</v>
          </cell>
          <cell r="E935" t="str">
            <v>Speck Presidio®2 Grip Magsafe® Clicklock™ Black / Slate Grey iPhone 15</v>
          </cell>
          <cell r="F935" t="str">
            <v>Cases iPhone</v>
          </cell>
          <cell r="G935" t="str">
            <v>iPhone 15</v>
          </cell>
          <cell r="H935" t="str">
            <v>iPhone 16e / 15 / 14 / 13</v>
          </cell>
          <cell r="I935">
            <v>556.20689655172418</v>
          </cell>
          <cell r="J935">
            <v>0.35415415415415408</v>
          </cell>
          <cell r="K935">
            <v>999</v>
          </cell>
          <cell r="L935" t="str">
            <v>Mercado Libre</v>
          </cell>
          <cell r="M935" t="str">
            <v>Active</v>
          </cell>
          <cell r="N935" t="str">
            <v>150439-3205-M</v>
          </cell>
        </row>
        <row r="936">
          <cell r="A936" t="str">
            <v>Speck</v>
          </cell>
          <cell r="B936" t="str">
            <v>150697-5085</v>
          </cell>
          <cell r="C936" t="str">
            <v>150697-5085</v>
          </cell>
          <cell r="D936" t="str">
            <v>840168540655</v>
          </cell>
          <cell r="E936" t="str">
            <v>Speck iPhone 16 Gemshell Grip +Ms Clear/Clear</v>
          </cell>
          <cell r="F936" t="str">
            <v>Cases iPhone</v>
          </cell>
          <cell r="G936" t="str">
            <v>iPhone 16</v>
          </cell>
          <cell r="H936" t="str">
            <v>iPhone 16</v>
          </cell>
          <cell r="I936">
            <v>447.71551724137936</v>
          </cell>
          <cell r="J936">
            <v>0.35</v>
          </cell>
          <cell r="K936">
            <v>799</v>
          </cell>
          <cell r="L936" t="str">
            <v>Mercado Libre</v>
          </cell>
          <cell r="M936" t="str">
            <v>Active</v>
          </cell>
          <cell r="N936" t="str">
            <v>150697-5085-M</v>
          </cell>
        </row>
        <row r="937">
          <cell r="A937" t="str">
            <v>Speck</v>
          </cell>
          <cell r="B937" t="str">
            <v>150225-9992</v>
          </cell>
          <cell r="C937" t="str">
            <v>150225-9992</v>
          </cell>
          <cell r="D937" t="str">
            <v>840168528127</v>
          </cell>
          <cell r="E937" t="str">
            <v>Speck Smartshell Case for Macbook Air 13" M2 2022 - Clear</v>
          </cell>
          <cell r="F937" t="str">
            <v>Cases Macbook</v>
          </cell>
          <cell r="G937" t="str">
            <v>Macbook</v>
          </cell>
          <cell r="H937" t="str">
            <v>MacBook Air 13" M4/M3/M2</v>
          </cell>
          <cell r="I937">
            <v>630.34482758620697</v>
          </cell>
          <cell r="J937">
            <v>0.26806806806806804</v>
          </cell>
          <cell r="K937">
            <v>999</v>
          </cell>
          <cell r="L937" t="str">
            <v>Mercado Libre</v>
          </cell>
          <cell r="M937" t="str">
            <v>Active</v>
          </cell>
          <cell r="N937" t="str">
            <v>150225-9992-M</v>
          </cell>
        </row>
        <row r="938">
          <cell r="A938" t="str">
            <v>Speck</v>
          </cell>
          <cell r="B938" t="str">
            <v>150225-3085</v>
          </cell>
          <cell r="C938" t="str">
            <v>150225-3085</v>
          </cell>
          <cell r="D938" t="str">
            <v>840168528134</v>
          </cell>
          <cell r="E938" t="str">
            <v>Speck Smartshell Case for Macbook Air 13" M2 2022 - Obsidian</v>
          </cell>
          <cell r="F938" t="str">
            <v>Cases Macbook</v>
          </cell>
          <cell r="G938" t="str">
            <v>Macbook</v>
          </cell>
          <cell r="H938" t="str">
            <v>MacBook Air 13" M4/M3/M2</v>
          </cell>
          <cell r="I938">
            <v>567.41379310344837</v>
          </cell>
          <cell r="J938">
            <v>0.34114114114114114</v>
          </cell>
          <cell r="K938">
            <v>999</v>
          </cell>
          <cell r="L938" t="str">
            <v>Mercado Libre</v>
          </cell>
          <cell r="M938" t="str">
            <v>Active</v>
          </cell>
          <cell r="N938" t="str">
            <v>150225-3085-M</v>
          </cell>
        </row>
        <row r="939">
          <cell r="A939" t="str">
            <v>Speck</v>
          </cell>
          <cell r="B939" t="str">
            <v>150584-9992</v>
          </cell>
          <cell r="C939" t="str">
            <v>150584-9992</v>
          </cell>
          <cell r="D939" t="str">
            <v>840168538638</v>
          </cell>
          <cell r="E939" t="str">
            <v>Speck Smartshell for Mackbook Air 15" - Clear/Sweater Grey</v>
          </cell>
          <cell r="F939" t="str">
            <v>Cases Macbook</v>
          </cell>
          <cell r="G939" t="str">
            <v>Macbook</v>
          </cell>
          <cell r="H939" t="str">
            <v>MacBook Air 15" M2/M3</v>
          </cell>
          <cell r="I939">
            <v>791.24</v>
          </cell>
          <cell r="J939">
            <v>0.26514139311449159</v>
          </cell>
          <cell r="K939">
            <v>1249</v>
          </cell>
          <cell r="L939" t="str">
            <v>Mercado Libre</v>
          </cell>
          <cell r="M939" t="str">
            <v>Active</v>
          </cell>
          <cell r="N939" t="str">
            <v>150584-9992-M</v>
          </cell>
        </row>
        <row r="940">
          <cell r="A940" t="str">
            <v>Speck</v>
          </cell>
          <cell r="B940" t="str">
            <v>144896-9352</v>
          </cell>
          <cell r="C940" t="str">
            <v>144896-9352</v>
          </cell>
          <cell r="D940" t="str">
            <v>840168516728</v>
          </cell>
          <cell r="E940" t="str">
            <v>Speck Smartshell Case with Microban for Macbook Pro 14" M1/M2 - Swell Blue</v>
          </cell>
          <cell r="F940" t="str">
            <v>Cases Macbook</v>
          </cell>
          <cell r="G940" t="str">
            <v>Macbook</v>
          </cell>
          <cell r="H940" t="str">
            <v>MacBook Pro 14" M1/M2 Cases</v>
          </cell>
          <cell r="I940">
            <v>567.41</v>
          </cell>
          <cell r="J940">
            <v>0.34114554554554566</v>
          </cell>
          <cell r="K940">
            <v>999</v>
          </cell>
          <cell r="L940" t="str">
            <v>Mercado Libre</v>
          </cell>
          <cell r="M940" t="str">
            <v>Active</v>
          </cell>
          <cell r="N940" t="str">
            <v>144896-9352-M</v>
          </cell>
        </row>
        <row r="941">
          <cell r="A941" t="str">
            <v>Speck</v>
          </cell>
          <cell r="B941" t="str">
            <v>150596-1212</v>
          </cell>
          <cell r="C941" t="str">
            <v>150596-1212</v>
          </cell>
          <cell r="D941" t="str">
            <v>840168538331</v>
          </cell>
          <cell r="E941" t="str">
            <v>Speck Tempered Glass iPhone15 Pro</v>
          </cell>
          <cell r="F941" t="str">
            <v>Micas</v>
          </cell>
          <cell r="G941" t="str">
            <v>iPhone 15</v>
          </cell>
          <cell r="H941" t="str">
            <v>iPhone 15 Pro</v>
          </cell>
          <cell r="I941">
            <v>439.88793103448279</v>
          </cell>
          <cell r="J941">
            <v>0.27</v>
          </cell>
          <cell r="K941">
            <v>699</v>
          </cell>
          <cell r="L941" t="str">
            <v>Mercado Libre</v>
          </cell>
          <cell r="M941" t="str">
            <v>Active</v>
          </cell>
          <cell r="N941" t="str">
            <v>150596-1212-M</v>
          </cell>
        </row>
        <row r="942">
          <cell r="A942" t="str">
            <v>Speck</v>
          </cell>
          <cell r="B942" t="str">
            <v>150598-1212</v>
          </cell>
          <cell r="C942" t="str">
            <v>150598-1212</v>
          </cell>
          <cell r="D942" t="str">
            <v>840168538355</v>
          </cell>
          <cell r="E942" t="str">
            <v>Speck Tempered Glass iPhone15 Pro Max</v>
          </cell>
          <cell r="F942" t="str">
            <v>Micas</v>
          </cell>
          <cell r="G942" t="str">
            <v>iPhone 15</v>
          </cell>
          <cell r="H942" t="str">
            <v>iPhone 15 Pro Max</v>
          </cell>
          <cell r="I942">
            <v>439.88793103448279</v>
          </cell>
          <cell r="J942">
            <v>0.27</v>
          </cell>
          <cell r="K942">
            <v>699</v>
          </cell>
          <cell r="L942" t="str">
            <v>Mercado Libre</v>
          </cell>
          <cell r="M942" t="str">
            <v>Active</v>
          </cell>
          <cell r="N942" t="str">
            <v>150598-1212-M</v>
          </cell>
        </row>
        <row r="943">
          <cell r="A943" t="str">
            <v>Speck</v>
          </cell>
          <cell r="B943" t="str">
            <v>150598-1212</v>
          </cell>
          <cell r="C943" t="str">
            <v>150598-1212</v>
          </cell>
          <cell r="D943" t="str">
            <v>840168538355</v>
          </cell>
          <cell r="E943" t="str">
            <v>Speck Tempered Glass iPhone15 Pro Max</v>
          </cell>
          <cell r="F943" t="str">
            <v>Micas</v>
          </cell>
          <cell r="G943" t="str">
            <v>iPhone 15</v>
          </cell>
          <cell r="H943" t="str">
            <v>iPhone 15 Pro Max</v>
          </cell>
          <cell r="I943">
            <v>0.01</v>
          </cell>
          <cell r="J943">
            <v>0.99998340486409154</v>
          </cell>
          <cell r="K943">
            <v>699</v>
          </cell>
          <cell r="L943" t="str">
            <v>Mercado Libre</v>
          </cell>
          <cell r="M943" t="str">
            <v>Active</v>
          </cell>
          <cell r="N943" t="str">
            <v>150598-1212-M</v>
          </cell>
        </row>
        <row r="944">
          <cell r="A944" t="str">
            <v>Tech21</v>
          </cell>
          <cell r="B944" t="str">
            <v>T21-10441</v>
          </cell>
          <cell r="C944" t="str">
            <v>T21-10441</v>
          </cell>
          <cell r="D944" t="str">
            <v>5056586724309</v>
          </cell>
          <cell r="E944" t="str">
            <v>Tech21 EvoLite for iPhone 15 - Lavender</v>
          </cell>
          <cell r="F944" t="str">
            <v>Cases iPhone</v>
          </cell>
          <cell r="G944" t="str">
            <v>iPhone 15</v>
          </cell>
          <cell r="H944" t="str">
            <v>iPhone 16e / 15 / 14 / 13</v>
          </cell>
          <cell r="I944">
            <v>279.61206896551727</v>
          </cell>
          <cell r="J944">
            <v>0.35</v>
          </cell>
          <cell r="K944">
            <v>499</v>
          </cell>
          <cell r="L944" t="str">
            <v>Mercado Libre</v>
          </cell>
          <cell r="M944" t="str">
            <v>Active</v>
          </cell>
          <cell r="N944" t="str">
            <v>T21-10441</v>
          </cell>
        </row>
        <row r="945">
          <cell r="A945" t="str">
            <v>Tech21</v>
          </cell>
          <cell r="B945" t="str">
            <v>T21-10857</v>
          </cell>
          <cell r="C945" t="str">
            <v>T21-10857</v>
          </cell>
          <cell r="D945" t="str">
            <v>5056586735251</v>
          </cell>
          <cell r="E945" t="str">
            <v>Tech21 EvoCrystal w/MagSafe for iPhone 16  - Black</v>
          </cell>
          <cell r="F945" t="str">
            <v>Cases iPhone</v>
          </cell>
          <cell r="G945" t="str">
            <v>iPhone 16</v>
          </cell>
          <cell r="H945" t="str">
            <v>iPhone 16</v>
          </cell>
          <cell r="I945">
            <v>559.7844827586207</v>
          </cell>
          <cell r="J945">
            <v>0.35000000000000009</v>
          </cell>
          <cell r="K945">
            <v>999</v>
          </cell>
          <cell r="L945" t="str">
            <v>Mercado Libre</v>
          </cell>
          <cell r="M945" t="str">
            <v>Active</v>
          </cell>
          <cell r="N945" t="str">
            <v>T21-10857</v>
          </cell>
        </row>
        <row r="946">
          <cell r="A946" t="str">
            <v>Tech21</v>
          </cell>
          <cell r="B946" t="str">
            <v>T21-10858</v>
          </cell>
          <cell r="C946" t="str">
            <v>T21-10858</v>
          </cell>
          <cell r="D946" t="str">
            <v>5056586735282</v>
          </cell>
          <cell r="E946" t="str">
            <v>Tech21 EvoCrystal w/MagSafe for iPhone 16 - Blue</v>
          </cell>
          <cell r="F946" t="str">
            <v>Cases iPhone</v>
          </cell>
          <cell r="G946" t="str">
            <v>iPhone 16</v>
          </cell>
          <cell r="H946" t="str">
            <v>iPhone 16</v>
          </cell>
          <cell r="I946">
            <v>559.7844827586207</v>
          </cell>
          <cell r="J946">
            <v>0.35000000000000009</v>
          </cell>
          <cell r="K946">
            <v>999</v>
          </cell>
          <cell r="L946" t="str">
            <v>Mercado Libre</v>
          </cell>
          <cell r="M946" t="str">
            <v>Active</v>
          </cell>
          <cell r="N946" t="str">
            <v>T21-10858</v>
          </cell>
        </row>
        <row r="947">
          <cell r="A947" t="str">
            <v>Tech21</v>
          </cell>
          <cell r="B947" t="str">
            <v>T21-10860</v>
          </cell>
          <cell r="C947" t="str">
            <v>T21-10860</v>
          </cell>
          <cell r="D947" t="str">
            <v>5056586735343</v>
          </cell>
          <cell r="E947" t="str">
            <v>Tech21 EvoCrystal w/MagSafe for iPhone 16 - Pink</v>
          </cell>
          <cell r="F947" t="str">
            <v>Cases iPhone</v>
          </cell>
          <cell r="G947" t="str">
            <v>iPhone 16</v>
          </cell>
          <cell r="H947" t="str">
            <v>iPhone 16</v>
          </cell>
          <cell r="I947">
            <v>559.7844827586207</v>
          </cell>
          <cell r="J947">
            <v>0.35000000000000009</v>
          </cell>
          <cell r="K947">
            <v>999</v>
          </cell>
          <cell r="L947" t="str">
            <v>Mercado Libre</v>
          </cell>
          <cell r="M947" t="str">
            <v>Active</v>
          </cell>
          <cell r="N947" t="str">
            <v>T21-10860</v>
          </cell>
        </row>
        <row r="948">
          <cell r="A948" t="str">
            <v>Tech21</v>
          </cell>
          <cell r="B948" t="str">
            <v>T21-10909</v>
          </cell>
          <cell r="C948" t="str">
            <v>T21-10909</v>
          </cell>
          <cell r="D948" t="str">
            <v>5056586736814</v>
          </cell>
          <cell r="E948" t="str">
            <v>Tech21 EvoClear w/MagSafe for iPhone 16 Plus - Clear</v>
          </cell>
          <cell r="F948" t="str">
            <v>Cases iPhone</v>
          </cell>
          <cell r="G948" t="str">
            <v>iPhone 16</v>
          </cell>
          <cell r="H948" t="str">
            <v>iPhone 16 Plus</v>
          </cell>
          <cell r="I948">
            <v>559.7844827586207</v>
          </cell>
          <cell r="J948">
            <v>0.35000000000000009</v>
          </cell>
          <cell r="K948">
            <v>999</v>
          </cell>
          <cell r="L948" t="str">
            <v>Mercado Libre</v>
          </cell>
          <cell r="M948" t="str">
            <v>Active</v>
          </cell>
          <cell r="N948" t="str">
            <v>T21-10909-M</v>
          </cell>
        </row>
        <row r="949">
          <cell r="A949" t="str">
            <v>Tech21</v>
          </cell>
          <cell r="B949" t="str">
            <v>T21-10976</v>
          </cell>
          <cell r="C949" t="str">
            <v>T21-10976</v>
          </cell>
          <cell r="D949" t="str">
            <v>5056586738825</v>
          </cell>
          <cell r="E949" t="str">
            <v>Tech21 EvoCrystal w/MagSafe for iPhone 16 Pro - Blue</v>
          </cell>
          <cell r="F949" t="str">
            <v>Cases iPhone</v>
          </cell>
          <cell r="G949" t="str">
            <v>iPhone 16</v>
          </cell>
          <cell r="H949" t="str">
            <v>iPhone 16 Pro / iPhone 17</v>
          </cell>
          <cell r="I949">
            <v>559.7844827586207</v>
          </cell>
          <cell r="J949">
            <v>0.35000000000000009</v>
          </cell>
          <cell r="K949">
            <v>999</v>
          </cell>
          <cell r="L949" t="str">
            <v>Mercado Libre</v>
          </cell>
          <cell r="M949" t="str">
            <v>Active</v>
          </cell>
          <cell r="N949" t="str">
            <v>T21-10976</v>
          </cell>
        </row>
        <row r="950">
          <cell r="A950" t="str">
            <v>Tech21</v>
          </cell>
          <cell r="B950" t="str">
            <v>T21-10992</v>
          </cell>
          <cell r="C950" t="str">
            <v>T21-10992</v>
          </cell>
          <cell r="D950" t="str">
            <v>5056586739303</v>
          </cell>
          <cell r="E950" t="str">
            <v>Tech21 EvoPro w/MagSafe for iPhone 16 Pro - Clear/Black</v>
          </cell>
          <cell r="F950" t="str">
            <v>Cases iPhone</v>
          </cell>
          <cell r="G950" t="str">
            <v>iPhone 16</v>
          </cell>
          <cell r="H950" t="str">
            <v>iPhone 16 Pro / iPhone 17</v>
          </cell>
          <cell r="I950">
            <v>671.85344827586221</v>
          </cell>
          <cell r="J950">
            <v>0.34999999999999987</v>
          </cell>
          <cell r="K950">
            <v>1199</v>
          </cell>
          <cell r="L950" t="str">
            <v>Mercado Libre</v>
          </cell>
          <cell r="M950" t="str">
            <v>Active</v>
          </cell>
          <cell r="N950" t="str">
            <v>T21-10992</v>
          </cell>
        </row>
        <row r="951">
          <cell r="A951" t="str">
            <v>Tech21</v>
          </cell>
          <cell r="B951" t="str">
            <v>T21-10989</v>
          </cell>
          <cell r="C951" t="str">
            <v>T21-10989</v>
          </cell>
          <cell r="D951" t="str">
            <v>5056586739211</v>
          </cell>
          <cell r="E951" t="str">
            <v>Tech21 EvoPro w/MagSafe for iPhone 16 Pro - Clear iPhone 16 Pro</v>
          </cell>
          <cell r="F951" t="str">
            <v>Cases iPhone</v>
          </cell>
          <cell r="G951" t="str">
            <v>iPhone 16</v>
          </cell>
          <cell r="H951" t="str">
            <v>iPhone 16 Pro / iPhone 17</v>
          </cell>
          <cell r="I951">
            <v>671.85344827586221</v>
          </cell>
          <cell r="J951">
            <v>0.34999999999999987</v>
          </cell>
          <cell r="K951">
            <v>1199</v>
          </cell>
          <cell r="L951" t="str">
            <v>Mercado Libre</v>
          </cell>
          <cell r="M951" t="str">
            <v>Active</v>
          </cell>
          <cell r="N951" t="str">
            <v>T21-10989</v>
          </cell>
        </row>
        <row r="952">
          <cell r="A952" t="str">
            <v>Tech21</v>
          </cell>
          <cell r="B952" t="str">
            <v>T21-10975</v>
          </cell>
          <cell r="C952" t="str">
            <v>T21-10975</v>
          </cell>
          <cell r="D952" t="str">
            <v>5056586738795</v>
          </cell>
          <cell r="E952" t="str">
            <v>Tech21 EvoCrystal w/MagSafe for iPhone 16 Pro  - Black</v>
          </cell>
          <cell r="F952" t="str">
            <v>Cases iPhone</v>
          </cell>
          <cell r="G952" t="str">
            <v>iPhone 16</v>
          </cell>
          <cell r="H952" t="str">
            <v>iPhone 16 Pro / iPhone 17</v>
          </cell>
          <cell r="I952">
            <v>559.7844827586207</v>
          </cell>
          <cell r="J952">
            <v>0.35000000000000009</v>
          </cell>
          <cell r="K952">
            <v>999</v>
          </cell>
          <cell r="L952" t="str">
            <v>Mercado Libre</v>
          </cell>
          <cell r="M952" t="str">
            <v>Active</v>
          </cell>
          <cell r="N952" t="str">
            <v>T21-10975</v>
          </cell>
        </row>
        <row r="953">
          <cell r="A953" t="str">
            <v>Tech21</v>
          </cell>
          <cell r="B953" t="str">
            <v>T21-11048</v>
          </cell>
          <cell r="C953" t="str">
            <v>T21-11048</v>
          </cell>
          <cell r="D953" t="str">
            <v>5056586740989</v>
          </cell>
          <cell r="E953" t="str">
            <v>Tech21 EvoPro w/MagSafe for iPhone 16 Pro Max - Clear</v>
          </cell>
          <cell r="F953" t="str">
            <v>Cases iPhone</v>
          </cell>
          <cell r="G953" t="str">
            <v>iPhone 16</v>
          </cell>
          <cell r="H953" t="str">
            <v>iPhone 16 Pro Max</v>
          </cell>
          <cell r="I953">
            <v>671.85344827586221</v>
          </cell>
          <cell r="J953">
            <v>0.34999999999999987</v>
          </cell>
          <cell r="K953">
            <v>1199</v>
          </cell>
          <cell r="L953" t="str">
            <v>Mercado Libre</v>
          </cell>
          <cell r="M953" t="str">
            <v>Active</v>
          </cell>
          <cell r="N953" t="str">
            <v>T21-11048</v>
          </cell>
        </row>
        <row r="954">
          <cell r="A954" t="str">
            <v>Tech21</v>
          </cell>
          <cell r="B954" t="str">
            <v>T21-11035</v>
          </cell>
          <cell r="C954" t="str">
            <v>T21-11035</v>
          </cell>
          <cell r="D954" t="str">
            <v>5056586740590</v>
          </cell>
          <cell r="E954" t="str">
            <v>Tech21 EvoCrystal w/MagSafe for iPhone 16 Pro Max - Blue</v>
          </cell>
          <cell r="F954" t="str">
            <v>Cases iPhone</v>
          </cell>
          <cell r="G954" t="str">
            <v>iPhone 16</v>
          </cell>
          <cell r="H954" t="str">
            <v>iPhone 16 Pro Max</v>
          </cell>
          <cell r="I954">
            <v>559.7844827586207</v>
          </cell>
          <cell r="J954">
            <v>0.35000000000000009</v>
          </cell>
          <cell r="K954">
            <v>999</v>
          </cell>
          <cell r="L954" t="str">
            <v>Mercado Libre</v>
          </cell>
          <cell r="M954" t="str">
            <v>Active</v>
          </cell>
          <cell r="N954" t="str">
            <v>T21-11035</v>
          </cell>
        </row>
        <row r="955">
          <cell r="A955" t="str">
            <v>Tech21</v>
          </cell>
          <cell r="B955" t="str">
            <v>T21-11051</v>
          </cell>
          <cell r="C955" t="str">
            <v>T21-11051</v>
          </cell>
          <cell r="D955" t="str">
            <v>5056586741078</v>
          </cell>
          <cell r="E955" t="str">
            <v>Tech21 EvoPro w/MagSafe for iPhone 16 Pro Max - Clear/Black</v>
          </cell>
          <cell r="F955" t="str">
            <v>Cases iPhone</v>
          </cell>
          <cell r="G955" t="str">
            <v>iPhone 16</v>
          </cell>
          <cell r="H955" t="str">
            <v>iPhone 16 Pro Max</v>
          </cell>
          <cell r="I955">
            <v>671.85344827586221</v>
          </cell>
          <cell r="J955">
            <v>0.34999999999999987</v>
          </cell>
          <cell r="K955">
            <v>1199</v>
          </cell>
          <cell r="L955" t="str">
            <v>Mercado Libre</v>
          </cell>
          <cell r="M955" t="str">
            <v>Active</v>
          </cell>
          <cell r="N955" t="str">
            <v>T21-11051</v>
          </cell>
        </row>
        <row r="956">
          <cell r="A956" t="str">
            <v>Tech21</v>
          </cell>
          <cell r="B956" t="str">
            <v>T21-11034</v>
          </cell>
          <cell r="C956" t="str">
            <v>T21-11034</v>
          </cell>
          <cell r="D956" t="str">
            <v>5056586740569</v>
          </cell>
          <cell r="E956" t="str">
            <v>Tech21 EvoCrystal w/MagSafe for iPhone 16 Pro Max - Black</v>
          </cell>
          <cell r="F956" t="str">
            <v>Cases iPhone</v>
          </cell>
          <cell r="G956" t="str">
            <v>iPhone 16</v>
          </cell>
          <cell r="H956" t="str">
            <v>iPhone 16 Pro Max</v>
          </cell>
          <cell r="I956">
            <v>559.7844827586207</v>
          </cell>
          <cell r="J956">
            <v>0.35000000000000009</v>
          </cell>
          <cell r="K956">
            <v>999</v>
          </cell>
          <cell r="L956" t="str">
            <v>Mercado Libre</v>
          </cell>
          <cell r="M956" t="str">
            <v>Active</v>
          </cell>
          <cell r="N956" t="str">
            <v>T21-11034</v>
          </cell>
        </row>
        <row r="957">
          <cell r="A957" t="str">
            <v>Cubitt</v>
          </cell>
          <cell r="B957">
            <v>620449</v>
          </cell>
          <cell r="C957" t="str">
            <v>CTE-1</v>
          </cell>
          <cell r="D957" t="str">
            <v>715834798510</v>
          </cell>
          <cell r="E957" t="str">
            <v>CTE Headphones Obsidian Black</v>
          </cell>
          <cell r="F957" t="str">
            <v>Audio</v>
          </cell>
          <cell r="G957" t="str">
            <v>Headphones Wireless</v>
          </cell>
          <cell r="H957" t="str">
            <v>CTE</v>
          </cell>
          <cell r="I957">
            <v>503.75</v>
          </cell>
          <cell r="J957">
            <v>0.35000000000000009</v>
          </cell>
          <cell r="K957">
            <v>899</v>
          </cell>
          <cell r="L957" t="str">
            <v>Areas</v>
          </cell>
          <cell r="M957" t="str">
            <v>Discontinued</v>
          </cell>
          <cell r="N957" t="str">
            <v>CTE-1</v>
          </cell>
        </row>
        <row r="958">
          <cell r="A958" t="str">
            <v>Cubitt</v>
          </cell>
          <cell r="B958">
            <v>620450</v>
          </cell>
          <cell r="C958" t="str">
            <v>CTE-7</v>
          </cell>
          <cell r="D958" t="str">
            <v>715834798527</v>
          </cell>
          <cell r="E958" t="str">
            <v>CTE Headphones Alpine White</v>
          </cell>
          <cell r="F958" t="str">
            <v>Audio</v>
          </cell>
          <cell r="G958" t="str">
            <v>Headphones Wireless</v>
          </cell>
          <cell r="H958" t="str">
            <v>CTE</v>
          </cell>
          <cell r="I958">
            <v>559.78</v>
          </cell>
          <cell r="J958">
            <v>0.27770322580645168</v>
          </cell>
          <cell r="K958">
            <v>899</v>
          </cell>
          <cell r="L958" t="str">
            <v>Areas</v>
          </cell>
          <cell r="M958" t="str">
            <v>Discontinued</v>
          </cell>
          <cell r="N958" t="str">
            <v>CTE-7</v>
          </cell>
        </row>
        <row r="959">
          <cell r="A959" t="str">
            <v>Cubitt</v>
          </cell>
          <cell r="B959">
            <v>624659</v>
          </cell>
          <cell r="C959" t="str">
            <v>CT-SOUND1</v>
          </cell>
          <cell r="D959" t="str">
            <v>608011863241</v>
          </cell>
          <cell r="E959" t="str">
            <v>Cubitt Waterproof Speakers Black</v>
          </cell>
          <cell r="F959" t="str">
            <v>Audio</v>
          </cell>
          <cell r="G959" t="str">
            <v>Speakers</v>
          </cell>
          <cell r="H959" t="str">
            <v>Cubitt</v>
          </cell>
          <cell r="I959">
            <v>671.85</v>
          </cell>
          <cell r="J959">
            <v>0.35000333611342782</v>
          </cell>
          <cell r="K959">
            <v>1199</v>
          </cell>
          <cell r="L959" t="str">
            <v>Areas</v>
          </cell>
          <cell r="M959" t="str">
            <v>Discontinued</v>
          </cell>
          <cell r="N959" t="str">
            <v>CT-SOUND1</v>
          </cell>
        </row>
        <row r="960">
          <cell r="A960" t="str">
            <v>Cubitt</v>
          </cell>
          <cell r="B960">
            <v>624660</v>
          </cell>
          <cell r="C960" t="str">
            <v>CT-SOUND8</v>
          </cell>
          <cell r="D960" t="str">
            <v>608011863272</v>
          </cell>
          <cell r="E960" t="str">
            <v>Cubitt Waterproof Speakers White</v>
          </cell>
          <cell r="F960" t="str">
            <v>Audio</v>
          </cell>
          <cell r="G960" t="str">
            <v>Speakers</v>
          </cell>
          <cell r="H960" t="str">
            <v>Cubitt</v>
          </cell>
          <cell r="I960">
            <v>671.85</v>
          </cell>
          <cell r="J960">
            <v>0.35000333611342782</v>
          </cell>
          <cell r="K960">
            <v>1199</v>
          </cell>
          <cell r="L960" t="str">
            <v>Areas</v>
          </cell>
          <cell r="M960" t="str">
            <v>Discontinued</v>
          </cell>
          <cell r="N960" t="str">
            <v>CT-SOUND8</v>
          </cell>
        </row>
        <row r="961">
          <cell r="A961" t="str">
            <v>Cubitt</v>
          </cell>
          <cell r="B961">
            <v>620445</v>
          </cell>
          <cell r="C961" t="str">
            <v>CT2P2-11</v>
          </cell>
          <cell r="D961" t="str">
            <v>719284924284</v>
          </cell>
          <cell r="E961" t="str">
            <v>Cubitt CT2P Obsidian Black</v>
          </cell>
          <cell r="F961" t="str">
            <v>Wearable</v>
          </cell>
          <cell r="G961" t="str">
            <v>Smartwatch</v>
          </cell>
          <cell r="H961" t="str">
            <v>CT2P2</v>
          </cell>
          <cell r="I961">
            <v>1344.27</v>
          </cell>
          <cell r="J961">
            <v>0.3499986661108796</v>
          </cell>
          <cell r="K961">
            <v>2399</v>
          </cell>
          <cell r="L961" t="str">
            <v>Areas</v>
          </cell>
          <cell r="M961" t="str">
            <v>Discontinued</v>
          </cell>
          <cell r="N961" t="str">
            <v>CT2P2-11</v>
          </cell>
        </row>
        <row r="962">
          <cell r="A962" t="str">
            <v>Cubitt</v>
          </cell>
          <cell r="B962">
            <v>620446</v>
          </cell>
          <cell r="C962" t="str">
            <v>CT2P2-55</v>
          </cell>
          <cell r="D962" t="str">
            <v>719284924314</v>
          </cell>
          <cell r="E962" t="str">
            <v>Cubitt CT2P Rose Gold</v>
          </cell>
          <cell r="F962" t="str">
            <v>Wearable</v>
          </cell>
          <cell r="G962" t="str">
            <v>Smartwatch</v>
          </cell>
          <cell r="H962" t="str">
            <v>CT2P2</v>
          </cell>
          <cell r="I962">
            <v>1344.27</v>
          </cell>
          <cell r="J962">
            <v>0.3499986661108796</v>
          </cell>
          <cell r="K962">
            <v>2399</v>
          </cell>
          <cell r="L962" t="str">
            <v>Areas</v>
          </cell>
          <cell r="M962" t="str">
            <v>Discontinued</v>
          </cell>
          <cell r="N962" t="str">
            <v>CT2P2-55</v>
          </cell>
        </row>
        <row r="963">
          <cell r="A963" t="str">
            <v>Cubitt</v>
          </cell>
          <cell r="B963">
            <v>620443</v>
          </cell>
          <cell r="C963" t="str">
            <v>CT2S2-11</v>
          </cell>
          <cell r="D963" t="str">
            <v>719284924239</v>
          </cell>
          <cell r="E963" t="str">
            <v>Cubitt CT2 Black</v>
          </cell>
          <cell r="F963" t="str">
            <v>Wearable</v>
          </cell>
          <cell r="G963" t="str">
            <v>Smartwatch</v>
          </cell>
          <cell r="H963" t="str">
            <v>CT2S2</v>
          </cell>
          <cell r="I963">
            <v>952.03</v>
          </cell>
          <cell r="J963">
            <v>0.34999717480871106</v>
          </cell>
          <cell r="K963">
            <v>1699</v>
          </cell>
          <cell r="L963" t="str">
            <v>Areas</v>
          </cell>
          <cell r="M963" t="str">
            <v>Discontinued</v>
          </cell>
          <cell r="N963" t="str">
            <v>CT2S2-11</v>
          </cell>
        </row>
        <row r="964">
          <cell r="A964" t="str">
            <v>Cubitt</v>
          </cell>
          <cell r="B964">
            <v>620444</v>
          </cell>
          <cell r="C964" t="str">
            <v>CT2S2-55</v>
          </cell>
          <cell r="D964" t="str">
            <v>719284924277</v>
          </cell>
          <cell r="E964" t="str">
            <v>Cubitt CT2 Rose Gold</v>
          </cell>
          <cell r="F964" t="str">
            <v>Wearable</v>
          </cell>
          <cell r="G964" t="str">
            <v>Smartwatch</v>
          </cell>
          <cell r="H964" t="str">
            <v>CT2S2</v>
          </cell>
          <cell r="I964">
            <v>952.03</v>
          </cell>
          <cell r="J964">
            <v>0.34999717480871106</v>
          </cell>
          <cell r="K964">
            <v>1699</v>
          </cell>
          <cell r="L964" t="str">
            <v>Areas</v>
          </cell>
          <cell r="M964" t="str">
            <v>Discontinued</v>
          </cell>
          <cell r="N964" t="str">
            <v>CT2S2-55</v>
          </cell>
        </row>
        <row r="965">
          <cell r="A965" t="str">
            <v>Cubitt</v>
          </cell>
          <cell r="B965">
            <v>620447</v>
          </cell>
          <cell r="C965" t="str">
            <v>CT4-11</v>
          </cell>
          <cell r="D965" t="str">
            <v>719284923867</v>
          </cell>
          <cell r="E965" t="str">
            <v>Cubitt CT4 Black</v>
          </cell>
          <cell r="F965" t="str">
            <v>Wearable</v>
          </cell>
          <cell r="G965" t="str">
            <v>Smartwatch</v>
          </cell>
          <cell r="H965" t="str">
            <v>CT4</v>
          </cell>
          <cell r="I965">
            <v>1344.27</v>
          </cell>
          <cell r="J965">
            <v>0.3499986661108796</v>
          </cell>
          <cell r="K965">
            <v>2399</v>
          </cell>
          <cell r="L965" t="str">
            <v>Areas</v>
          </cell>
          <cell r="M965" t="str">
            <v>Discontinued</v>
          </cell>
          <cell r="N965" t="str">
            <v>CT4-11</v>
          </cell>
        </row>
        <row r="966">
          <cell r="A966" t="str">
            <v>Cubitt</v>
          </cell>
          <cell r="B966" t="str">
            <v>620448</v>
          </cell>
          <cell r="C966" t="str">
            <v>CT4-55</v>
          </cell>
          <cell r="D966" t="str">
            <v>719284923881</v>
          </cell>
          <cell r="E966" t="str">
            <v>Cubitt CT4 Pink</v>
          </cell>
          <cell r="F966" t="str">
            <v>Wearable</v>
          </cell>
          <cell r="G966" t="str">
            <v>Smartwatch</v>
          </cell>
          <cell r="H966" t="str">
            <v>CT4</v>
          </cell>
          <cell r="I966">
            <v>1344.27</v>
          </cell>
          <cell r="J966">
            <v>0.3499986661108796</v>
          </cell>
          <cell r="K966">
            <v>2399</v>
          </cell>
          <cell r="L966" t="str">
            <v>Areas</v>
          </cell>
          <cell r="M966" t="str">
            <v>Discontinued</v>
          </cell>
          <cell r="N966" t="str">
            <v>CT4-55</v>
          </cell>
        </row>
        <row r="967">
          <cell r="A967" t="str">
            <v>Cubitt</v>
          </cell>
          <cell r="B967">
            <v>620451</v>
          </cell>
          <cell r="C967" t="str">
            <v>CTJR-3</v>
          </cell>
          <cell r="D967" t="str">
            <v>719284924116</v>
          </cell>
          <cell r="E967" t="str">
            <v>Cubitt Jr Kids Green</v>
          </cell>
          <cell r="F967" t="str">
            <v>Wearable</v>
          </cell>
          <cell r="G967" t="str">
            <v>Smartwatch</v>
          </cell>
          <cell r="H967" t="str">
            <v>CTJR</v>
          </cell>
          <cell r="I967">
            <v>895.99</v>
          </cell>
          <cell r="J967">
            <v>0.35000100062539097</v>
          </cell>
          <cell r="K967">
            <v>1599</v>
          </cell>
          <cell r="L967" t="str">
            <v>Areas</v>
          </cell>
          <cell r="M967" t="str">
            <v>Discontinued</v>
          </cell>
          <cell r="N967" t="str">
            <v>CTJR-3</v>
          </cell>
        </row>
        <row r="968">
          <cell r="A968" t="str">
            <v>Cubitt</v>
          </cell>
          <cell r="B968">
            <v>620452</v>
          </cell>
          <cell r="C968" t="str">
            <v>CTJR-2</v>
          </cell>
          <cell r="D968" t="str">
            <v>719284924154</v>
          </cell>
          <cell r="E968" t="str">
            <v>Cubitt Jr Kids Blue</v>
          </cell>
          <cell r="F968" t="str">
            <v>Wearable</v>
          </cell>
          <cell r="G968" t="str">
            <v>Smartwatch</v>
          </cell>
          <cell r="H968" t="str">
            <v>CTJR</v>
          </cell>
          <cell r="I968">
            <v>895.99</v>
          </cell>
          <cell r="J968">
            <v>0.35000100062539097</v>
          </cell>
          <cell r="K968">
            <v>1599</v>
          </cell>
          <cell r="L968" t="str">
            <v>Areas</v>
          </cell>
          <cell r="M968" t="str">
            <v>Discontinued</v>
          </cell>
          <cell r="N968" t="str">
            <v>CTJR-2</v>
          </cell>
        </row>
        <row r="969">
          <cell r="A969" t="str">
            <v>Empaque nuevo</v>
          </cell>
          <cell r="B969">
            <v>620438</v>
          </cell>
          <cell r="C969" t="str">
            <v>MEA5002</v>
          </cell>
          <cell r="D969" t="str">
            <v>846537037450</v>
          </cell>
          <cell r="E969" t="str">
            <v>Quikcell 3.5mm Stereo Handsfree, Retail Packaging -Pink</v>
          </cell>
          <cell r="F969" t="str">
            <v>Audio</v>
          </cell>
          <cell r="G969" t="str">
            <v>HEADPHONES</v>
          </cell>
          <cell r="H969" t="str">
            <v>3.5MM</v>
          </cell>
          <cell r="I969">
            <v>51.72</v>
          </cell>
          <cell r="J969">
            <v>0.40004800000000007</v>
          </cell>
          <cell r="K969">
            <v>100</v>
          </cell>
          <cell r="L969" t="str">
            <v>Areas</v>
          </cell>
          <cell r="M969" t="str">
            <v>Discontinued</v>
          </cell>
          <cell r="N969" t="str">
            <v>MEA5002-M</v>
          </cell>
        </row>
        <row r="970">
          <cell r="A970" t="str">
            <v>Empaque nuevo</v>
          </cell>
          <cell r="B970">
            <v>620439</v>
          </cell>
          <cell r="C970" t="str">
            <v>MEA5003</v>
          </cell>
          <cell r="D970" t="str">
            <v>846537037443</v>
          </cell>
          <cell r="E970" t="str">
            <v>Quikcell 3.5mm Stereo Handsfree, Retail Packaging -Blue</v>
          </cell>
          <cell r="F970" t="str">
            <v>Audio</v>
          </cell>
          <cell r="G970" t="str">
            <v>HEADPHONES</v>
          </cell>
          <cell r="H970" t="str">
            <v>3.5MM</v>
          </cell>
          <cell r="I970">
            <v>51.72</v>
          </cell>
          <cell r="J970">
            <v>0.40004800000000007</v>
          </cell>
          <cell r="K970">
            <v>100</v>
          </cell>
          <cell r="L970" t="str">
            <v>Areas</v>
          </cell>
          <cell r="M970" t="str">
            <v>Discontinued</v>
          </cell>
          <cell r="N970" t="str">
            <v>MEA5003-M</v>
          </cell>
        </row>
        <row r="971">
          <cell r="A971" t="str">
            <v>Empaque nuevo</v>
          </cell>
          <cell r="B971">
            <v>620440</v>
          </cell>
          <cell r="C971" t="str">
            <v>MEA5004</v>
          </cell>
          <cell r="D971" t="str">
            <v>846537037467</v>
          </cell>
          <cell r="E971" t="str">
            <v>Quikcell 3.5mm Stereo Handsfree, Retail Packaging -Purple</v>
          </cell>
          <cell r="F971" t="str">
            <v>Audio</v>
          </cell>
          <cell r="G971" t="str">
            <v>HEADPHONES</v>
          </cell>
          <cell r="H971" t="str">
            <v>3.5MM</v>
          </cell>
          <cell r="I971">
            <v>51.72</v>
          </cell>
          <cell r="J971">
            <v>0.40004800000000007</v>
          </cell>
          <cell r="K971">
            <v>100</v>
          </cell>
          <cell r="L971" t="str">
            <v>Areas</v>
          </cell>
          <cell r="M971" t="str">
            <v>Discontinued</v>
          </cell>
          <cell r="N971" t="str">
            <v>MEA5004-M</v>
          </cell>
        </row>
        <row r="972">
          <cell r="A972" t="str">
            <v>Empaque nuevo</v>
          </cell>
          <cell r="B972">
            <v>620441</v>
          </cell>
          <cell r="C972" t="str">
            <v>MEA5001</v>
          </cell>
          <cell r="D972" t="str">
            <v>846537037436</v>
          </cell>
          <cell r="E972" t="str">
            <v>Quikcell 3.5mm Stereo Handsfree, Retail Packaging -Black</v>
          </cell>
          <cell r="F972" t="str">
            <v>Audio</v>
          </cell>
          <cell r="G972" t="str">
            <v>HEADPHONES</v>
          </cell>
          <cell r="H972" t="str">
            <v>3.5MM</v>
          </cell>
          <cell r="I972">
            <v>51.72</v>
          </cell>
          <cell r="J972">
            <v>0.40004800000000007</v>
          </cell>
          <cell r="K972">
            <v>100</v>
          </cell>
          <cell r="L972" t="str">
            <v>Areas</v>
          </cell>
          <cell r="M972" t="str">
            <v>Discontinued</v>
          </cell>
          <cell r="N972" t="str">
            <v>MEA5001-M</v>
          </cell>
        </row>
        <row r="973">
          <cell r="A973" t="str">
            <v>Empaque nuevo</v>
          </cell>
          <cell r="B973">
            <v>620434</v>
          </cell>
          <cell r="C973" t="str">
            <v>MCL5002</v>
          </cell>
          <cell r="D973" t="str">
            <v>846537036064</v>
          </cell>
          <cell r="E973" t="str">
            <v>Quikcell Lighting Cable 3ft-Pink</v>
          </cell>
          <cell r="F973" t="str">
            <v>Cables</v>
          </cell>
          <cell r="G973" t="str">
            <v>Lightning</v>
          </cell>
          <cell r="H973" t="str">
            <v>3 ft</v>
          </cell>
          <cell r="I973">
            <v>118.45</v>
          </cell>
          <cell r="J973">
            <v>0.39999126637554594</v>
          </cell>
          <cell r="K973">
            <v>229</v>
          </cell>
          <cell r="L973" t="str">
            <v>Areas</v>
          </cell>
          <cell r="M973" t="str">
            <v>Discontinued</v>
          </cell>
          <cell r="N973" t="str">
            <v>MCL5002-M</v>
          </cell>
        </row>
        <row r="974">
          <cell r="A974" t="str">
            <v>Empaque nuevo</v>
          </cell>
          <cell r="B974">
            <v>620435</v>
          </cell>
          <cell r="C974" t="str">
            <v>MCL5003</v>
          </cell>
          <cell r="D974" t="str">
            <v>846537036071</v>
          </cell>
          <cell r="E974" t="str">
            <v>Quikcell Lighting Cable 3ft-White</v>
          </cell>
          <cell r="F974" t="str">
            <v>Cables</v>
          </cell>
          <cell r="G974" t="str">
            <v>Lightning</v>
          </cell>
          <cell r="H974" t="str">
            <v>3 ft</v>
          </cell>
          <cell r="I974">
            <v>118.45</v>
          </cell>
          <cell r="J974">
            <v>0.39999126637554594</v>
          </cell>
          <cell r="K974">
            <v>229</v>
          </cell>
          <cell r="L974" t="str">
            <v>Areas</v>
          </cell>
          <cell r="M974" t="str">
            <v>Discontinued</v>
          </cell>
          <cell r="N974" t="str">
            <v>MCL5003-M</v>
          </cell>
        </row>
        <row r="975">
          <cell r="A975" t="str">
            <v>Empaque nuevo</v>
          </cell>
          <cell r="B975">
            <v>620436</v>
          </cell>
          <cell r="C975" t="str">
            <v>MCL5005</v>
          </cell>
          <cell r="D975" t="str">
            <v>846537036095</v>
          </cell>
          <cell r="E975" t="str">
            <v>Quikcell Lighting Cable 6ft-Pink</v>
          </cell>
          <cell r="F975" t="str">
            <v>Cables</v>
          </cell>
          <cell r="G975" t="str">
            <v>Lightning</v>
          </cell>
          <cell r="H975" t="str">
            <v>6 ft</v>
          </cell>
          <cell r="I975">
            <v>128.79</v>
          </cell>
          <cell r="J975">
            <v>0.40001445783132539</v>
          </cell>
          <cell r="K975">
            <v>249</v>
          </cell>
          <cell r="L975" t="str">
            <v>Areas</v>
          </cell>
          <cell r="M975" t="str">
            <v>Discontinued</v>
          </cell>
          <cell r="N975" t="str">
            <v>MCL5005-M</v>
          </cell>
        </row>
        <row r="976">
          <cell r="A976" t="str">
            <v>Empaque nuevo</v>
          </cell>
          <cell r="B976">
            <v>620437</v>
          </cell>
          <cell r="C976" t="str">
            <v>MCL5006</v>
          </cell>
          <cell r="D976" t="str">
            <v>846537036101</v>
          </cell>
          <cell r="E976" t="str">
            <v>Quikcell Lighting Cable 6ft-White</v>
          </cell>
          <cell r="F976" t="str">
            <v>Cables</v>
          </cell>
          <cell r="G976" t="str">
            <v>Lightning</v>
          </cell>
          <cell r="H976" t="str">
            <v>6 ft</v>
          </cell>
          <cell r="I976">
            <v>128.79</v>
          </cell>
          <cell r="J976">
            <v>0.40001445783132539</v>
          </cell>
          <cell r="K976">
            <v>249</v>
          </cell>
          <cell r="L976" t="str">
            <v>Areas</v>
          </cell>
          <cell r="M976" t="str">
            <v>Discontinued</v>
          </cell>
          <cell r="N976" t="str">
            <v>MCL5006-M</v>
          </cell>
        </row>
        <row r="977">
          <cell r="A977" t="str">
            <v>Empaque nuevo</v>
          </cell>
          <cell r="B977">
            <v>620442</v>
          </cell>
          <cell r="C977" t="str">
            <v>MTR5003</v>
          </cell>
          <cell r="D977" t="str">
            <v>846537035937</v>
          </cell>
          <cell r="E977" t="str">
            <v>Quikcell Dual USB MicroUSB Travel Charger 3.4A and USB Cable</v>
          </cell>
          <cell r="F977" t="str">
            <v>Charger</v>
          </cell>
          <cell r="G977" t="str">
            <v>Wall charger</v>
          </cell>
          <cell r="H977" t="str">
            <v>3.4A</v>
          </cell>
          <cell r="I977">
            <v>92.59</v>
          </cell>
          <cell r="J977">
            <v>0.39997541899441347</v>
          </cell>
          <cell r="K977">
            <v>179</v>
          </cell>
          <cell r="L977" t="str">
            <v>Areas</v>
          </cell>
          <cell r="M977" t="str">
            <v>Discontinued</v>
          </cell>
          <cell r="N977" t="str">
            <v>MTR5003-M</v>
          </cell>
        </row>
        <row r="978">
          <cell r="A978" t="str">
            <v>Hypergear</v>
          </cell>
          <cell r="B978">
            <v>620460</v>
          </cell>
          <cell r="C978">
            <v>15495</v>
          </cell>
          <cell r="D978" t="str">
            <v>633755154959</v>
          </cell>
          <cell r="E978" t="str">
            <v>Naztech Titanium USB to MFi Lightning Braided Cable 6ft Black</v>
          </cell>
          <cell r="F978" t="str">
            <v>Cables</v>
          </cell>
          <cell r="G978" t="str">
            <v>Lightning</v>
          </cell>
          <cell r="H978" t="str">
            <v>6 ft</v>
          </cell>
          <cell r="I978">
            <v>439.14</v>
          </cell>
          <cell r="J978">
            <v>0.39999717314487637</v>
          </cell>
          <cell r="K978">
            <v>849</v>
          </cell>
          <cell r="L978" t="str">
            <v>Areas</v>
          </cell>
          <cell r="M978" t="str">
            <v>Discontinued</v>
          </cell>
          <cell r="N978" t="str">
            <v>15495-M</v>
          </cell>
        </row>
        <row r="979">
          <cell r="A979" t="str">
            <v>Hypergear</v>
          </cell>
          <cell r="B979">
            <v>620461</v>
          </cell>
          <cell r="C979">
            <v>15496</v>
          </cell>
          <cell r="D979" t="str">
            <v>633755154966</v>
          </cell>
          <cell r="E979" t="str">
            <v>Naztech Titanium USB to MFi Lightning Braided Cable 6ft White</v>
          </cell>
          <cell r="F979" t="str">
            <v>Cables</v>
          </cell>
          <cell r="G979" t="str">
            <v>Lightning</v>
          </cell>
          <cell r="H979" t="str">
            <v>6 ft</v>
          </cell>
          <cell r="I979">
            <v>439.14</v>
          </cell>
          <cell r="J979">
            <v>0.39999717314487637</v>
          </cell>
          <cell r="K979">
            <v>849</v>
          </cell>
          <cell r="L979" t="str">
            <v>Areas</v>
          </cell>
          <cell r="M979" t="str">
            <v>Discontinued</v>
          </cell>
          <cell r="N979" t="str">
            <v>15496-M</v>
          </cell>
        </row>
        <row r="980">
          <cell r="A980" t="str">
            <v>Hypergear</v>
          </cell>
          <cell r="B980">
            <v>620458</v>
          </cell>
          <cell r="C980">
            <v>15497</v>
          </cell>
          <cell r="D980" t="str">
            <v>633755154973</v>
          </cell>
          <cell r="E980" t="str">
            <v>Naztech Titanium USB-C to Lightning Braided Cable 6ft Black</v>
          </cell>
          <cell r="F980" t="str">
            <v>Cables</v>
          </cell>
          <cell r="G980" t="str">
            <v>Type C - Type C</v>
          </cell>
          <cell r="H980" t="str">
            <v>6 ft</v>
          </cell>
          <cell r="I980">
            <v>454.66</v>
          </cell>
          <cell r="J980">
            <v>0.39999362912400449</v>
          </cell>
          <cell r="K980">
            <v>879</v>
          </cell>
          <cell r="L980" t="str">
            <v>Areas</v>
          </cell>
          <cell r="M980" t="str">
            <v>Discontinued</v>
          </cell>
          <cell r="N980" t="str">
            <v>15497-M</v>
          </cell>
        </row>
        <row r="981">
          <cell r="A981" t="str">
            <v>Hypergear</v>
          </cell>
          <cell r="B981">
            <v>620459</v>
          </cell>
          <cell r="C981">
            <v>15498</v>
          </cell>
          <cell r="D981" t="str">
            <v>633755154980</v>
          </cell>
          <cell r="E981" t="str">
            <v>Naztech Titanium USB-C to Lightning Braided Cable 6ft White</v>
          </cell>
          <cell r="F981" t="str">
            <v>Cables</v>
          </cell>
          <cell r="G981" t="str">
            <v>Type C - Type C</v>
          </cell>
          <cell r="H981" t="str">
            <v>6 ft</v>
          </cell>
          <cell r="I981">
            <v>454.66</v>
          </cell>
          <cell r="J981">
            <v>0.39999362912400449</v>
          </cell>
          <cell r="K981">
            <v>879</v>
          </cell>
          <cell r="L981" t="str">
            <v>Areas</v>
          </cell>
          <cell r="M981" t="str">
            <v>Discontinued</v>
          </cell>
          <cell r="N981" t="str">
            <v>15498-M</v>
          </cell>
        </row>
        <row r="982">
          <cell r="A982" t="str">
            <v>Hypergear</v>
          </cell>
          <cell r="B982">
            <v>623996</v>
          </cell>
          <cell r="C982">
            <v>14298</v>
          </cell>
          <cell r="D982" t="str">
            <v>633755142987</v>
          </cell>
          <cell r="E982" t="str">
            <v>HyperGear All-in-one World Travel Adapter Black</v>
          </cell>
          <cell r="F982" t="str">
            <v>Charger</v>
          </cell>
          <cell r="G982" t="str">
            <v>Wall Charger</v>
          </cell>
          <cell r="H982" t="str">
            <v>Travel</v>
          </cell>
          <cell r="I982">
            <v>309.83</v>
          </cell>
          <cell r="J982">
            <v>0.399995325542571</v>
          </cell>
          <cell r="K982">
            <v>599</v>
          </cell>
          <cell r="L982" t="str">
            <v>Areas</v>
          </cell>
          <cell r="M982" t="str">
            <v>Active</v>
          </cell>
          <cell r="N982" t="str">
            <v>14298-M</v>
          </cell>
        </row>
        <row r="983">
          <cell r="A983" t="str">
            <v>Mophie</v>
          </cell>
          <cell r="B983">
            <v>618411</v>
          </cell>
          <cell r="C983">
            <v>401101662</v>
          </cell>
          <cell r="D983" t="str">
            <v>848467073980</v>
          </cell>
          <cell r="E983" t="str">
            <v>Mophie POWERSTATION PLUS (6,000mAh) with Built-in Micro USB &amp; Lightning Cable + Extra USB-A Charging Port - Black</v>
          </cell>
          <cell r="F983" t="str">
            <v>Charger</v>
          </cell>
          <cell r="G983" t="str">
            <v>Power Bank</v>
          </cell>
          <cell r="H983" t="str">
            <v>6,000 mAh</v>
          </cell>
          <cell r="I983">
            <v>454.66</v>
          </cell>
          <cell r="J983">
            <v>0.4</v>
          </cell>
          <cell r="K983">
            <v>879</v>
          </cell>
          <cell r="L983" t="str">
            <v>Areas</v>
          </cell>
          <cell r="M983" t="str">
            <v>Active</v>
          </cell>
          <cell r="N983" t="str">
            <v>401101662-M</v>
          </cell>
        </row>
        <row r="984">
          <cell r="A984" t="str">
            <v>Naztech</v>
          </cell>
          <cell r="B984">
            <v>655506</v>
          </cell>
          <cell r="C984">
            <v>13621</v>
          </cell>
          <cell r="D984" t="str">
            <v>633755136214</v>
          </cell>
          <cell r="E984" t="str">
            <v>Naztech Braided MFI Lightning Charge &amp; Sync Cable Black</v>
          </cell>
          <cell r="F984" t="str">
            <v>Cables</v>
          </cell>
          <cell r="G984" t="str">
            <v>Lightning</v>
          </cell>
          <cell r="H984" t="str">
            <v>4 ft</v>
          </cell>
          <cell r="I984">
            <v>206.38</v>
          </cell>
          <cell r="J984">
            <v>0.39999799498746869</v>
          </cell>
          <cell r="K984">
            <v>399</v>
          </cell>
          <cell r="L984" t="str">
            <v>Areas</v>
          </cell>
          <cell r="M984" t="str">
            <v>Active</v>
          </cell>
          <cell r="N984" t="str">
            <v>13621-M</v>
          </cell>
        </row>
        <row r="985">
          <cell r="A985" t="str">
            <v>Naztech</v>
          </cell>
          <cell r="B985">
            <v>655507</v>
          </cell>
          <cell r="C985">
            <v>13632</v>
          </cell>
          <cell r="D985" t="str">
            <v>633755136320</v>
          </cell>
          <cell r="E985" t="str">
            <v>Naztech MFI Lightning Charge/Sync USB Braided Cbl 4ft Rse Gld</v>
          </cell>
          <cell r="F985" t="str">
            <v>Cables</v>
          </cell>
          <cell r="G985" t="str">
            <v>Lightning</v>
          </cell>
          <cell r="H985" t="str">
            <v>4 ft</v>
          </cell>
          <cell r="I985">
            <v>206.38</v>
          </cell>
          <cell r="J985">
            <v>0.39999799498746869</v>
          </cell>
          <cell r="K985">
            <v>399</v>
          </cell>
          <cell r="L985" t="str">
            <v>Areas</v>
          </cell>
          <cell r="M985" t="str">
            <v>Active</v>
          </cell>
          <cell r="N985" t="str">
            <v>13632-M</v>
          </cell>
        </row>
        <row r="986">
          <cell r="A986" t="str">
            <v>Quikcell</v>
          </cell>
          <cell r="B986">
            <v>613139</v>
          </cell>
          <cell r="C986" t="str">
            <v>CTPRO2-BLK</v>
          </cell>
          <cell r="D986" t="str">
            <v>846537063060</v>
          </cell>
          <cell r="E986" t="str">
            <v>Quikcell Cross Trainer Pro II Sports Stereo Bluetooth Earphones - Black</v>
          </cell>
          <cell r="F986" t="str">
            <v>Audio</v>
          </cell>
          <cell r="G986" t="str">
            <v>HEADPHONE WIRELESS</v>
          </cell>
          <cell r="H986" t="str">
            <v>In Ear</v>
          </cell>
          <cell r="I986">
            <v>283.97000000000003</v>
          </cell>
          <cell r="J986">
            <v>0.4</v>
          </cell>
          <cell r="K986">
            <v>549</v>
          </cell>
          <cell r="L986" t="str">
            <v>Areas</v>
          </cell>
          <cell r="M986" t="str">
            <v>Active</v>
          </cell>
          <cell r="N986" t="str">
            <v>CTPRO2-BLK-M</v>
          </cell>
        </row>
        <row r="987">
          <cell r="A987" t="str">
            <v>Quikcell</v>
          </cell>
          <cell r="B987">
            <v>613140</v>
          </cell>
          <cell r="C987" t="str">
            <v>CTPRO2-WHT</v>
          </cell>
          <cell r="D987" t="str">
            <v>846537063077</v>
          </cell>
          <cell r="E987" t="str">
            <v>Quikcell Cross Trainer Pro II Wireless Sport Headphones - White</v>
          </cell>
          <cell r="F987" t="str">
            <v>Audio</v>
          </cell>
          <cell r="G987" t="str">
            <v>HEADPHONE WIRELESS</v>
          </cell>
          <cell r="H987" t="str">
            <v>In Ear</v>
          </cell>
          <cell r="I987">
            <v>283.97000000000003</v>
          </cell>
          <cell r="J987">
            <v>0.4</v>
          </cell>
          <cell r="K987">
            <v>549</v>
          </cell>
          <cell r="L987" t="str">
            <v>Areas</v>
          </cell>
          <cell r="M987" t="str">
            <v>Active</v>
          </cell>
          <cell r="N987" t="str">
            <v>CTPRO2-WHT-M</v>
          </cell>
        </row>
        <row r="988">
          <cell r="A988" t="str">
            <v>Quikcell</v>
          </cell>
          <cell r="B988">
            <v>613137</v>
          </cell>
          <cell r="C988" t="str">
            <v>QAIR-BUDS</v>
          </cell>
          <cell r="D988" t="str">
            <v>846537068881</v>
          </cell>
          <cell r="E988" t="str">
            <v>Quikcell QAIR BUDS True Wireless Earbuds with Charging Case - Black</v>
          </cell>
          <cell r="F988" t="str">
            <v>Audio</v>
          </cell>
          <cell r="G988" t="str">
            <v>Headphones Wireless</v>
          </cell>
          <cell r="H988" t="str">
            <v>QAir</v>
          </cell>
          <cell r="I988">
            <v>568.45000000000005</v>
          </cell>
          <cell r="J988">
            <v>0.4</v>
          </cell>
          <cell r="K988">
            <v>1099</v>
          </cell>
          <cell r="L988" t="str">
            <v>Areas</v>
          </cell>
          <cell r="M988" t="str">
            <v>Active</v>
          </cell>
          <cell r="N988" t="str">
            <v>QAIR-BUDS-M</v>
          </cell>
        </row>
        <row r="989">
          <cell r="A989" t="str">
            <v>Quikcell</v>
          </cell>
          <cell r="B989">
            <v>613138</v>
          </cell>
          <cell r="C989" t="str">
            <v>QAIR-BUDS-WHT</v>
          </cell>
          <cell r="D989" t="str">
            <v>846537075582</v>
          </cell>
          <cell r="E989" t="str">
            <v>Quikcell QAIR BUDS True Wireless Earbuds with Charging Case - White</v>
          </cell>
          <cell r="F989" t="str">
            <v>Audio</v>
          </cell>
          <cell r="G989" t="str">
            <v>Headphones Wireless</v>
          </cell>
          <cell r="H989" t="str">
            <v>QAir</v>
          </cell>
          <cell r="I989">
            <v>568.45000000000005</v>
          </cell>
          <cell r="J989">
            <v>0.4</v>
          </cell>
          <cell r="K989">
            <v>1099</v>
          </cell>
          <cell r="L989" t="str">
            <v>Areas</v>
          </cell>
          <cell r="M989" t="str">
            <v>Active</v>
          </cell>
          <cell r="N989" t="str">
            <v>QAIR-BUDS-WHT-M</v>
          </cell>
        </row>
        <row r="990">
          <cell r="A990" t="str">
            <v>Quikcell</v>
          </cell>
          <cell r="B990">
            <v>613149</v>
          </cell>
          <cell r="C990" t="str">
            <v>CABLE3N1-BLK</v>
          </cell>
          <cell r="D990" t="str">
            <v>846537049262</v>
          </cell>
          <cell r="E990" t="str">
            <v>Quikcell 3 in 1 Type-C / Lightning / MicroUSB Cable 1 Meter - Black</v>
          </cell>
          <cell r="F990" t="str">
            <v>Cables</v>
          </cell>
          <cell r="G990" t="str">
            <v>3-1</v>
          </cell>
          <cell r="H990" t="str">
            <v>3 ft</v>
          </cell>
          <cell r="I990">
            <v>258.10000000000002</v>
          </cell>
          <cell r="J990">
            <v>0.4</v>
          </cell>
          <cell r="K990">
            <v>499</v>
          </cell>
          <cell r="L990" t="str">
            <v>Areas</v>
          </cell>
          <cell r="M990" t="str">
            <v>Discontinued</v>
          </cell>
          <cell r="N990" t="str">
            <v>CABLE3N1-BLK-M</v>
          </cell>
        </row>
        <row r="991">
          <cell r="A991" t="str">
            <v>Quikcell</v>
          </cell>
          <cell r="B991">
            <v>613150</v>
          </cell>
          <cell r="C991" t="str">
            <v>CABLE3N1-WHT</v>
          </cell>
          <cell r="D991" t="str">
            <v>846537049279</v>
          </cell>
          <cell r="E991" t="str">
            <v>Quikcell 3 in 1 Type-C / Lightning / MicroUSB Cable 1 Meter - White</v>
          </cell>
          <cell r="F991" t="str">
            <v>Cables</v>
          </cell>
          <cell r="G991" t="str">
            <v>3-1</v>
          </cell>
          <cell r="H991" t="str">
            <v>3 ft</v>
          </cell>
          <cell r="I991">
            <v>258.10000000000002</v>
          </cell>
          <cell r="J991">
            <v>0.4</v>
          </cell>
          <cell r="K991">
            <v>499</v>
          </cell>
          <cell r="L991" t="str">
            <v>Areas</v>
          </cell>
          <cell r="M991" t="str">
            <v>Discontinued</v>
          </cell>
          <cell r="N991" t="str">
            <v>CABLE3N1-WHT-M</v>
          </cell>
        </row>
        <row r="992">
          <cell r="A992" t="str">
            <v>Quikcell</v>
          </cell>
          <cell r="B992">
            <v>613145</v>
          </cell>
          <cell r="C992" t="str">
            <v>QLIGHTA6FT</v>
          </cell>
          <cell r="D992" t="str">
            <v>846537077081</v>
          </cell>
          <cell r="E992" t="str">
            <v>Quikcell CHARGE &amp; SYNC CABLE MFi Lightning to USB-A - 6ft - Black</v>
          </cell>
          <cell r="F992" t="str">
            <v>Cables</v>
          </cell>
          <cell r="G992" t="str">
            <v>Lightning</v>
          </cell>
          <cell r="H992" t="str">
            <v>6 ft</v>
          </cell>
          <cell r="I992">
            <v>283.97000000000003</v>
          </cell>
          <cell r="J992">
            <v>0.4</v>
          </cell>
          <cell r="K992">
            <v>549</v>
          </cell>
          <cell r="L992" t="str">
            <v>Areas</v>
          </cell>
          <cell r="M992" t="str">
            <v>Active</v>
          </cell>
          <cell r="N992" t="str">
            <v>QLIGHTA6FT-M</v>
          </cell>
        </row>
        <row r="993">
          <cell r="A993" t="str">
            <v>Quikcell</v>
          </cell>
          <cell r="B993">
            <v>613146</v>
          </cell>
          <cell r="C993" t="str">
            <v>QLIGHTC6FT</v>
          </cell>
          <cell r="D993" t="str">
            <v>846537077104</v>
          </cell>
          <cell r="E993" t="str">
            <v>Quikcell CHARGE &amp; SYNC CABLE MFi Lightning to USB-C - 6ft - Black</v>
          </cell>
          <cell r="F993" t="str">
            <v>Cables</v>
          </cell>
          <cell r="G993" t="str">
            <v>Lightning - Type C</v>
          </cell>
          <cell r="H993" t="str">
            <v>6 ft</v>
          </cell>
          <cell r="I993">
            <v>258.10000000000002</v>
          </cell>
          <cell r="J993">
            <v>0.4</v>
          </cell>
          <cell r="K993">
            <v>499</v>
          </cell>
          <cell r="L993" t="str">
            <v>Areas</v>
          </cell>
          <cell r="M993" t="str">
            <v>Active</v>
          </cell>
          <cell r="N993" t="str">
            <v>QLIGHTC6FT-M</v>
          </cell>
        </row>
        <row r="994">
          <cell r="A994" t="str">
            <v>Quikcell</v>
          </cell>
          <cell r="B994">
            <v>618408</v>
          </cell>
          <cell r="C994" t="str">
            <v>QTYPECA3FT</v>
          </cell>
          <cell r="D994" t="str">
            <v>846537082030</v>
          </cell>
          <cell r="E994" t="str">
            <v>Quikcell USB-A to USB-C cable 3 ft. 3A current; PVC+Nylon</v>
          </cell>
          <cell r="F994" t="str">
            <v>Cables</v>
          </cell>
          <cell r="G994" t="str">
            <v>Type C</v>
          </cell>
          <cell r="H994" t="str">
            <v>3ft</v>
          </cell>
          <cell r="I994">
            <v>170.17</v>
          </cell>
          <cell r="J994">
            <v>0.4</v>
          </cell>
          <cell r="K994">
            <v>329</v>
          </cell>
          <cell r="L994" t="str">
            <v>Areas</v>
          </cell>
          <cell r="M994" t="str">
            <v>Active</v>
          </cell>
          <cell r="N994" t="str">
            <v>QTYPECA3FT-M</v>
          </cell>
        </row>
        <row r="995">
          <cell r="A995" t="str">
            <v>Quikcell</v>
          </cell>
          <cell r="B995">
            <v>613147</v>
          </cell>
          <cell r="C995" t="str">
            <v>QTYPECA6FT</v>
          </cell>
          <cell r="D995" t="str">
            <v>846537077043</v>
          </cell>
          <cell r="E995" t="str">
            <v>Quikcell CHARGE &amp; SYNC CABLE USB-A to USB-C - 6 ft - Black</v>
          </cell>
          <cell r="F995" t="str">
            <v>Cables</v>
          </cell>
          <cell r="G995" t="str">
            <v>Type C</v>
          </cell>
          <cell r="H995" t="str">
            <v>6 ft</v>
          </cell>
          <cell r="I995">
            <v>170.17</v>
          </cell>
          <cell r="J995">
            <v>0.4</v>
          </cell>
          <cell r="K995">
            <v>329</v>
          </cell>
          <cell r="L995" t="str">
            <v>Areas</v>
          </cell>
          <cell r="M995" t="str">
            <v>Active</v>
          </cell>
          <cell r="N995" t="str">
            <v>QTYPECA6FT-M</v>
          </cell>
        </row>
        <row r="996">
          <cell r="A996" t="str">
            <v>Quikcell</v>
          </cell>
          <cell r="B996">
            <v>613148</v>
          </cell>
          <cell r="C996" t="str">
            <v>QTYPECC6FT</v>
          </cell>
          <cell r="D996" t="str">
            <v>846537077067</v>
          </cell>
          <cell r="E996" t="str">
            <v>Quikcell CHARGE &amp; SYNC CABLE USB-C to USB-C - 6 ft - Black</v>
          </cell>
          <cell r="F996" t="str">
            <v>Cables</v>
          </cell>
          <cell r="G996" t="str">
            <v>Type C - Type C</v>
          </cell>
          <cell r="H996" t="str">
            <v>6 ft</v>
          </cell>
          <cell r="I996">
            <v>201.21</v>
          </cell>
          <cell r="J996">
            <v>0.4</v>
          </cell>
          <cell r="K996">
            <v>389</v>
          </cell>
          <cell r="L996" t="str">
            <v>Areas</v>
          </cell>
          <cell r="M996" t="str">
            <v>Active</v>
          </cell>
          <cell r="N996" t="str">
            <v>QTYPECC6FT-M</v>
          </cell>
        </row>
        <row r="997">
          <cell r="A997" t="str">
            <v>Quikcell</v>
          </cell>
          <cell r="B997">
            <v>618410</v>
          </cell>
          <cell r="C997" t="str">
            <v>LPOUCH</v>
          </cell>
          <cell r="D997" t="str">
            <v>846537083013</v>
          </cell>
          <cell r="E997" t="str">
            <v>Quikcell SLIM Universal Large Phone Pouch - Carbon Black</v>
          </cell>
          <cell r="F997" t="str">
            <v>Cases Universal</v>
          </cell>
          <cell r="G997" t="str">
            <v>Universal</v>
          </cell>
          <cell r="H997" t="str">
            <v>Phone</v>
          </cell>
          <cell r="I997">
            <v>340.86</v>
          </cell>
          <cell r="J997">
            <v>0.4</v>
          </cell>
          <cell r="K997">
            <v>659</v>
          </cell>
          <cell r="L997" t="str">
            <v>Areas</v>
          </cell>
          <cell r="M997" t="str">
            <v>Discontinued</v>
          </cell>
          <cell r="N997" t="str">
            <v>LPOUCH-M</v>
          </cell>
        </row>
        <row r="998">
          <cell r="A998" t="str">
            <v>Quikcell</v>
          </cell>
          <cell r="B998">
            <v>613144</v>
          </cell>
          <cell r="C998" t="str">
            <v>QC-PWRBANK10K</v>
          </cell>
          <cell r="D998" t="str">
            <v>846537073618</v>
          </cell>
          <cell r="E998" t="str">
            <v>Quikcell POWERFUEL WIRELESS 10K mAh Powerbank - Black</v>
          </cell>
          <cell r="F998" t="str">
            <v>Charger</v>
          </cell>
          <cell r="G998" t="str">
            <v>Power Bank</v>
          </cell>
          <cell r="H998" t="str">
            <v>10,000 mAh</v>
          </cell>
          <cell r="I998">
            <v>682.24</v>
          </cell>
          <cell r="J998">
            <v>0.4</v>
          </cell>
          <cell r="K998">
            <v>1319</v>
          </cell>
          <cell r="L998" t="str">
            <v>Areas</v>
          </cell>
          <cell r="M998" t="str">
            <v>Active</v>
          </cell>
          <cell r="N998" t="str">
            <v>QC-PWRBANK10K-M</v>
          </cell>
        </row>
        <row r="999">
          <cell r="A999" t="str">
            <v>Quikcell</v>
          </cell>
          <cell r="B999">
            <v>613143</v>
          </cell>
          <cell r="C999" t="str">
            <v>QC-PWRBANK6K</v>
          </cell>
          <cell r="D999" t="str">
            <v>846537073601</v>
          </cell>
          <cell r="E999" t="str">
            <v>Quikcell POWERFUEL 6K mAh Powerbank - Black</v>
          </cell>
          <cell r="F999" t="str">
            <v>Charger</v>
          </cell>
          <cell r="G999" t="str">
            <v>Power Bank</v>
          </cell>
          <cell r="H999" t="str">
            <v>6,000 mAh</v>
          </cell>
          <cell r="I999">
            <v>283.97000000000003</v>
          </cell>
          <cell r="J999">
            <v>0.4</v>
          </cell>
          <cell r="K999">
            <v>549</v>
          </cell>
          <cell r="L999" t="str">
            <v>Areas</v>
          </cell>
          <cell r="M999" t="str">
            <v>Active</v>
          </cell>
          <cell r="N999" t="str">
            <v>QC-PWRBANK6K-M</v>
          </cell>
        </row>
        <row r="1000">
          <cell r="A1000" t="str">
            <v>Quikcell</v>
          </cell>
          <cell r="B1000">
            <v>613141</v>
          </cell>
          <cell r="C1000" t="str">
            <v>QTRC2001</v>
          </cell>
          <cell r="D1000" t="str">
            <v>846537077005</v>
          </cell>
          <cell r="E1000" t="str">
            <v>Quikcell DUAL PORT WALL CHARGER  2 USB A x 12W - 24W</v>
          </cell>
          <cell r="F1000" t="str">
            <v>Charger</v>
          </cell>
          <cell r="G1000" t="str">
            <v>Wall charger</v>
          </cell>
          <cell r="H1000" t="str">
            <v>24 W</v>
          </cell>
          <cell r="I1000">
            <v>283.97000000000003</v>
          </cell>
          <cell r="J1000">
            <v>0.4</v>
          </cell>
          <cell r="K1000">
            <v>549</v>
          </cell>
          <cell r="L1000" t="str">
            <v>Areas</v>
          </cell>
          <cell r="M1000" t="str">
            <v>Active</v>
          </cell>
          <cell r="N1000" t="str">
            <v>QTRC2001-M</v>
          </cell>
        </row>
        <row r="1001">
          <cell r="A1001" t="str">
            <v>Quikcell</v>
          </cell>
          <cell r="B1001">
            <v>613142</v>
          </cell>
          <cell r="C1001" t="str">
            <v>QTRC2002</v>
          </cell>
          <cell r="D1001" t="str">
            <v>846537077012</v>
          </cell>
          <cell r="E1001" t="str">
            <v>Quikcell DUAL PORT WALL CHARGER 1 USB A 12W + USB C PD 20W - 32W</v>
          </cell>
          <cell r="F1001" t="str">
            <v>Charger</v>
          </cell>
          <cell r="G1001" t="str">
            <v>Wall charger</v>
          </cell>
          <cell r="H1001" t="str">
            <v>32 W</v>
          </cell>
          <cell r="I1001">
            <v>340.86</v>
          </cell>
          <cell r="J1001">
            <v>0.4</v>
          </cell>
          <cell r="K1001">
            <v>659</v>
          </cell>
          <cell r="L1001" t="str">
            <v>Areas</v>
          </cell>
          <cell r="M1001" t="str">
            <v>Active</v>
          </cell>
          <cell r="N1001" t="str">
            <v>QTRC2002-M</v>
          </cell>
        </row>
        <row r="1002">
          <cell r="A1002" t="str">
            <v>Quikcell</v>
          </cell>
          <cell r="B1002">
            <v>618409</v>
          </cell>
          <cell r="C1002" t="str">
            <v>QC-LIQUIDG</v>
          </cell>
          <cell r="D1002" t="str">
            <v>846537071317</v>
          </cell>
          <cell r="E1002" t="str">
            <v>Quikcell Ultra LIQUID GLASS Screen Protector</v>
          </cell>
          <cell r="F1002" t="str">
            <v>Micas</v>
          </cell>
          <cell r="G1002" t="str">
            <v>UNIVERSAL</v>
          </cell>
          <cell r="H1002" t="str">
            <v>Universal</v>
          </cell>
          <cell r="I1002">
            <v>283.97000000000003</v>
          </cell>
          <cell r="J1002">
            <v>0.4</v>
          </cell>
          <cell r="K1002">
            <v>549</v>
          </cell>
          <cell r="L1002" t="str">
            <v>Areas</v>
          </cell>
          <cell r="M1002" t="str">
            <v>Discontinued</v>
          </cell>
          <cell r="N1002" t="str">
            <v>QC-LIQUIDG-M</v>
          </cell>
        </row>
        <row r="1003">
          <cell r="A1003" t="str">
            <v>Quikcell</v>
          </cell>
          <cell r="B1003">
            <v>613136</v>
          </cell>
          <cell r="C1003" t="str">
            <v>QAIR-WAT</v>
          </cell>
          <cell r="D1003" t="str">
            <v>846537075643</v>
          </cell>
          <cell r="E1003" t="str">
            <v>Quikcell Bundle Watch and QAIR BUDS True Wireless Earbuds with Charging Case - Black</v>
          </cell>
          <cell r="F1003" t="str">
            <v>Wearable</v>
          </cell>
          <cell r="G1003" t="str">
            <v>Smartwatch</v>
          </cell>
          <cell r="H1003" t="str">
            <v>Bundle</v>
          </cell>
          <cell r="I1003">
            <v>1421.9</v>
          </cell>
          <cell r="J1003">
            <v>0.39999854492542741</v>
          </cell>
          <cell r="K1003">
            <v>2749</v>
          </cell>
          <cell r="L1003" t="str">
            <v>Areas</v>
          </cell>
          <cell r="M1003" t="str">
            <v>Discontinued</v>
          </cell>
          <cell r="N1003" t="str">
            <v>QAIR-WAT-M</v>
          </cell>
        </row>
        <row r="1004">
          <cell r="A1004" t="str">
            <v>Quikcell</v>
          </cell>
          <cell r="B1004" t="str">
            <v>613136-B2B</v>
          </cell>
          <cell r="C1004" t="str">
            <v>QAIR-WAT</v>
          </cell>
          <cell r="D1004" t="str">
            <v>846537075643</v>
          </cell>
          <cell r="E1004" t="str">
            <v>Quikcell Bundle Watch and QAIR BUDS True Wireless Earbuds with Charging Case - Black</v>
          </cell>
          <cell r="F1004" t="str">
            <v>Wearable</v>
          </cell>
          <cell r="G1004" t="str">
            <v>Smartwatch</v>
          </cell>
          <cell r="H1004" t="str">
            <v>Bundle</v>
          </cell>
          <cell r="I1004">
            <v>1137.46</v>
          </cell>
          <cell r="J1004">
            <v>0.52002415423790471</v>
          </cell>
          <cell r="K1004">
            <v>2749</v>
          </cell>
          <cell r="L1004" t="str">
            <v>Areas</v>
          </cell>
          <cell r="M1004" t="str">
            <v>Discontinued</v>
          </cell>
          <cell r="N1004" t="str">
            <v>QAIR-WAT-M</v>
          </cell>
        </row>
        <row r="1005">
          <cell r="A1005" t="str">
            <v>Raptic</v>
          </cell>
          <cell r="B1005">
            <v>620456</v>
          </cell>
          <cell r="C1005">
            <v>484176</v>
          </cell>
          <cell r="D1005" t="str">
            <v>6950941484176</v>
          </cell>
          <cell r="E1005" t="str">
            <v>Raptic Trek for AirPods 1/2 Black</v>
          </cell>
          <cell r="F1005" t="str">
            <v>Cases Airpods</v>
          </cell>
          <cell r="G1005" t="str">
            <v>Airpods</v>
          </cell>
          <cell r="H1005" t="str">
            <v>Airpods 1/2</v>
          </cell>
          <cell r="I1005">
            <v>439.14</v>
          </cell>
          <cell r="J1005">
            <v>0.39999717314487637</v>
          </cell>
          <cell r="K1005">
            <v>849</v>
          </cell>
          <cell r="L1005" t="str">
            <v>Areas</v>
          </cell>
          <cell r="M1005" t="str">
            <v>Discontinued</v>
          </cell>
          <cell r="N1005" t="str">
            <v>484176-M</v>
          </cell>
        </row>
        <row r="1006">
          <cell r="A1006" t="str">
            <v>Raptic</v>
          </cell>
          <cell r="B1006">
            <v>620457</v>
          </cell>
          <cell r="C1006">
            <v>484213</v>
          </cell>
          <cell r="D1006" t="str">
            <v>6950941484213</v>
          </cell>
          <cell r="E1006" t="str">
            <v>Raptic Trek for AirPods 1/2 Red</v>
          </cell>
          <cell r="F1006" t="str">
            <v>Cases Airpods</v>
          </cell>
          <cell r="G1006" t="str">
            <v>Airpods</v>
          </cell>
          <cell r="H1006" t="str">
            <v>Airpods 1/2</v>
          </cell>
          <cell r="I1006">
            <v>439.14</v>
          </cell>
          <cell r="J1006">
            <v>0.39999717314487637</v>
          </cell>
          <cell r="K1006">
            <v>849</v>
          </cell>
          <cell r="L1006" t="str">
            <v>Areas</v>
          </cell>
          <cell r="M1006" t="str">
            <v>Discontinued</v>
          </cell>
          <cell r="N1006" t="str">
            <v>484213-M</v>
          </cell>
        </row>
        <row r="1007">
          <cell r="A1007" t="str">
            <v>Raptic</v>
          </cell>
          <cell r="B1007">
            <v>620454</v>
          </cell>
          <cell r="C1007">
            <v>488044</v>
          </cell>
          <cell r="D1007" t="str">
            <v>6950941488044</v>
          </cell>
          <cell r="E1007" t="str">
            <v xml:space="preserve">Raptic Trek for Airpods Pro Black </v>
          </cell>
          <cell r="F1007" t="str">
            <v>Cases Airpods</v>
          </cell>
          <cell r="G1007" t="str">
            <v>Airpods</v>
          </cell>
          <cell r="H1007" t="str">
            <v>Airpods Pro</v>
          </cell>
          <cell r="I1007">
            <v>439.14</v>
          </cell>
          <cell r="J1007">
            <v>0.39999717314487637</v>
          </cell>
          <cell r="K1007">
            <v>849</v>
          </cell>
          <cell r="L1007" t="str">
            <v>Areas</v>
          </cell>
          <cell r="M1007" t="str">
            <v>Discontinued</v>
          </cell>
          <cell r="N1007" t="str">
            <v>488044-M</v>
          </cell>
        </row>
        <row r="1008">
          <cell r="A1008" t="str">
            <v>Raptic</v>
          </cell>
          <cell r="B1008">
            <v>620455</v>
          </cell>
          <cell r="C1008">
            <v>488068</v>
          </cell>
          <cell r="D1008" t="str">
            <v>6950941488068</v>
          </cell>
          <cell r="E1008" t="str">
            <v>Raptic Trek for Airpods Pro Red</v>
          </cell>
          <cell r="F1008" t="str">
            <v>Cases Airpods</v>
          </cell>
          <cell r="G1008" t="str">
            <v>Airpods</v>
          </cell>
          <cell r="H1008" t="str">
            <v>Airpods Pro</v>
          </cell>
          <cell r="I1008">
            <v>439.14</v>
          </cell>
          <cell r="J1008">
            <v>0.39999717314487637</v>
          </cell>
          <cell r="K1008">
            <v>849</v>
          </cell>
          <cell r="L1008" t="str">
            <v>Areas</v>
          </cell>
          <cell r="M1008" t="str">
            <v>Discontinued</v>
          </cell>
          <cell r="N1008" t="str">
            <v>488068-M</v>
          </cell>
        </row>
        <row r="1009">
          <cell r="A1009" t="str">
            <v>Raptic</v>
          </cell>
          <cell r="B1009">
            <v>620453</v>
          </cell>
          <cell r="C1009">
            <v>477505</v>
          </cell>
          <cell r="D1009" t="str">
            <v>6950941477505</v>
          </cell>
          <cell r="E1009" t="str">
            <v xml:space="preserve">Raptic Link for Airtag ( Premim aluminum frame with Soft TPU protection)  Black </v>
          </cell>
          <cell r="F1009" t="str">
            <v>Cases AirTag</v>
          </cell>
          <cell r="G1009" t="str">
            <v>AirTag</v>
          </cell>
          <cell r="H1009" t="str">
            <v>AirTag</v>
          </cell>
          <cell r="I1009">
            <v>283.97000000000003</v>
          </cell>
          <cell r="J1009">
            <v>0.39999052823315107</v>
          </cell>
          <cell r="K1009">
            <v>549</v>
          </cell>
          <cell r="L1009" t="str">
            <v>Areas</v>
          </cell>
          <cell r="M1009" t="str">
            <v>Discontinued</v>
          </cell>
          <cell r="N1009" t="str">
            <v>477505-M</v>
          </cell>
        </row>
        <row r="1010">
          <cell r="A1010" t="str">
            <v>Raptic</v>
          </cell>
          <cell r="B1010">
            <v>646131</v>
          </cell>
          <cell r="C1010">
            <v>445276</v>
          </cell>
          <cell r="D1010" t="str">
            <v>6950941445276</v>
          </cell>
          <cell r="E1010" t="str">
            <v xml:space="preserve">Raptic RT1087 WaterproofPhone Case for 6.9 size-Black </v>
          </cell>
          <cell r="F1010" t="str">
            <v>Cases Universal</v>
          </cell>
          <cell r="G1010" t="str">
            <v>Universal</v>
          </cell>
          <cell r="H1010" t="str">
            <v>Phone</v>
          </cell>
          <cell r="I1010">
            <v>140</v>
          </cell>
          <cell r="J1010">
            <v>0.50638297872340432</v>
          </cell>
          <cell r="K1010">
            <v>329</v>
          </cell>
          <cell r="L1010" t="str">
            <v>Areas</v>
          </cell>
          <cell r="M1010" t="str">
            <v>Active</v>
          </cell>
          <cell r="N1010" t="str">
            <v>445276-M</v>
          </cell>
        </row>
        <row r="1011">
          <cell r="A1011" t="str">
            <v>Vivitar</v>
          </cell>
          <cell r="B1011">
            <v>618407</v>
          </cell>
          <cell r="C1011" t="str">
            <v>VIVVT4KIT1-NOC</v>
          </cell>
          <cell r="D1011" t="str">
            <v>681066891681</v>
          </cell>
          <cell r="E1011" t="str">
            <v>Vivitar Mini Soporte De Pistola. Combinación, De Soporte Para Teléfono, Selfie Stick Y Tripié En Un Solo</v>
          </cell>
          <cell r="F1011" t="str">
            <v>Hardware</v>
          </cell>
          <cell r="G1011" t="str">
            <v>Tripod</v>
          </cell>
          <cell r="H1011" t="str">
            <v>PISTOL GRIP</v>
          </cell>
          <cell r="I1011">
            <v>149.47999999999999</v>
          </cell>
          <cell r="J1011">
            <v>0.4</v>
          </cell>
          <cell r="K1011">
            <v>289</v>
          </cell>
          <cell r="L1011" t="str">
            <v>Areas</v>
          </cell>
          <cell r="M1011" t="str">
            <v>Discontinued</v>
          </cell>
          <cell r="N1011" t="str">
            <v>VIVVT4KIT1-NOC</v>
          </cell>
        </row>
        <row r="1012">
          <cell r="A1012" t="str">
            <v>Vivitar</v>
          </cell>
          <cell r="C1012" t="str">
            <v>VIVVT4KIT1-NOC</v>
          </cell>
          <cell r="D1012" t="str">
            <v>681066891681</v>
          </cell>
          <cell r="E1012" t="str">
            <v>Vivitar Mini Soporte De Pistola. Combinación, De Soporte Para Teléfono, Selfie Stick Y Tripié En Un Solo</v>
          </cell>
          <cell r="F1012" t="str">
            <v>Hardware</v>
          </cell>
          <cell r="G1012" t="str">
            <v>Tripod</v>
          </cell>
          <cell r="H1012" t="str">
            <v>PISTOL GRIP</v>
          </cell>
          <cell r="I1012">
            <v>133.97</v>
          </cell>
          <cell r="J1012">
            <v>0.4</v>
          </cell>
          <cell r="K1012">
            <v>259</v>
          </cell>
          <cell r="L1012" t="str">
            <v>Areas</v>
          </cell>
          <cell r="M1012" t="str">
            <v>Discontinued</v>
          </cell>
          <cell r="N1012" t="str">
            <v>VIVVT4KIT1-NOC</v>
          </cell>
        </row>
        <row r="1013">
          <cell r="A1013" t="str">
            <v>Nomad</v>
          </cell>
          <cell r="B1013" t="str">
            <v>NM01614685ATT</v>
          </cell>
          <cell r="C1013" t="str">
            <v>NM01614685</v>
          </cell>
          <cell r="D1013" t="str">
            <v>856500016146</v>
          </cell>
          <cell r="E1013" t="str">
            <v>Nomad Modern Leather Case - iPhone 15 Pro | Brown | Nomad Leather</v>
          </cell>
          <cell r="F1013" t="str">
            <v>Cases iPhone</v>
          </cell>
          <cell r="G1013" t="str">
            <v>iPhone 15</v>
          </cell>
          <cell r="H1013" t="str">
            <v>iPhone 15 Pro</v>
          </cell>
          <cell r="I1013">
            <v>473.66</v>
          </cell>
          <cell r="J1013">
            <v>0.45000440440440437</v>
          </cell>
          <cell r="K1013">
            <v>999</v>
          </cell>
          <cell r="L1013" t="str">
            <v>ATT</v>
          </cell>
          <cell r="M1013" t="str">
            <v>Discontinued</v>
          </cell>
          <cell r="N1013" t="str">
            <v>NM01614685-M</v>
          </cell>
        </row>
        <row r="1014">
          <cell r="A1014" t="str">
            <v>Nomad</v>
          </cell>
          <cell r="B1014" t="str">
            <v>NM01613985ATT</v>
          </cell>
          <cell r="C1014" t="str">
            <v>NM01613985</v>
          </cell>
          <cell r="D1014" t="str">
            <v>856500016139</v>
          </cell>
          <cell r="E1014" t="str">
            <v>Nomad Modern Leather Case - iPhone 15 Pro | Black | Nomad Leather</v>
          </cell>
          <cell r="F1014" t="str">
            <v>Cases iPhone</v>
          </cell>
          <cell r="G1014" t="str">
            <v>iPhone 15</v>
          </cell>
          <cell r="H1014" t="str">
            <v>iPhone 15 Pro</v>
          </cell>
          <cell r="I1014">
            <v>473.66</v>
          </cell>
          <cell r="J1014">
            <v>0.45000440440440437</v>
          </cell>
          <cell r="K1014">
            <v>999</v>
          </cell>
          <cell r="L1014" t="str">
            <v>ATT</v>
          </cell>
          <cell r="M1014" t="str">
            <v>Discontinued</v>
          </cell>
          <cell r="N1014" t="str">
            <v>NM01613985-M</v>
          </cell>
        </row>
        <row r="1015">
          <cell r="A1015" t="str">
            <v>Nomad</v>
          </cell>
          <cell r="B1015" t="str">
            <v>NM01619185ATT</v>
          </cell>
          <cell r="C1015" t="str">
            <v>NM01619185</v>
          </cell>
          <cell r="D1015" t="str">
            <v>856500016191</v>
          </cell>
          <cell r="E1015" t="str">
            <v>Nomad Modern Leather Case - iPhone 15 Pro Max | Brown | Nomad Leather</v>
          </cell>
          <cell r="F1015" t="str">
            <v>Cases iPhone</v>
          </cell>
          <cell r="G1015" t="str">
            <v>iPhone 15</v>
          </cell>
          <cell r="H1015" t="str">
            <v>iPhone 15 Pro Max</v>
          </cell>
          <cell r="I1015">
            <v>473.66</v>
          </cell>
          <cell r="J1015">
            <v>0.45000440440440437</v>
          </cell>
          <cell r="K1015">
            <v>999</v>
          </cell>
          <cell r="L1015" t="str">
            <v>ATT</v>
          </cell>
          <cell r="M1015" t="str">
            <v>Discontinued</v>
          </cell>
          <cell r="N1015" t="str">
            <v>NM01619185-M</v>
          </cell>
        </row>
        <row r="1016">
          <cell r="A1016" t="str">
            <v>Nomad</v>
          </cell>
          <cell r="B1016" t="str">
            <v>NM01618485ATT</v>
          </cell>
          <cell r="C1016" t="str">
            <v>NM01618485</v>
          </cell>
          <cell r="D1016" t="str">
            <v>856500016184</v>
          </cell>
          <cell r="E1016" t="str">
            <v>Nomad Modern Leather Case - iPhone 15 Pro Max | Black | Nomad Leather</v>
          </cell>
          <cell r="F1016" t="str">
            <v>Cases iPhone</v>
          </cell>
          <cell r="G1016" t="str">
            <v>iPhone 15</v>
          </cell>
          <cell r="H1016" t="str">
            <v>iPhone 15 Pro Max</v>
          </cell>
          <cell r="I1016">
            <v>473.66</v>
          </cell>
          <cell r="J1016">
            <v>0.45000440440440437</v>
          </cell>
          <cell r="K1016">
            <v>999</v>
          </cell>
          <cell r="L1016" t="str">
            <v>ATT</v>
          </cell>
          <cell r="M1016" t="str">
            <v>Discontinued</v>
          </cell>
          <cell r="N1016" t="str">
            <v>NM01618485-M</v>
          </cell>
        </row>
        <row r="1017">
          <cell r="A1017" t="str">
            <v>Nomad</v>
          </cell>
          <cell r="B1017" t="str">
            <v>N.00731970</v>
          </cell>
          <cell r="C1017" t="str">
            <v>NM01382485</v>
          </cell>
          <cell r="D1017" t="str">
            <v>856500013824</v>
          </cell>
          <cell r="E1017" t="str">
            <v>Nomad Rugged Case - iPhone 16 Pro | Atlantic Blue</v>
          </cell>
          <cell r="F1017" t="str">
            <v>Cases iPhone</v>
          </cell>
          <cell r="G1017" t="str">
            <v>iPhone 16</v>
          </cell>
          <cell r="H1017" t="str">
            <v>iPhone 16 Pro / iPhone 17</v>
          </cell>
          <cell r="I1017">
            <v>516.72</v>
          </cell>
          <cell r="J1017">
            <v>0.40000480480480471</v>
          </cell>
          <cell r="K1017">
            <v>999</v>
          </cell>
          <cell r="L1017" t="str">
            <v>ATT</v>
          </cell>
          <cell r="M1017" t="str">
            <v>Discontinued</v>
          </cell>
          <cell r="N1017" t="str">
            <v>NM01382485</v>
          </cell>
        </row>
        <row r="1018">
          <cell r="A1018" t="str">
            <v>Nomad</v>
          </cell>
          <cell r="B1018" t="str">
            <v>N.00732000</v>
          </cell>
          <cell r="C1018" t="str">
            <v>NM01384885</v>
          </cell>
          <cell r="D1018" t="str">
            <v>856500013848</v>
          </cell>
          <cell r="E1018" t="str">
            <v>Nomad Rugged Case - iPhone 16 Pro | Desert</v>
          </cell>
          <cell r="F1018" t="str">
            <v>Cases iPhone</v>
          </cell>
          <cell r="G1018" t="str">
            <v>iPhone 16</v>
          </cell>
          <cell r="H1018" t="str">
            <v>iPhone 16 Pro / iPhone 17</v>
          </cell>
          <cell r="I1018">
            <v>516.72</v>
          </cell>
          <cell r="J1018">
            <v>0.40000480480480471</v>
          </cell>
          <cell r="K1018">
            <v>999</v>
          </cell>
          <cell r="L1018" t="str">
            <v>ATT</v>
          </cell>
          <cell r="M1018" t="str">
            <v>Discontinued</v>
          </cell>
          <cell r="N1018" t="str">
            <v>NM01384885</v>
          </cell>
        </row>
        <row r="1019">
          <cell r="A1019" t="str">
            <v>Nomad</v>
          </cell>
          <cell r="B1019" t="str">
            <v>N.00731910</v>
          </cell>
          <cell r="C1019" t="str">
            <v>NM01696285</v>
          </cell>
          <cell r="D1019" t="str">
            <v>856500016962</v>
          </cell>
          <cell r="E1019" t="str">
            <v>Nomad Modern Leather Case - iPhone 16 Pro  Brown</v>
          </cell>
          <cell r="F1019" t="str">
            <v>Cases iPhone</v>
          </cell>
          <cell r="G1019" t="str">
            <v>iPhone 16</v>
          </cell>
          <cell r="H1019" t="str">
            <v>iPhone 16 Pro / iPhone 17</v>
          </cell>
          <cell r="I1019">
            <v>516.72</v>
          </cell>
          <cell r="J1019">
            <v>0.40000480480480471</v>
          </cell>
          <cell r="K1019">
            <v>999</v>
          </cell>
          <cell r="L1019" t="str">
            <v>ATT</v>
          </cell>
          <cell r="M1019" t="str">
            <v>Discontinued</v>
          </cell>
          <cell r="N1019" t="str">
            <v>NM01696285-M</v>
          </cell>
        </row>
        <row r="1020">
          <cell r="A1020" t="str">
            <v>Nomad</v>
          </cell>
          <cell r="B1020" t="str">
            <v>N.00731940</v>
          </cell>
          <cell r="C1020" t="str">
            <v>NM01697985</v>
          </cell>
          <cell r="D1020" t="str">
            <v>856500016979</v>
          </cell>
          <cell r="E1020" t="str">
            <v>Nomad Modern Leather Case - iPhone 16 Pro  Black</v>
          </cell>
          <cell r="F1020" t="str">
            <v>Cases iPhone</v>
          </cell>
          <cell r="G1020" t="str">
            <v>iPhone 16</v>
          </cell>
          <cell r="H1020" t="str">
            <v>iPhone 16 Pro / iPhone 17</v>
          </cell>
          <cell r="I1020">
            <v>516.72</v>
          </cell>
          <cell r="J1020">
            <v>0.40000480480480471</v>
          </cell>
          <cell r="K1020">
            <v>999</v>
          </cell>
          <cell r="L1020" t="str">
            <v>ATT</v>
          </cell>
          <cell r="M1020" t="str">
            <v>Discontinued</v>
          </cell>
          <cell r="N1020" t="str">
            <v>NM01697985-M</v>
          </cell>
        </row>
        <row r="1021">
          <cell r="A1021" t="str">
            <v>Nomad</v>
          </cell>
          <cell r="B1021" t="str">
            <v>N.00732030</v>
          </cell>
          <cell r="C1021" t="str">
            <v>NM01692485</v>
          </cell>
          <cell r="D1021" t="str">
            <v>856500016924</v>
          </cell>
          <cell r="E1021" t="str">
            <v>Nomad Modern Leather Case - iPhone 16 Pro Max | Brown | Nomad Leather</v>
          </cell>
          <cell r="F1021" t="str">
            <v>Cases iPhone</v>
          </cell>
          <cell r="G1021" t="str">
            <v>iPhone 16</v>
          </cell>
          <cell r="H1021" t="str">
            <v>iPhone 16 Pro Max</v>
          </cell>
          <cell r="I1021">
            <v>516.72</v>
          </cell>
          <cell r="J1021">
            <v>0.40000480480480471</v>
          </cell>
          <cell r="K1021">
            <v>999</v>
          </cell>
          <cell r="L1021" t="str">
            <v>ATT</v>
          </cell>
          <cell r="M1021" t="str">
            <v>Discontinued</v>
          </cell>
          <cell r="N1021" t="str">
            <v>NM01692485-M</v>
          </cell>
        </row>
        <row r="1022">
          <cell r="A1022" t="str">
            <v>Nomad</v>
          </cell>
          <cell r="B1022" t="str">
            <v>N.00732120</v>
          </cell>
          <cell r="C1022" t="str">
            <v>NM01381785</v>
          </cell>
          <cell r="D1022" t="str">
            <v>856500013817</v>
          </cell>
          <cell r="E1022" t="str">
            <v>Nomad Rugged Case - iPhone 16 Pro Max | Desert</v>
          </cell>
          <cell r="F1022" t="str">
            <v>Cases iPhone</v>
          </cell>
          <cell r="G1022" t="str">
            <v>iPhone 16</v>
          </cell>
          <cell r="H1022" t="str">
            <v>iPhone 16 Pro Max</v>
          </cell>
          <cell r="I1022">
            <v>516.72</v>
          </cell>
          <cell r="J1022">
            <v>0.40000480480480471</v>
          </cell>
          <cell r="K1022">
            <v>999</v>
          </cell>
          <cell r="L1022" t="str">
            <v>ATT</v>
          </cell>
          <cell r="M1022" t="str">
            <v>Discontinued</v>
          </cell>
          <cell r="N1022" t="str">
            <v>NM01381785</v>
          </cell>
        </row>
        <row r="1023">
          <cell r="A1023" t="str">
            <v>Nomad</v>
          </cell>
          <cell r="B1023" t="str">
            <v>N.00732090</v>
          </cell>
          <cell r="C1023" t="str">
            <v>NM01379485</v>
          </cell>
          <cell r="D1023" t="str">
            <v>856500013794</v>
          </cell>
          <cell r="E1023" t="str">
            <v>Nomad Rugged Case - iPhone 16 Pro Max | Atlantic Blue</v>
          </cell>
          <cell r="F1023" t="str">
            <v>Cases iPhone</v>
          </cell>
          <cell r="G1023" t="str">
            <v>iPhone 16</v>
          </cell>
          <cell r="H1023" t="str">
            <v>iPhone 16 Pro Max</v>
          </cell>
          <cell r="I1023">
            <v>516.72</v>
          </cell>
          <cell r="J1023">
            <v>0.40000480480480471</v>
          </cell>
          <cell r="K1023">
            <v>999</v>
          </cell>
          <cell r="L1023" t="str">
            <v>ATT</v>
          </cell>
          <cell r="M1023" t="str">
            <v>Discontinued</v>
          </cell>
          <cell r="N1023" t="str">
            <v>NM01379485</v>
          </cell>
        </row>
        <row r="1024">
          <cell r="A1024" t="str">
            <v>Nomad</v>
          </cell>
          <cell r="B1024" t="str">
            <v>N.00732060</v>
          </cell>
          <cell r="C1024" t="str">
            <v>NM01693185</v>
          </cell>
          <cell r="D1024" t="str">
            <v>856500016931</v>
          </cell>
          <cell r="E1024" t="str">
            <v xml:space="preserve">Nomad Modern Leather Case - iPhone 16 Pro Max  Black </v>
          </cell>
          <cell r="F1024" t="str">
            <v>Cases iPhone</v>
          </cell>
          <cell r="G1024" t="str">
            <v>iPhone 16</v>
          </cell>
          <cell r="H1024" t="str">
            <v>iPhone 16 Pro Max</v>
          </cell>
          <cell r="I1024">
            <v>516.72</v>
          </cell>
          <cell r="J1024">
            <v>0.40000480480480471</v>
          </cell>
          <cell r="K1024">
            <v>999</v>
          </cell>
          <cell r="L1024" t="str">
            <v>ATT</v>
          </cell>
          <cell r="M1024" t="str">
            <v>Discontinued</v>
          </cell>
          <cell r="N1024" t="str">
            <v>NM01693185-M</v>
          </cell>
        </row>
        <row r="1025">
          <cell r="A1025" t="str">
            <v>Quikcell</v>
          </cell>
          <cell r="B1025" t="str">
            <v>N.00729150</v>
          </cell>
          <cell r="C1025" t="str">
            <v>QLIGHTC6FT</v>
          </cell>
          <cell r="D1025" t="str">
            <v>846537077104</v>
          </cell>
          <cell r="E1025" t="str">
            <v>Quikcell CHARGE &amp; SYNC CABLE MFi Lightning to USB-C - 6ft - Black</v>
          </cell>
          <cell r="F1025" t="str">
            <v>Cables</v>
          </cell>
          <cell r="G1025" t="str">
            <v>Lightning - Type C</v>
          </cell>
          <cell r="H1025" t="str">
            <v>6 ft</v>
          </cell>
          <cell r="I1025">
            <v>232.24</v>
          </cell>
          <cell r="J1025">
            <v>0.40000356347438759</v>
          </cell>
          <cell r="K1025">
            <v>449</v>
          </cell>
          <cell r="L1025" t="str">
            <v>ATT</v>
          </cell>
          <cell r="M1025" t="str">
            <v>Discontinued</v>
          </cell>
          <cell r="N1025" t="str">
            <v>QLIGHTC6FT-M</v>
          </cell>
        </row>
        <row r="1026">
          <cell r="A1026" t="str">
            <v>Quikcell</v>
          </cell>
          <cell r="B1026" t="str">
            <v>N.00729210</v>
          </cell>
          <cell r="C1026" t="str">
            <v>QCC3FT-BLK</v>
          </cell>
          <cell r="D1026" t="str">
            <v>846537097690</v>
          </cell>
          <cell r="E1026" t="str">
            <v>Quikcell USB-C to USB-C cable 3FT-Black</v>
          </cell>
          <cell r="F1026" t="str">
            <v>Cables</v>
          </cell>
          <cell r="G1026" t="str">
            <v>Type C - Type C</v>
          </cell>
          <cell r="H1026" t="str">
            <v>3 ft</v>
          </cell>
          <cell r="I1026">
            <v>154.66</v>
          </cell>
          <cell r="J1026">
            <v>0.39998127090301006</v>
          </cell>
          <cell r="K1026">
            <v>299</v>
          </cell>
          <cell r="L1026" t="str">
            <v>ATT</v>
          </cell>
          <cell r="M1026" t="str">
            <v>Active</v>
          </cell>
          <cell r="N1026" t="str">
            <v>QCC3FT-BLK</v>
          </cell>
        </row>
        <row r="1027">
          <cell r="A1027" t="str">
            <v>Quikcell</v>
          </cell>
          <cell r="B1027" t="str">
            <v>N.00729210</v>
          </cell>
          <cell r="C1027" t="str">
            <v>QTYPECC3FT</v>
          </cell>
          <cell r="D1027" t="str">
            <v>846537082047</v>
          </cell>
          <cell r="E1027" t="str">
            <v>Quikcell USB-C to USB-C cable 3 ft. 3A current; PVC+Nylon</v>
          </cell>
          <cell r="F1027" t="str">
            <v>Cables</v>
          </cell>
          <cell r="G1027" t="str">
            <v>Type C - Type C</v>
          </cell>
          <cell r="H1027" t="str">
            <v>3 ft</v>
          </cell>
          <cell r="I1027">
            <v>154.66</v>
          </cell>
          <cell r="J1027">
            <v>0.39998127090301006</v>
          </cell>
          <cell r="K1027">
            <v>299</v>
          </cell>
          <cell r="L1027" t="str">
            <v>ATT</v>
          </cell>
          <cell r="M1027" t="str">
            <v>Discontinued</v>
          </cell>
          <cell r="N1027" t="str">
            <v>QTYPECC3FT-M</v>
          </cell>
        </row>
        <row r="1028">
          <cell r="A1028" t="str">
            <v>Quikcell</v>
          </cell>
          <cell r="B1028" t="str">
            <v>N.00729180</v>
          </cell>
          <cell r="C1028" t="str">
            <v>QCC6FT-BLK</v>
          </cell>
          <cell r="D1028" t="str">
            <v>846537097614</v>
          </cell>
          <cell r="E1028" t="str">
            <v>Quikcell USB-C to USB-C cable 6 ft</v>
          </cell>
          <cell r="F1028" t="str">
            <v>Cables</v>
          </cell>
          <cell r="G1028" t="str">
            <v>Type C - Type C</v>
          </cell>
          <cell r="H1028" t="str">
            <v>6 ft</v>
          </cell>
          <cell r="I1028">
            <v>180.52</v>
          </cell>
          <cell r="J1028">
            <v>0.39999083094555876</v>
          </cell>
          <cell r="K1028">
            <v>349</v>
          </cell>
          <cell r="L1028" t="str">
            <v>ATT</v>
          </cell>
          <cell r="M1028" t="str">
            <v>Active</v>
          </cell>
          <cell r="N1028" t="str">
            <v>QCC6FT-BLK</v>
          </cell>
        </row>
        <row r="1029">
          <cell r="A1029" t="str">
            <v>Quikcell</v>
          </cell>
          <cell r="B1029" t="str">
            <v>N.00729180</v>
          </cell>
          <cell r="C1029" t="str">
            <v>QTYPECC6FT</v>
          </cell>
          <cell r="D1029" t="str">
            <v>846537077067</v>
          </cell>
          <cell r="E1029" t="str">
            <v>Quikcell CHARGE &amp; SYNC CABLE USB-C to USB-C - 6 ft - Black</v>
          </cell>
          <cell r="F1029" t="str">
            <v>Cables</v>
          </cell>
          <cell r="G1029" t="str">
            <v>Type C - Type C</v>
          </cell>
          <cell r="H1029" t="str">
            <v>6 ft</v>
          </cell>
          <cell r="I1029">
            <v>180.52</v>
          </cell>
          <cell r="J1029">
            <v>0.39999083094555876</v>
          </cell>
          <cell r="K1029">
            <v>349</v>
          </cell>
          <cell r="L1029" t="str">
            <v>ATT</v>
          </cell>
          <cell r="M1029" t="str">
            <v>Discontinued</v>
          </cell>
          <cell r="N1029" t="str">
            <v>QTYPECC6FT-M</v>
          </cell>
        </row>
        <row r="1030">
          <cell r="A1030" t="str">
            <v>Quikcell</v>
          </cell>
          <cell r="B1030" t="str">
            <v>N.00729300</v>
          </cell>
          <cell r="C1030" t="str">
            <v>TIN2006</v>
          </cell>
          <cell r="D1030" t="str">
            <v>846537077494</v>
          </cell>
          <cell r="E1030" t="str">
            <v>Quikcell Apple iPhone 12/12 Pro ICON TINT Transparent Case - Smoke</v>
          </cell>
          <cell r="F1030" t="str">
            <v>Cases iPhone</v>
          </cell>
          <cell r="G1030" t="str">
            <v>iPhone 12</v>
          </cell>
          <cell r="H1030" t="str">
            <v>iPhone 12/iPhone 12 Pro</v>
          </cell>
          <cell r="I1030">
            <v>206.38</v>
          </cell>
          <cell r="J1030">
            <v>0.39999799498746869</v>
          </cell>
          <cell r="K1030">
            <v>399</v>
          </cell>
          <cell r="L1030" t="str">
            <v>ATT</v>
          </cell>
          <cell r="M1030" t="str">
            <v>Discontinued</v>
          </cell>
          <cell r="N1030" t="str">
            <v>TIN2006-M</v>
          </cell>
        </row>
        <row r="1031">
          <cell r="A1031" t="str">
            <v>Quikcell</v>
          </cell>
          <cell r="B1031" t="str">
            <v>N.00729330</v>
          </cell>
          <cell r="C1031" t="str">
            <v>TIN2059-M</v>
          </cell>
          <cell r="D1031" t="str">
            <v>846537083549</v>
          </cell>
          <cell r="E1031" t="str">
            <v>Quikcell iPhone 13 ICON TINT Transparent Protective Case - Ice</v>
          </cell>
          <cell r="F1031" t="str">
            <v>Cases iPhone</v>
          </cell>
          <cell r="G1031" t="str">
            <v>iPhone 13</v>
          </cell>
          <cell r="H1031" t="str">
            <v>iPhone 13</v>
          </cell>
          <cell r="I1031">
            <v>206.38</v>
          </cell>
          <cell r="J1031">
            <v>0.39999799498746869</v>
          </cell>
          <cell r="K1031">
            <v>399</v>
          </cell>
          <cell r="L1031" t="str">
            <v>ATT</v>
          </cell>
          <cell r="M1031" t="str">
            <v>Discontinued</v>
          </cell>
          <cell r="N1031" t="str">
            <v>TIN2059-M</v>
          </cell>
        </row>
        <row r="1032">
          <cell r="A1032" t="str">
            <v>Quikcell</v>
          </cell>
          <cell r="B1032" t="str">
            <v>N.00729360</v>
          </cell>
          <cell r="C1032" t="str">
            <v>TIN2058-M</v>
          </cell>
          <cell r="D1032" t="str">
            <v>846537083532</v>
          </cell>
          <cell r="E1032" t="str">
            <v>Quikcell iPhone 13 ICON TINT Transparent Protective Case - Smoke</v>
          </cell>
          <cell r="F1032" t="str">
            <v>Cases iPhone</v>
          </cell>
          <cell r="G1032" t="str">
            <v>iPhone 13</v>
          </cell>
          <cell r="H1032" t="str">
            <v>iPhone 13</v>
          </cell>
          <cell r="I1032">
            <v>206.38</v>
          </cell>
          <cell r="J1032">
            <v>0.39999799498746869</v>
          </cell>
          <cell r="K1032">
            <v>399</v>
          </cell>
          <cell r="L1032" t="str">
            <v>ATT</v>
          </cell>
          <cell r="M1032" t="str">
            <v>Discontinued</v>
          </cell>
          <cell r="N1032" t="str">
            <v>TIN2058-M</v>
          </cell>
        </row>
        <row r="1033">
          <cell r="A1033" t="str">
            <v>Quikcell</v>
          </cell>
          <cell r="B1033" t="str">
            <v>N.00730320</v>
          </cell>
          <cell r="C1033" t="str">
            <v>QCVPA2005</v>
          </cell>
          <cell r="D1033" t="str">
            <v>846537091964</v>
          </cell>
          <cell r="E1033" t="str">
            <v>Quikcell 37W DUAL PORT A+C CAR CHARGER - Black</v>
          </cell>
          <cell r="F1033" t="str">
            <v>Charger</v>
          </cell>
          <cell r="G1033" t="str">
            <v>Car Charger</v>
          </cell>
          <cell r="H1033" t="str">
            <v>37W</v>
          </cell>
          <cell r="I1033">
            <v>232.24</v>
          </cell>
          <cell r="J1033">
            <v>0.40000356347438759</v>
          </cell>
          <cell r="K1033">
            <v>449</v>
          </cell>
          <cell r="L1033" t="str">
            <v>ATT</v>
          </cell>
          <cell r="M1033" t="str">
            <v>Active</v>
          </cell>
          <cell r="N1033" t="str">
            <v>QCVPA2005-M</v>
          </cell>
        </row>
        <row r="1034">
          <cell r="A1034" t="str">
            <v>Quikcell</v>
          </cell>
          <cell r="B1034" t="str">
            <v>N.00729270</v>
          </cell>
          <cell r="C1034" t="str">
            <v>QTRC2009</v>
          </cell>
          <cell r="D1034" t="str">
            <v>846537085529</v>
          </cell>
          <cell r="E1034" t="str">
            <v>Quikcell PD 25W single port USB-C output</v>
          </cell>
          <cell r="F1034" t="str">
            <v>Charger</v>
          </cell>
          <cell r="G1034" t="str">
            <v>Wall charger</v>
          </cell>
          <cell r="H1034" t="str">
            <v>25W</v>
          </cell>
          <cell r="I1034">
            <v>232.24</v>
          </cell>
          <cell r="J1034">
            <v>0.40000356347438759</v>
          </cell>
          <cell r="K1034">
            <v>449</v>
          </cell>
          <cell r="L1034" t="str">
            <v>ATT</v>
          </cell>
          <cell r="M1034" t="str">
            <v>Discontinued</v>
          </cell>
          <cell r="N1034" t="str">
            <v>QTRC2009-M</v>
          </cell>
        </row>
        <row r="1035">
          <cell r="A1035" t="str">
            <v>Quikcell</v>
          </cell>
          <cell r="B1035" t="str">
            <v>N.00730290</v>
          </cell>
          <cell r="C1035" t="str">
            <v>QCPD25W</v>
          </cell>
          <cell r="D1035" t="str">
            <v>846537091520</v>
          </cell>
          <cell r="E1035" t="str">
            <v>Quikcell PD 25W Single USB-C Port Wall Charger</v>
          </cell>
          <cell r="F1035" t="str">
            <v>Charger</v>
          </cell>
          <cell r="G1035" t="str">
            <v>Wall charger</v>
          </cell>
          <cell r="H1035" t="str">
            <v>25W</v>
          </cell>
          <cell r="I1035">
            <v>232.24</v>
          </cell>
          <cell r="J1035">
            <v>0.40000356347438759</v>
          </cell>
          <cell r="K1035">
            <v>449</v>
          </cell>
          <cell r="L1035" t="str">
            <v>ATT</v>
          </cell>
          <cell r="M1035" t="str">
            <v>Discontinued</v>
          </cell>
          <cell r="N1035" t="str">
            <v>QCPD25W-M</v>
          </cell>
        </row>
        <row r="1036">
          <cell r="A1036" t="str">
            <v>Quikcell</v>
          </cell>
          <cell r="B1036" t="str">
            <v>N.00732660</v>
          </cell>
          <cell r="C1036" t="str">
            <v>QCPD25W-WT</v>
          </cell>
          <cell r="D1036" t="str">
            <v>846537095085</v>
          </cell>
          <cell r="E1036" t="str">
            <v>Quikcell PD 25W Single USB-C Port Wall Charger White</v>
          </cell>
          <cell r="F1036" t="str">
            <v>Charger</v>
          </cell>
          <cell r="G1036" t="str">
            <v>Wall charger</v>
          </cell>
          <cell r="H1036" t="str">
            <v>25W</v>
          </cell>
          <cell r="I1036">
            <v>232.24</v>
          </cell>
          <cell r="J1036">
            <v>0.40000356347438759</v>
          </cell>
          <cell r="K1036">
            <v>449</v>
          </cell>
          <cell r="L1036" t="str">
            <v>ATT</v>
          </cell>
          <cell r="M1036" t="str">
            <v>Active</v>
          </cell>
          <cell r="N1036" t="str">
            <v>QCPD25W-WT</v>
          </cell>
        </row>
        <row r="1037">
          <cell r="A1037" t="str">
            <v>Quikcell</v>
          </cell>
          <cell r="B1037" t="str">
            <v>N.00729240</v>
          </cell>
          <cell r="C1037" t="str">
            <v>QTRC2002</v>
          </cell>
          <cell r="D1037" t="str">
            <v>846537077012</v>
          </cell>
          <cell r="E1037" t="str">
            <v>Quikcell DUAL PORT WALL CHARGER 1 USB A 12W + USB C PD 20W - 32W</v>
          </cell>
          <cell r="F1037" t="str">
            <v>Charger</v>
          </cell>
          <cell r="G1037" t="str">
            <v>Wall charger</v>
          </cell>
          <cell r="H1037" t="str">
            <v>32 W</v>
          </cell>
          <cell r="I1037">
            <v>309.83</v>
          </cell>
          <cell r="J1037">
            <v>0.399995325542571</v>
          </cell>
          <cell r="K1037">
            <v>599</v>
          </cell>
          <cell r="L1037" t="str">
            <v>ATT</v>
          </cell>
          <cell r="M1037" t="str">
            <v>Discontinued</v>
          </cell>
          <cell r="N1037" t="str">
            <v>QTRC2002-M</v>
          </cell>
        </row>
        <row r="1038">
          <cell r="A1038" t="str">
            <v>Quikcell</v>
          </cell>
          <cell r="B1038" t="str">
            <v>N.00732690</v>
          </cell>
          <cell r="C1038" t="str">
            <v>QCPD35W-WT</v>
          </cell>
          <cell r="D1038" t="str">
            <v>846537095092</v>
          </cell>
          <cell r="E1038" t="str">
            <v>Quikcell 35W PD A+C Dual Ports Wall Charger White</v>
          </cell>
          <cell r="F1038" t="str">
            <v>Charger</v>
          </cell>
          <cell r="G1038" t="str">
            <v>Wall charger</v>
          </cell>
          <cell r="H1038" t="str">
            <v>35W</v>
          </cell>
          <cell r="I1038">
            <v>283.97000000000003</v>
          </cell>
          <cell r="J1038">
            <v>0.39999052823315107</v>
          </cell>
          <cell r="K1038">
            <v>549</v>
          </cell>
          <cell r="L1038" t="str">
            <v>ATT</v>
          </cell>
          <cell r="M1038" t="str">
            <v>Active</v>
          </cell>
          <cell r="N1038" t="str">
            <v>QCPD35W-WT</v>
          </cell>
        </row>
        <row r="1039">
          <cell r="A1039" t="str">
            <v>Quikcell</v>
          </cell>
          <cell r="B1039" t="str">
            <v>N.00730260</v>
          </cell>
          <cell r="C1039" t="str">
            <v>QCPD35W</v>
          </cell>
          <cell r="D1039" t="str">
            <v>846537091537</v>
          </cell>
          <cell r="E1039" t="str">
            <v>Quikcell 35W PD A+C Dual Ports Wall Charger</v>
          </cell>
          <cell r="F1039" t="str">
            <v>Charger</v>
          </cell>
          <cell r="G1039" t="str">
            <v>Wall charger</v>
          </cell>
          <cell r="H1039" t="str">
            <v>35W</v>
          </cell>
          <cell r="I1039">
            <v>283.97000000000003</v>
          </cell>
          <cell r="J1039">
            <v>0.39999052823315107</v>
          </cell>
          <cell r="K1039">
            <v>549</v>
          </cell>
          <cell r="L1039" t="str">
            <v>ATT</v>
          </cell>
          <cell r="M1039" t="str">
            <v>Discontinued</v>
          </cell>
          <cell r="N1039" t="str">
            <v>QCPD35W-M</v>
          </cell>
        </row>
        <row r="1040">
          <cell r="A1040" t="str">
            <v>Quikcell</v>
          </cell>
          <cell r="B1040" t="str">
            <v>N.QP15W2IN1CN</v>
          </cell>
          <cell r="C1040" t="str">
            <v>PWERFLIP-BLK</v>
          </cell>
          <cell r="D1040" t="str">
            <v>846537080722</v>
          </cell>
          <cell r="E1040" t="str">
            <v>Quikcell POWERFLIP 15W wireless 2-in-1 charger</v>
          </cell>
          <cell r="F1040" t="str">
            <v>Charger</v>
          </cell>
          <cell r="G1040" t="str">
            <v>Wireless</v>
          </cell>
          <cell r="H1040" t="str">
            <v>15 W</v>
          </cell>
          <cell r="I1040">
            <v>309.83</v>
          </cell>
          <cell r="J1040">
            <v>0.399995325542571</v>
          </cell>
          <cell r="K1040">
            <v>599</v>
          </cell>
          <cell r="L1040" t="str">
            <v>ATT</v>
          </cell>
          <cell r="M1040" t="str">
            <v>Discontinued</v>
          </cell>
          <cell r="N1040" t="str">
            <v>PWERFLIP-BLK-M</v>
          </cell>
        </row>
        <row r="1041">
          <cell r="A1041" t="str">
            <v>Quikcell</v>
          </cell>
          <cell r="B1041" t="str">
            <v>N.QD3IN1UCMBN</v>
          </cell>
          <cell r="C1041" t="str">
            <v>DRIVEDOCK</v>
          </cell>
          <cell r="D1041" t="str">
            <v>846537082122</v>
          </cell>
          <cell r="E1041" t="str">
            <v>Quikcell Mount+Suction+Vent 2 in 1 air vent Dashboad Car Mount</v>
          </cell>
          <cell r="F1041" t="str">
            <v>Hardware</v>
          </cell>
          <cell r="G1041" t="str">
            <v>Car Mount</v>
          </cell>
          <cell r="H1041" t="str">
            <v>Car Mount</v>
          </cell>
          <cell r="I1041">
            <v>154.66</v>
          </cell>
          <cell r="J1041">
            <v>0.39998127090301006</v>
          </cell>
          <cell r="K1041">
            <v>299</v>
          </cell>
          <cell r="L1041" t="str">
            <v>ATT</v>
          </cell>
          <cell r="M1041" t="str">
            <v>Discontinued</v>
          </cell>
          <cell r="N1041" t="str">
            <v>DRIVEDOCK-M</v>
          </cell>
        </row>
        <row r="1042">
          <cell r="A1042" t="str">
            <v>Quikcell</v>
          </cell>
          <cell r="B1042" t="str">
            <v>N.QDCW3IN1CN</v>
          </cell>
          <cell r="C1042" t="str">
            <v>DRIVEDOCK</v>
          </cell>
          <cell r="D1042" t="str">
            <v>846537082122</v>
          </cell>
          <cell r="E1042" t="str">
            <v>Quikcell Mount+Suction+Vent 2 in 1 air vent Dashboad Car Mount</v>
          </cell>
          <cell r="F1042" t="str">
            <v>Hardware</v>
          </cell>
          <cell r="G1042" t="str">
            <v>Car Mount</v>
          </cell>
          <cell r="H1042" t="str">
            <v>Car Mount</v>
          </cell>
          <cell r="I1042">
            <v>258.10000000000002</v>
          </cell>
          <cell r="J1042">
            <v>0.40000801603206415</v>
          </cell>
          <cell r="K1042">
            <v>499</v>
          </cell>
          <cell r="L1042" t="str">
            <v>ATT</v>
          </cell>
          <cell r="M1042" t="str">
            <v>Discontinued</v>
          </cell>
          <cell r="N1042" t="str">
            <v>DRIVEDOCK-M</v>
          </cell>
        </row>
        <row r="1043">
          <cell r="A1043" t="str">
            <v>Quikcell</v>
          </cell>
          <cell r="B1043" t="str">
            <v>N.00729750</v>
          </cell>
          <cell r="C1043" t="str">
            <v>GQC2017</v>
          </cell>
          <cell r="D1043" t="str">
            <v>846537077807</v>
          </cell>
          <cell r="E1043" t="str">
            <v>Quikcell Apple iPhone XR/iPhone 11 TEMPERED GLASS Screen Protection - Clear</v>
          </cell>
          <cell r="F1043" t="str">
            <v>Micas</v>
          </cell>
          <cell r="G1043" t="str">
            <v>iPhone 11</v>
          </cell>
          <cell r="H1043" t="str">
            <v>iPhone 11, iPhone XR</v>
          </cell>
          <cell r="I1043">
            <v>206.38</v>
          </cell>
          <cell r="J1043">
            <v>0.39999799498746869</v>
          </cell>
          <cell r="K1043">
            <v>399</v>
          </cell>
          <cell r="L1043" t="str">
            <v>ATT</v>
          </cell>
          <cell r="M1043" t="str">
            <v>Discontinued</v>
          </cell>
          <cell r="N1043" t="str">
            <v>GQC2017-M</v>
          </cell>
        </row>
        <row r="1044">
          <cell r="A1044" t="str">
            <v>Quikcell</v>
          </cell>
          <cell r="B1044" t="str">
            <v>N.00729780</v>
          </cell>
          <cell r="C1044" t="str">
            <v>GQC2010</v>
          </cell>
          <cell r="D1044" t="str">
            <v>846537077531</v>
          </cell>
          <cell r="E1044" t="str">
            <v>Quikcell Apple iPhone 12/12 Pro TEMPERED GLASS Screen Protector</v>
          </cell>
          <cell r="F1044" t="str">
            <v>Micas</v>
          </cell>
          <cell r="G1044" t="str">
            <v>iPhone 12</v>
          </cell>
          <cell r="H1044" t="str">
            <v>iPhone 12/iPhone 12 Pro</v>
          </cell>
          <cell r="I1044">
            <v>206.38</v>
          </cell>
          <cell r="J1044">
            <v>0.39999799498746869</v>
          </cell>
          <cell r="K1044">
            <v>399</v>
          </cell>
          <cell r="L1044" t="str">
            <v>ATT</v>
          </cell>
          <cell r="M1044" t="str">
            <v>Discontinued</v>
          </cell>
          <cell r="N1044" t="str">
            <v>GQC2010-M</v>
          </cell>
        </row>
        <row r="1045">
          <cell r="A1045" t="str">
            <v>Quikcell</v>
          </cell>
          <cell r="B1045" t="str">
            <v>N.00729810</v>
          </cell>
          <cell r="C1045" t="str">
            <v>GQC2134</v>
          </cell>
          <cell r="D1045" t="str">
            <v>846537077104</v>
          </cell>
          <cell r="E1045" t="str">
            <v>Quikcell Apple iPhone 14 TEMPERED GLASS Screen Protector</v>
          </cell>
          <cell r="F1045" t="str">
            <v>Micas</v>
          </cell>
          <cell r="G1045" t="str">
            <v>iPhone 14</v>
          </cell>
          <cell r="H1045" t="str">
            <v>iPhone 13/ Iphone 14</v>
          </cell>
          <cell r="I1045">
            <v>206.38</v>
          </cell>
          <cell r="J1045">
            <v>0.39999799498746869</v>
          </cell>
          <cell r="K1045">
            <v>399</v>
          </cell>
          <cell r="L1045" t="str">
            <v>ATT</v>
          </cell>
          <cell r="M1045" t="str">
            <v>Discontinued</v>
          </cell>
          <cell r="N1045" t="str">
            <v>GQC2134-M</v>
          </cell>
        </row>
        <row r="1046">
          <cell r="A1046" t="str">
            <v>Quikcell</v>
          </cell>
          <cell r="B1046" t="str">
            <v>N.00729870</v>
          </cell>
          <cell r="C1046" t="str">
            <v>GQC2135</v>
          </cell>
          <cell r="D1046" t="str">
            <v>846537087493</v>
          </cell>
          <cell r="E1046" t="str">
            <v>Quikcell Tempered Glass Screen Protector for iPhone 14 Pro</v>
          </cell>
          <cell r="F1046" t="str">
            <v>Micas</v>
          </cell>
          <cell r="G1046" t="str">
            <v>iPhone 14</v>
          </cell>
          <cell r="H1046" t="str">
            <v>iPhone 14 Pro</v>
          </cell>
          <cell r="I1046">
            <v>258.10000000000002</v>
          </cell>
          <cell r="J1046">
            <v>0.40000801603206415</v>
          </cell>
          <cell r="K1046">
            <v>499</v>
          </cell>
          <cell r="L1046" t="str">
            <v>ATT</v>
          </cell>
          <cell r="M1046" t="str">
            <v>Discontinued</v>
          </cell>
          <cell r="N1046" t="str">
            <v>GQC2135-M</v>
          </cell>
        </row>
        <row r="1047">
          <cell r="A1047" t="str">
            <v>Quikcell</v>
          </cell>
          <cell r="B1047" t="str">
            <v>N.00729840</v>
          </cell>
          <cell r="C1047" t="str">
            <v>GQC2137</v>
          </cell>
          <cell r="D1047" t="str">
            <v>846537087714</v>
          </cell>
          <cell r="E1047" t="str">
            <v>Quikcell Tempered Glass Screen Protector for iPhone 14 Pro Max</v>
          </cell>
          <cell r="F1047" t="str">
            <v>Micas</v>
          </cell>
          <cell r="G1047" t="str">
            <v>iPhone 14</v>
          </cell>
          <cell r="H1047" t="str">
            <v>iPhone 14 Pro Max</v>
          </cell>
          <cell r="I1047">
            <v>258.10000000000002</v>
          </cell>
          <cell r="J1047">
            <v>0.40000801603206415</v>
          </cell>
          <cell r="K1047">
            <v>499</v>
          </cell>
          <cell r="L1047" t="str">
            <v>ATT</v>
          </cell>
          <cell r="M1047" t="str">
            <v>Discontinued</v>
          </cell>
          <cell r="N1047" t="str">
            <v>GQC2137-M</v>
          </cell>
        </row>
        <row r="1048">
          <cell r="A1048" t="str">
            <v>Quikcell</v>
          </cell>
          <cell r="B1048" t="str">
            <v>N.00729930</v>
          </cell>
          <cell r="C1048" t="str">
            <v>GQC2184-M</v>
          </cell>
          <cell r="D1048" t="str">
            <v>846537090950</v>
          </cell>
          <cell r="E1048" t="str">
            <v>Quikcell Tempered Glass Screen Protector iPhone 15 Plus</v>
          </cell>
          <cell r="F1048" t="str">
            <v>Micas</v>
          </cell>
          <cell r="G1048" t="str">
            <v>iPhone 15</v>
          </cell>
          <cell r="H1048" t="str">
            <v>iPhone 15 Plus</v>
          </cell>
          <cell r="I1048">
            <v>283.97000000000003</v>
          </cell>
          <cell r="J1048">
            <v>0.39999052823315107</v>
          </cell>
          <cell r="K1048">
            <v>549</v>
          </cell>
          <cell r="L1048" t="str">
            <v>ATT</v>
          </cell>
          <cell r="M1048" t="str">
            <v>Discontinued</v>
          </cell>
          <cell r="N1048" t="str">
            <v>GQC2184-M</v>
          </cell>
        </row>
        <row r="1049">
          <cell r="A1049" t="str">
            <v>Quikcell</v>
          </cell>
          <cell r="B1049" t="str">
            <v>N.00729900</v>
          </cell>
          <cell r="C1049" t="str">
            <v>GQC2182-M</v>
          </cell>
          <cell r="D1049" t="str">
            <v>846537090738</v>
          </cell>
          <cell r="E1049" t="str">
            <v>Quikcell Tempered Glass Screen Protector iPhone 15</v>
          </cell>
          <cell r="F1049" t="str">
            <v>Micas</v>
          </cell>
          <cell r="G1049" t="str">
            <v>iPhone 15</v>
          </cell>
          <cell r="H1049" t="str">
            <v>iPhone 16e / 15 / 14 / 13</v>
          </cell>
          <cell r="I1049">
            <v>283.97000000000003</v>
          </cell>
          <cell r="J1049">
            <v>0.39999052823315107</v>
          </cell>
          <cell r="K1049">
            <v>549</v>
          </cell>
          <cell r="L1049" t="str">
            <v>ATT</v>
          </cell>
          <cell r="M1049" t="str">
            <v>Discontinued</v>
          </cell>
          <cell r="N1049" t="str">
            <v>GQC2182-M</v>
          </cell>
        </row>
        <row r="1050">
          <cell r="A1050" t="str">
            <v>Quikcell</v>
          </cell>
          <cell r="B1050" t="str">
            <v>N.00732150</v>
          </cell>
          <cell r="C1050" t="str">
            <v>GQC2205-M</v>
          </cell>
          <cell r="D1050" t="str">
            <v>846537093722</v>
          </cell>
          <cell r="E1050" t="str">
            <v>Quikcell Tempered Glass Screen Protector for iPhone 16</v>
          </cell>
          <cell r="F1050" t="str">
            <v>Micas</v>
          </cell>
          <cell r="G1050" t="str">
            <v>iPhone 16</v>
          </cell>
          <cell r="H1050" t="str">
            <v>iPhone 16</v>
          </cell>
          <cell r="I1050">
            <v>283.97000000000003</v>
          </cell>
          <cell r="J1050">
            <v>0.39999052823315107</v>
          </cell>
          <cell r="K1050">
            <v>549</v>
          </cell>
          <cell r="L1050" t="str">
            <v>ATT</v>
          </cell>
          <cell r="M1050" t="str">
            <v>Discontinued</v>
          </cell>
          <cell r="N1050" t="str">
            <v>GQC2205-M</v>
          </cell>
        </row>
        <row r="1051">
          <cell r="A1051" t="str">
            <v>Quikcell</v>
          </cell>
          <cell r="B1051" t="str">
            <v>N.00732180</v>
          </cell>
          <cell r="C1051" t="str">
            <v>GQC2206-M</v>
          </cell>
          <cell r="D1051" t="str">
            <v>846537093852</v>
          </cell>
          <cell r="E1051" t="str">
            <v>Quikcell Tempered Glass Screen Protector for iPhone 16 Pro</v>
          </cell>
          <cell r="F1051" t="str">
            <v>Micas</v>
          </cell>
          <cell r="G1051" t="str">
            <v>iPhone 16</v>
          </cell>
          <cell r="H1051" t="str">
            <v>iPhone 16 Pro / iPhone 17 / 17 Pro</v>
          </cell>
          <cell r="I1051">
            <v>283.97000000000003</v>
          </cell>
          <cell r="J1051">
            <v>0.39999052823315107</v>
          </cell>
          <cell r="K1051">
            <v>549</v>
          </cell>
          <cell r="L1051" t="str">
            <v>ATT</v>
          </cell>
          <cell r="M1051" t="str">
            <v>Discontinued</v>
          </cell>
          <cell r="N1051" t="str">
            <v>GQC2206-M</v>
          </cell>
        </row>
        <row r="1052">
          <cell r="A1052" t="str">
            <v>Quikcell</v>
          </cell>
          <cell r="B1052" t="str">
            <v>N.00732210</v>
          </cell>
          <cell r="C1052" t="str">
            <v>GQC2208-M</v>
          </cell>
          <cell r="D1052" t="str">
            <v>846537094095</v>
          </cell>
          <cell r="E1052" t="str">
            <v>Quikcell Tempered Glass Screen Protector for iPhone 16 Pro Max</v>
          </cell>
          <cell r="F1052" t="str">
            <v>Micas</v>
          </cell>
          <cell r="G1052" t="str">
            <v>iPhone 16</v>
          </cell>
          <cell r="H1052" t="str">
            <v>iPhone 16 Pro Max</v>
          </cell>
          <cell r="I1052">
            <v>283.97000000000003</v>
          </cell>
          <cell r="J1052">
            <v>0.39999052823315107</v>
          </cell>
          <cell r="K1052">
            <v>549</v>
          </cell>
          <cell r="L1052" t="str">
            <v>ATT</v>
          </cell>
          <cell r="M1052" t="str">
            <v>Discontinued</v>
          </cell>
          <cell r="N1052" t="str">
            <v>GQC2208-M</v>
          </cell>
        </row>
        <row r="1053">
          <cell r="A1053" t="str">
            <v>Quikcell</v>
          </cell>
          <cell r="B1053" t="str">
            <v>N.00729720</v>
          </cell>
          <cell r="C1053" t="str">
            <v>QC-LIQUIDG</v>
          </cell>
          <cell r="D1053" t="str">
            <v>846537071317</v>
          </cell>
          <cell r="E1053" t="str">
            <v>Quikcell Ultra LIQUID GLASS Screen Protector</v>
          </cell>
          <cell r="F1053" t="str">
            <v>Micas</v>
          </cell>
          <cell r="G1053" t="str">
            <v>UNIVERSAL</v>
          </cell>
          <cell r="H1053" t="str">
            <v>Universal</v>
          </cell>
          <cell r="I1053">
            <v>309.83</v>
          </cell>
          <cell r="J1053">
            <v>0.399995325542571</v>
          </cell>
          <cell r="K1053">
            <v>599</v>
          </cell>
          <cell r="L1053" t="str">
            <v>ATT</v>
          </cell>
          <cell r="M1053" t="str">
            <v>Active</v>
          </cell>
          <cell r="N1053" t="str">
            <v>QC-LIQUIDG-M</v>
          </cell>
        </row>
        <row r="1054">
          <cell r="A1054" t="str">
            <v>Speck</v>
          </cell>
          <cell r="B1054" t="str">
            <v>N.00729660</v>
          </cell>
          <cell r="C1054" t="str">
            <v>150423-1041</v>
          </cell>
          <cell r="D1054" t="str">
            <v>840168532148</v>
          </cell>
          <cell r="E1054" t="str">
            <v>Speck Wallet for MagSafe® Black iPhone 15 Wallet</v>
          </cell>
          <cell r="F1054" t="str">
            <v>Accesories</v>
          </cell>
          <cell r="G1054" t="str">
            <v>Click Lock</v>
          </cell>
          <cell r="H1054" t="str">
            <v>Wallet</v>
          </cell>
          <cell r="I1054">
            <v>309.83</v>
          </cell>
          <cell r="J1054">
            <v>0.399995325542571</v>
          </cell>
          <cell r="K1054">
            <v>599</v>
          </cell>
          <cell r="L1054" t="str">
            <v>ATT</v>
          </cell>
          <cell r="M1054" t="str">
            <v>Discontinued</v>
          </cell>
          <cell r="N1054" t="str">
            <v>150423-1041-M</v>
          </cell>
        </row>
        <row r="1055">
          <cell r="A1055" t="str">
            <v>Speck</v>
          </cell>
          <cell r="B1055" t="str">
            <v>N.00733500</v>
          </cell>
          <cell r="C1055" t="str">
            <v>150691-3199</v>
          </cell>
          <cell r="D1055" t="str">
            <v>840168540433</v>
          </cell>
          <cell r="E1055" t="str">
            <v>Speck iPhone 16 Presidio Perfect Clear +Cl Clear/Chrome Fini</v>
          </cell>
          <cell r="F1055" t="str">
            <v>Bundle</v>
          </cell>
          <cell r="G1055" t="str">
            <v>iPhone 16</v>
          </cell>
          <cell r="H1055" t="str">
            <v>iPhone 16</v>
          </cell>
          <cell r="I1055">
            <v>542.5</v>
          </cell>
          <cell r="J1055">
            <v>0.30000000000000004</v>
          </cell>
          <cell r="K1055">
            <v>899</v>
          </cell>
          <cell r="L1055" t="str">
            <v>ATT</v>
          </cell>
          <cell r="M1055" t="str">
            <v>Discontinued</v>
          </cell>
          <cell r="N1055" t="str">
            <v>150691-3199</v>
          </cell>
        </row>
        <row r="1056">
          <cell r="A1056" t="str">
            <v>Speck</v>
          </cell>
          <cell r="B1056" t="str">
            <v>N.00733530</v>
          </cell>
          <cell r="C1056" t="str">
            <v>150703-3199</v>
          </cell>
          <cell r="D1056" t="str">
            <v>840168540846</v>
          </cell>
          <cell r="E1056" t="str">
            <v>Speck iPhone 16 Pro Presidio Perfect Clear +Cl Clear/Chrome Fini</v>
          </cell>
          <cell r="F1056" t="str">
            <v>Bundle</v>
          </cell>
          <cell r="G1056" t="str">
            <v>iPhone 16</v>
          </cell>
          <cell r="H1056" t="str">
            <v>iPhone 16 Pro / iPhone 17</v>
          </cell>
          <cell r="I1056">
            <v>542.5</v>
          </cell>
          <cell r="J1056">
            <v>0.30000000000000004</v>
          </cell>
          <cell r="K1056">
            <v>899</v>
          </cell>
          <cell r="L1056" t="str">
            <v>ATT</v>
          </cell>
          <cell r="M1056" t="str">
            <v>Discontinued</v>
          </cell>
          <cell r="N1056" t="str">
            <v>150703-3199-M</v>
          </cell>
        </row>
        <row r="1057">
          <cell r="A1057" t="str">
            <v>Speck</v>
          </cell>
          <cell r="B1057" t="str">
            <v>N.00733560</v>
          </cell>
          <cell r="C1057" t="str">
            <v>150727-3199</v>
          </cell>
          <cell r="D1057" t="str">
            <v>840168544561</v>
          </cell>
          <cell r="E1057" t="str">
            <v>Speck iPhone 16 Pro Max Presidio Perfect Clear +Cl Clear/Clear/Chrome Finish/Serene Silver</v>
          </cell>
          <cell r="F1057" t="str">
            <v>Bundle</v>
          </cell>
          <cell r="G1057" t="str">
            <v>iPhone 16</v>
          </cell>
          <cell r="H1057" t="str">
            <v>iPhone 16 Pro Max</v>
          </cell>
          <cell r="I1057">
            <v>542.5</v>
          </cell>
          <cell r="J1057">
            <v>0.30000000000000004</v>
          </cell>
          <cell r="K1057">
            <v>899</v>
          </cell>
          <cell r="L1057" t="str">
            <v>ATT</v>
          </cell>
          <cell r="M1057" t="str">
            <v>Discontinued</v>
          </cell>
          <cell r="N1057" t="str">
            <v>150727-3199-M</v>
          </cell>
        </row>
        <row r="1058">
          <cell r="A1058" t="str">
            <v>Speck</v>
          </cell>
          <cell r="B1058" t="str">
            <v>N.00729690</v>
          </cell>
          <cell r="C1058" t="str">
            <v>136495-5085</v>
          </cell>
          <cell r="D1058" t="str">
            <v>848709086235</v>
          </cell>
          <cell r="E1058" t="str">
            <v>Speck iPhone  11 New Clear Grip (Clear/Clear)</v>
          </cell>
          <cell r="F1058" t="str">
            <v>Cases iPhone</v>
          </cell>
          <cell r="G1058" t="str">
            <v>iPhone 11</v>
          </cell>
          <cell r="H1058" t="str">
            <v>iPhone 11</v>
          </cell>
          <cell r="I1058">
            <v>309.83</v>
          </cell>
          <cell r="J1058">
            <v>0.399995325542571</v>
          </cell>
          <cell r="K1058">
            <v>599</v>
          </cell>
          <cell r="L1058" t="str">
            <v>ATT</v>
          </cell>
          <cell r="M1058" t="str">
            <v>Discontinued</v>
          </cell>
          <cell r="N1058" t="str">
            <v>136495-5085-M</v>
          </cell>
        </row>
        <row r="1059">
          <cell r="A1059" t="str">
            <v>Speck</v>
          </cell>
          <cell r="B1059" t="str">
            <v>N.00729690</v>
          </cell>
          <cell r="C1059" t="str">
            <v>128842-5085</v>
          </cell>
          <cell r="D1059" t="str">
            <v>848709074607</v>
          </cell>
          <cell r="E1059" t="str">
            <v>Speck iPhone 11 Gemshell (Clear/Clear)</v>
          </cell>
          <cell r="F1059" t="str">
            <v>Cases iPhone</v>
          </cell>
          <cell r="G1059" t="str">
            <v>iPhone 11</v>
          </cell>
          <cell r="H1059" t="str">
            <v>iPhone 11</v>
          </cell>
          <cell r="I1059">
            <v>309.83</v>
          </cell>
          <cell r="J1059">
            <v>0.399995325542571</v>
          </cell>
          <cell r="K1059">
            <v>599</v>
          </cell>
          <cell r="L1059" t="str">
            <v>ATT</v>
          </cell>
          <cell r="M1059" t="str">
            <v>Discontinued</v>
          </cell>
          <cell r="N1059" t="str">
            <v>128842-5085-M</v>
          </cell>
        </row>
        <row r="1060">
          <cell r="A1060" t="str">
            <v>Speck</v>
          </cell>
          <cell r="B1060" t="str">
            <v>N.00729420</v>
          </cell>
          <cell r="C1060" t="str">
            <v>150147-5085</v>
          </cell>
          <cell r="D1060" t="str">
            <v>840168525034</v>
          </cell>
          <cell r="E1060" t="str">
            <v>Speck Presidio Perfect Clear Case for iPhone 14 Pro - Clear</v>
          </cell>
          <cell r="F1060" t="str">
            <v>Cases iPhone</v>
          </cell>
          <cell r="G1060" t="str">
            <v>iPhone 14</v>
          </cell>
          <cell r="H1060" t="str">
            <v>iPhone 14 Pro</v>
          </cell>
          <cell r="I1060">
            <v>516.72</v>
          </cell>
          <cell r="J1060">
            <v>0.40000480480480471</v>
          </cell>
          <cell r="K1060">
            <v>999</v>
          </cell>
          <cell r="L1060" t="str">
            <v>ATT</v>
          </cell>
          <cell r="M1060" t="str">
            <v>Discontinued</v>
          </cell>
          <cell r="N1060" t="str">
            <v>150147-5085-M</v>
          </cell>
        </row>
        <row r="1061">
          <cell r="A1061" t="str">
            <v>Speck</v>
          </cell>
          <cell r="B1061" t="str">
            <v>N.00729390</v>
          </cell>
          <cell r="C1061" t="str">
            <v>150089-5085</v>
          </cell>
          <cell r="D1061" t="str">
            <v>840168523016</v>
          </cell>
          <cell r="E1061" t="str">
            <v>Speck Presidio Perfect Clear Case for iPhone 14 Pro Max - Clear</v>
          </cell>
          <cell r="F1061" t="str">
            <v>Cases iPhone</v>
          </cell>
          <cell r="G1061" t="str">
            <v>iPhone 14</v>
          </cell>
          <cell r="H1061" t="str">
            <v>iPhone 14 Pro Max</v>
          </cell>
          <cell r="I1061">
            <v>516.72</v>
          </cell>
          <cell r="J1061">
            <v>0.40000480480480471</v>
          </cell>
          <cell r="K1061">
            <v>999</v>
          </cell>
          <cell r="L1061" t="str">
            <v>ATT</v>
          </cell>
          <cell r="M1061" t="str">
            <v>Discontinued</v>
          </cell>
          <cell r="N1061" t="str">
            <v>150089-5085-M</v>
          </cell>
        </row>
        <row r="1062">
          <cell r="A1062" t="str">
            <v>Speck</v>
          </cell>
          <cell r="B1062" t="str">
            <v>N.00729630</v>
          </cell>
          <cell r="C1062" t="str">
            <v>150509-5085</v>
          </cell>
          <cell r="D1062" t="str">
            <v>840168535668</v>
          </cell>
          <cell r="E1062" t="str">
            <v>Speck GemShell® iPhone 15 Plus</v>
          </cell>
          <cell r="F1062" t="str">
            <v>Cases iPhone</v>
          </cell>
          <cell r="G1062" t="str">
            <v>iPhone 15</v>
          </cell>
          <cell r="H1062" t="str">
            <v>iPhone 15 Plus</v>
          </cell>
          <cell r="I1062">
            <v>309.83</v>
          </cell>
          <cell r="J1062">
            <v>0.399995325542571</v>
          </cell>
          <cell r="K1062">
            <v>599</v>
          </cell>
          <cell r="L1062" t="str">
            <v>ATT</v>
          </cell>
          <cell r="M1062" t="str">
            <v>Discontinued</v>
          </cell>
          <cell r="N1062" t="str">
            <v>150509-5085-M</v>
          </cell>
        </row>
        <row r="1063">
          <cell r="A1063" t="str">
            <v>Speck</v>
          </cell>
          <cell r="B1063" t="str">
            <v>N.00729510</v>
          </cell>
          <cell r="C1063" t="str">
            <v>150451-3199</v>
          </cell>
          <cell r="D1063" t="str">
            <v>840168533121</v>
          </cell>
          <cell r="E1063" t="str">
            <v>Speck Presidio® Perfect-Clear Grip Magsafe® Clicklock™ Clear/Clear/Chrome iPhone 15 Pro</v>
          </cell>
          <cell r="F1063" t="str">
            <v>Cases iPhone</v>
          </cell>
          <cell r="G1063" t="str">
            <v>iPhone 15</v>
          </cell>
          <cell r="H1063" t="str">
            <v>iPhone 15 Pro</v>
          </cell>
          <cell r="I1063">
            <v>516.72</v>
          </cell>
          <cell r="J1063">
            <v>0.40000480480480471</v>
          </cell>
          <cell r="K1063">
            <v>999</v>
          </cell>
          <cell r="L1063" t="str">
            <v>ATT</v>
          </cell>
          <cell r="M1063" t="str">
            <v>Discontinued</v>
          </cell>
          <cell r="N1063" t="str">
            <v>150451-3199-M</v>
          </cell>
        </row>
        <row r="1064">
          <cell r="A1064" t="str">
            <v>Speck</v>
          </cell>
          <cell r="B1064" t="str">
            <v>N.00729540</v>
          </cell>
          <cell r="C1064" t="str">
            <v>150447-3205</v>
          </cell>
          <cell r="D1064" t="str">
            <v>840168532995</v>
          </cell>
          <cell r="E1064" t="str">
            <v>Speck Presidio®2 Grip Magsafe® Clicklock™ Black / Slate Grey iPhone 15 Pro</v>
          </cell>
          <cell r="F1064" t="str">
            <v>Cases iPhone</v>
          </cell>
          <cell r="G1064" t="str">
            <v>iPhone 15</v>
          </cell>
          <cell r="H1064" t="str">
            <v>iPhone 15 Pro</v>
          </cell>
          <cell r="I1064">
            <v>516.72</v>
          </cell>
          <cell r="J1064">
            <v>0.40000480480480471</v>
          </cell>
          <cell r="K1064">
            <v>999</v>
          </cell>
          <cell r="L1064" t="str">
            <v>ATT</v>
          </cell>
          <cell r="M1064" t="str">
            <v>Discontinued</v>
          </cell>
          <cell r="N1064" t="str">
            <v>150447-3205-M</v>
          </cell>
        </row>
        <row r="1065">
          <cell r="A1065" t="str">
            <v>Speck</v>
          </cell>
          <cell r="B1065" t="str">
            <v>N.00729450</v>
          </cell>
          <cell r="C1065" t="str">
            <v>150467-3199</v>
          </cell>
          <cell r="D1065" t="str">
            <v>840168533640</v>
          </cell>
          <cell r="E1065" t="str">
            <v>Speck Presidio® Perfect-Clear Grip Magsafe® Clicklock™ Clear/Clear/Chrome iPhone 15 Pro Max</v>
          </cell>
          <cell r="F1065" t="str">
            <v>Cases iPhone</v>
          </cell>
          <cell r="G1065" t="str">
            <v>iPhone 15</v>
          </cell>
          <cell r="H1065" t="str">
            <v>iPhone 15 Pro Max</v>
          </cell>
          <cell r="I1065">
            <v>516.72</v>
          </cell>
          <cell r="J1065">
            <v>0.40000480480480471</v>
          </cell>
          <cell r="K1065">
            <v>999</v>
          </cell>
          <cell r="L1065" t="str">
            <v>ATT</v>
          </cell>
          <cell r="M1065" t="str">
            <v>Discontinued</v>
          </cell>
          <cell r="N1065" t="str">
            <v>150467-3199-M</v>
          </cell>
        </row>
        <row r="1066">
          <cell r="A1066" t="str">
            <v>Speck</v>
          </cell>
          <cell r="B1066" t="str">
            <v>N.00729480</v>
          </cell>
          <cell r="C1066" t="str">
            <v>150463-3205</v>
          </cell>
          <cell r="D1066" t="str">
            <v>840168533510</v>
          </cell>
          <cell r="E1066" t="str">
            <v>Speck Presidio®2 Grip Magsafe® Clicklock™ Black / Slate Grey iPhone 15 Pro Max</v>
          </cell>
          <cell r="F1066" t="str">
            <v>Cases iPhone</v>
          </cell>
          <cell r="G1066" t="str">
            <v>iPhone 15</v>
          </cell>
          <cell r="H1066" t="str">
            <v>iPhone 15 Pro Max</v>
          </cell>
          <cell r="I1066">
            <v>516.72</v>
          </cell>
          <cell r="J1066">
            <v>0.40000480480480471</v>
          </cell>
          <cell r="K1066">
            <v>999</v>
          </cell>
          <cell r="L1066" t="str">
            <v>ATT</v>
          </cell>
          <cell r="M1066" t="str">
            <v>Discontinued</v>
          </cell>
          <cell r="N1066" t="str">
            <v>150463-3205-M</v>
          </cell>
        </row>
        <row r="1067">
          <cell r="A1067" t="str">
            <v>Speck</v>
          </cell>
          <cell r="B1067" t="str">
            <v>N.00729570</v>
          </cell>
          <cell r="C1067" t="str">
            <v>150491-5085</v>
          </cell>
          <cell r="D1067" t="str">
            <v>840168534944</v>
          </cell>
          <cell r="E1067" t="str">
            <v>Speck GemShell® iPhone 15</v>
          </cell>
          <cell r="F1067" t="str">
            <v>Cases iPhone</v>
          </cell>
          <cell r="G1067" t="str">
            <v>iPhone 15</v>
          </cell>
          <cell r="H1067" t="str">
            <v>iPhone 16e / 15 / 14 / 13</v>
          </cell>
          <cell r="I1067">
            <v>309.83</v>
          </cell>
          <cell r="J1067">
            <v>0.399995325542571</v>
          </cell>
          <cell r="K1067">
            <v>599</v>
          </cell>
          <cell r="L1067" t="str">
            <v>ATT</v>
          </cell>
          <cell r="M1067" t="str">
            <v>Discontinued</v>
          </cell>
          <cell r="N1067" t="str">
            <v>150491-5085-M</v>
          </cell>
        </row>
        <row r="1068">
          <cell r="A1068" t="str">
            <v>Speck</v>
          </cell>
          <cell r="B1068" t="str">
            <v>N.00729600</v>
          </cell>
          <cell r="C1068" t="str">
            <v>150443-3199</v>
          </cell>
          <cell r="D1068" t="str">
            <v>840168532865</v>
          </cell>
          <cell r="E1068" t="str">
            <v>Speck Presidio® Perfect-Clear Grip Magsafe® Clicklock™ Clear/Clear/Chrome iPhone 15</v>
          </cell>
          <cell r="F1068" t="str">
            <v>Cases iPhone</v>
          </cell>
          <cell r="G1068" t="str">
            <v>iPhone 15</v>
          </cell>
          <cell r="H1068" t="str">
            <v>iPhone 16e / 15 / 14 / 13</v>
          </cell>
          <cell r="I1068">
            <v>516.72</v>
          </cell>
          <cell r="J1068">
            <v>0.40000480480480471</v>
          </cell>
          <cell r="K1068">
            <v>999</v>
          </cell>
          <cell r="L1068" t="str">
            <v>ATT</v>
          </cell>
          <cell r="M1068" t="str">
            <v>Discontinued</v>
          </cell>
          <cell r="N1068" t="str">
            <v>150443-3199-M</v>
          </cell>
        </row>
        <row r="1069">
          <cell r="A1069" t="str">
            <v>Speck</v>
          </cell>
          <cell r="B1069" t="str">
            <v>N.00731880</v>
          </cell>
          <cell r="C1069" t="str">
            <v>150698-9508</v>
          </cell>
          <cell r="D1069" t="str">
            <v>840168540662</v>
          </cell>
          <cell r="E1069" t="str">
            <v>Speck iPhone 16 Gemshell Clear/ Platinum Glitter</v>
          </cell>
          <cell r="F1069" t="str">
            <v>Cases iPhone</v>
          </cell>
          <cell r="G1069" t="str">
            <v>iPhone 16</v>
          </cell>
          <cell r="H1069" t="str">
            <v>iPhone 16</v>
          </cell>
          <cell r="I1069">
            <v>309.83</v>
          </cell>
          <cell r="J1069">
            <v>0.399995325542571</v>
          </cell>
          <cell r="K1069">
            <v>599</v>
          </cell>
          <cell r="L1069" t="str">
            <v>ATT</v>
          </cell>
          <cell r="M1069" t="str">
            <v>Discontinued</v>
          </cell>
          <cell r="N1069" t="str">
            <v>150698-9508-M</v>
          </cell>
        </row>
        <row r="1070">
          <cell r="A1070" t="str">
            <v>Speck</v>
          </cell>
          <cell r="B1070" t="str">
            <v>N.00731850</v>
          </cell>
          <cell r="C1070" t="str">
            <v>150696-5085</v>
          </cell>
          <cell r="D1070" t="str">
            <v>840168540648</v>
          </cell>
          <cell r="E1070" t="str">
            <v>Speck iPhone 16 Gemshell Clear/Clear</v>
          </cell>
          <cell r="F1070" t="str">
            <v>Cases iPhone</v>
          </cell>
          <cell r="G1070" t="str">
            <v>iPhone 16</v>
          </cell>
          <cell r="H1070" t="str">
            <v>iPhone 16</v>
          </cell>
          <cell r="I1070">
            <v>309.83</v>
          </cell>
          <cell r="J1070">
            <v>0.399995325542571</v>
          </cell>
          <cell r="K1070">
            <v>599</v>
          </cell>
          <cell r="L1070" t="str">
            <v>ATT</v>
          </cell>
          <cell r="M1070" t="str">
            <v>Discontinued</v>
          </cell>
          <cell r="N1070" t="str">
            <v>150696-5085-M</v>
          </cell>
        </row>
        <row r="1071">
          <cell r="A1071" t="str">
            <v>Speck</v>
          </cell>
          <cell r="B1071" t="str">
            <v>N.00733590</v>
          </cell>
          <cell r="C1071" t="str">
            <v>150691-3199</v>
          </cell>
          <cell r="D1071" t="str">
            <v>840168540433</v>
          </cell>
          <cell r="E1071" t="str">
            <v>Speck iPhone 16 Presidio Perfect Clear +Cl Clear/Chrome Fini</v>
          </cell>
          <cell r="F1071" t="str">
            <v>Cases iPhone</v>
          </cell>
          <cell r="G1071" t="str">
            <v>iPhone 16</v>
          </cell>
          <cell r="H1071" t="str">
            <v>iPhone 16</v>
          </cell>
          <cell r="I1071">
            <v>516.72</v>
          </cell>
          <cell r="J1071">
            <v>0.40000480480480471</v>
          </cell>
          <cell r="K1071">
            <v>999</v>
          </cell>
          <cell r="L1071" t="str">
            <v>ATT</v>
          </cell>
          <cell r="M1071" t="str">
            <v>Discontinued</v>
          </cell>
          <cell r="N1071" t="str">
            <v>150691-3199</v>
          </cell>
        </row>
        <row r="1072">
          <cell r="A1072" t="str">
            <v>Speck</v>
          </cell>
          <cell r="B1072" t="str">
            <v>N.00731760</v>
          </cell>
          <cell r="C1072" t="str">
            <v>150706-9221</v>
          </cell>
          <cell r="D1072" t="str">
            <v>840168540945</v>
          </cell>
          <cell r="E1072" t="str">
            <v>Speck iPhone 16 Pro Presidio Lux +Cl Clear/Clear /Gold Glitter?</v>
          </cell>
          <cell r="F1072" t="str">
            <v>Cases iPhone</v>
          </cell>
          <cell r="G1072" t="str">
            <v>iPhone 16</v>
          </cell>
          <cell r="H1072" t="str">
            <v>iPhone 16 Pro / iPhone 17</v>
          </cell>
          <cell r="I1072">
            <v>516.72</v>
          </cell>
          <cell r="J1072">
            <v>0.40000480480480471</v>
          </cell>
          <cell r="K1072">
            <v>999</v>
          </cell>
          <cell r="L1072" t="str">
            <v>ATT</v>
          </cell>
          <cell r="M1072" t="str">
            <v>Discontinued</v>
          </cell>
          <cell r="N1072" t="str">
            <v>150706-9221-M</v>
          </cell>
        </row>
        <row r="1073">
          <cell r="A1073" t="str">
            <v>Speck</v>
          </cell>
          <cell r="B1073" t="str">
            <v>N.00731820</v>
          </cell>
          <cell r="C1073" t="str">
            <v>150703-3258</v>
          </cell>
          <cell r="D1073" t="str">
            <v>840168544509</v>
          </cell>
          <cell r="E1073" t="str">
            <v>Speck iPhone 16 Pro Presidio Perfect Clear Clear Frosted Black</v>
          </cell>
          <cell r="F1073" t="str">
            <v>Cases iPhone</v>
          </cell>
          <cell r="G1073" t="str">
            <v>iPhone 16</v>
          </cell>
          <cell r="H1073" t="str">
            <v>iPhone 16 Pro / iPhone 17</v>
          </cell>
          <cell r="I1073">
            <v>516.72</v>
          </cell>
          <cell r="J1073">
            <v>0.40000480480480471</v>
          </cell>
          <cell r="K1073">
            <v>999</v>
          </cell>
          <cell r="L1073" t="str">
            <v>ATT</v>
          </cell>
          <cell r="M1073" t="str">
            <v>Discontinued</v>
          </cell>
          <cell r="N1073" t="str">
            <v>150703-3258-M</v>
          </cell>
        </row>
        <row r="1074">
          <cell r="A1074" t="str">
            <v>Speck</v>
          </cell>
          <cell r="B1074" t="str">
            <v>N.00731790</v>
          </cell>
          <cell r="C1074" t="str">
            <v>150703-3199</v>
          </cell>
          <cell r="D1074" t="str">
            <v>840168540846</v>
          </cell>
          <cell r="E1074" t="str">
            <v>Speck iPhone 16 Pro Presidio Perfect Clear +Cl Clear/Chrome Fini</v>
          </cell>
          <cell r="F1074" t="str">
            <v>Cases iPhone</v>
          </cell>
          <cell r="G1074" t="str">
            <v>iPhone 16</v>
          </cell>
          <cell r="H1074" t="str">
            <v>iPhone 16 Pro / iPhone 17</v>
          </cell>
          <cell r="I1074">
            <v>516.72</v>
          </cell>
          <cell r="J1074">
            <v>0.40000480480480471</v>
          </cell>
          <cell r="K1074">
            <v>999</v>
          </cell>
          <cell r="L1074" t="str">
            <v>ATT</v>
          </cell>
          <cell r="M1074" t="str">
            <v>Discontinued</v>
          </cell>
          <cell r="N1074" t="str">
            <v>150703-3199-M</v>
          </cell>
        </row>
        <row r="1075">
          <cell r="A1075" t="str">
            <v>Speck</v>
          </cell>
          <cell r="B1075" t="str">
            <v>N.00731700</v>
          </cell>
          <cell r="C1075" t="str">
            <v>150727-3199</v>
          </cell>
          <cell r="D1075" t="str">
            <v>840168544561</v>
          </cell>
          <cell r="E1075" t="str">
            <v>Speck iPhone 16 Pro Max Presidio Perfect Clear +Cl Clear/Clear/Chrome Finish/Serene Silver</v>
          </cell>
          <cell r="F1075" t="str">
            <v>Cases iPhone</v>
          </cell>
          <cell r="G1075" t="str">
            <v>iPhone 16</v>
          </cell>
          <cell r="H1075" t="str">
            <v>iPhone 16 Pro Max</v>
          </cell>
          <cell r="I1075">
            <v>516.72</v>
          </cell>
          <cell r="J1075">
            <v>0.40000480480480471</v>
          </cell>
          <cell r="K1075">
            <v>999</v>
          </cell>
          <cell r="L1075" t="str">
            <v>ATT</v>
          </cell>
          <cell r="M1075" t="str">
            <v>Discontinued</v>
          </cell>
          <cell r="N1075" t="str">
            <v>150727-3199-M</v>
          </cell>
        </row>
        <row r="1076">
          <cell r="A1076" t="str">
            <v>Speck</v>
          </cell>
          <cell r="B1076" t="str">
            <v>N.00731730</v>
          </cell>
          <cell r="C1076" t="str">
            <v>150727-3258</v>
          </cell>
          <cell r="D1076" t="str">
            <v>840168544530</v>
          </cell>
          <cell r="E1076" t="str">
            <v>Speck iPhone 16 Pro Max Presidio Perfect Clear Clear Frosted Blk</v>
          </cell>
          <cell r="F1076" t="str">
            <v>Cases iPhone</v>
          </cell>
          <cell r="G1076" t="str">
            <v>iPhone 16</v>
          </cell>
          <cell r="H1076" t="str">
            <v>iPhone 16 Pro Max</v>
          </cell>
          <cell r="I1076">
            <v>516.72</v>
          </cell>
          <cell r="J1076">
            <v>0.40000480480480471</v>
          </cell>
          <cell r="K1076">
            <v>999</v>
          </cell>
          <cell r="L1076" t="str">
            <v>ATT</v>
          </cell>
          <cell r="M1076" t="str">
            <v>Discontinued</v>
          </cell>
          <cell r="N1076" t="str">
            <v>150727-3258-M</v>
          </cell>
        </row>
        <row r="1077">
          <cell r="A1077" t="str">
            <v>Speck</v>
          </cell>
          <cell r="B1077" t="str">
            <v>N.00731670</v>
          </cell>
          <cell r="C1077" t="str">
            <v>150730-9221</v>
          </cell>
          <cell r="D1077" t="str">
            <v>840168543953</v>
          </cell>
          <cell r="E1077" t="str">
            <v>Speck iPhone 16 Pro Max Presidio Lux +Cl Clear/Gold Glitter</v>
          </cell>
          <cell r="F1077" t="str">
            <v>Cases iPhone</v>
          </cell>
          <cell r="G1077" t="str">
            <v>iPhone 16</v>
          </cell>
          <cell r="H1077" t="str">
            <v>iPhone 16 Pro Max</v>
          </cell>
          <cell r="I1077">
            <v>516.72</v>
          </cell>
          <cell r="J1077">
            <v>0.40000480480480471</v>
          </cell>
          <cell r="K1077">
            <v>999</v>
          </cell>
          <cell r="L1077" t="str">
            <v>ATT</v>
          </cell>
          <cell r="M1077" t="str">
            <v>Discontinued</v>
          </cell>
          <cell r="N1077" t="str">
            <v>150730-9221-M</v>
          </cell>
        </row>
        <row r="1078">
          <cell r="A1078" t="str">
            <v>Speck</v>
          </cell>
          <cell r="B1078" t="str">
            <v>N.00734220</v>
          </cell>
          <cell r="C1078" t="str">
            <v>150958-D143</v>
          </cell>
          <cell r="D1078" t="str">
            <v>840168546145</v>
          </cell>
          <cell r="E1078" t="str">
            <v>Speck Presidio2 Grip + MS iPhone 17 Black</v>
          </cell>
          <cell r="F1078" t="str">
            <v>Cases iPhone</v>
          </cell>
          <cell r="G1078" t="str">
            <v>iPhone 17</v>
          </cell>
          <cell r="H1078" t="str">
            <v>iPhone 17</v>
          </cell>
          <cell r="I1078">
            <v>516.72</v>
          </cell>
          <cell r="J1078">
            <v>0.4</v>
          </cell>
          <cell r="K1078">
            <v>999</v>
          </cell>
          <cell r="L1078" t="str">
            <v>ATT</v>
          </cell>
          <cell r="M1078" t="str">
            <v>Discontinued</v>
          </cell>
          <cell r="N1078" t="str">
            <v>150958-D143</v>
          </cell>
        </row>
        <row r="1079">
          <cell r="A1079" t="str">
            <v>Speck</v>
          </cell>
          <cell r="B1079" t="str">
            <v>N.00733980</v>
          </cell>
          <cell r="C1079" t="str">
            <v>150960-9221</v>
          </cell>
          <cell r="D1079" t="str">
            <v>840168546190</v>
          </cell>
          <cell r="E1079" t="str">
            <v>Speck iPhone 17 Presidio Lux +Ms Glitter/Gold Metallic</v>
          </cell>
          <cell r="F1079" t="str">
            <v>Cases iPhone</v>
          </cell>
          <cell r="G1079" t="str">
            <v>iPhone 17</v>
          </cell>
          <cell r="H1079" t="str">
            <v>iPhone 17</v>
          </cell>
          <cell r="I1079">
            <v>516.72</v>
          </cell>
          <cell r="J1079">
            <v>0.4</v>
          </cell>
          <cell r="K1079">
            <v>999</v>
          </cell>
          <cell r="L1079" t="str">
            <v>ATT</v>
          </cell>
          <cell r="M1079" t="str">
            <v>Discontinued</v>
          </cell>
          <cell r="N1079" t="str">
            <v>150960-9221</v>
          </cell>
        </row>
        <row r="1080">
          <cell r="A1080" t="str">
            <v>Speck</v>
          </cell>
          <cell r="B1080" t="str">
            <v>N.00734100</v>
          </cell>
          <cell r="C1080" t="str">
            <v>150954-3240</v>
          </cell>
          <cell r="D1080" t="str">
            <v>840168546107</v>
          </cell>
          <cell r="E1080" t="str">
            <v>Speck Presidio Perfect-Clear + MS iPhone 17 Clear</v>
          </cell>
          <cell r="F1080" t="str">
            <v>Cases iPhone</v>
          </cell>
          <cell r="G1080" t="str">
            <v>iPhone 17</v>
          </cell>
          <cell r="H1080" t="str">
            <v>iPhone 17</v>
          </cell>
          <cell r="I1080">
            <v>516.72</v>
          </cell>
          <cell r="J1080">
            <v>0.4</v>
          </cell>
          <cell r="K1080">
            <v>999</v>
          </cell>
          <cell r="L1080" t="str">
            <v>ATT</v>
          </cell>
          <cell r="M1080" t="str">
            <v>Discontinued</v>
          </cell>
          <cell r="N1080" t="str">
            <v>150954-3240</v>
          </cell>
        </row>
        <row r="1081">
          <cell r="A1081" t="str">
            <v>Speck</v>
          </cell>
          <cell r="B1081" t="str">
            <v>N.00734250</v>
          </cell>
          <cell r="C1081" t="str">
            <v>150967-D143</v>
          </cell>
          <cell r="D1081" t="str">
            <v>840168546282</v>
          </cell>
          <cell r="E1081" t="str">
            <v>Speck Presidio2 Grip + MS iPhone 17 iPhone 17 Air Black</v>
          </cell>
          <cell r="F1081" t="str">
            <v>Cases iPhone</v>
          </cell>
          <cell r="G1081" t="str">
            <v>iPhone 17</v>
          </cell>
          <cell r="H1081" t="str">
            <v>iPhone 17 Air</v>
          </cell>
          <cell r="I1081">
            <v>516.72</v>
          </cell>
          <cell r="J1081">
            <v>0.4</v>
          </cell>
          <cell r="K1081">
            <v>999</v>
          </cell>
          <cell r="L1081" t="str">
            <v>ATT</v>
          </cell>
          <cell r="M1081" t="str">
            <v>Discontinued</v>
          </cell>
          <cell r="N1081" t="str">
            <v>150967-D143</v>
          </cell>
        </row>
        <row r="1082">
          <cell r="A1082" t="str">
            <v>Speck</v>
          </cell>
          <cell r="B1082" t="str">
            <v>N.00734130</v>
          </cell>
          <cell r="C1082" t="str">
            <v>150963-3240</v>
          </cell>
          <cell r="D1082" t="str">
            <v>840168546244</v>
          </cell>
          <cell r="E1082" t="str">
            <v>Speck Presidio Perfect-Clear  iPhone 17 iPhone 17 Air Clear</v>
          </cell>
          <cell r="F1082" t="str">
            <v>Cases iPhone</v>
          </cell>
          <cell r="G1082" t="str">
            <v>iPhone 17</v>
          </cell>
          <cell r="H1082" t="str">
            <v>iPhone 17 Air</v>
          </cell>
          <cell r="I1082">
            <v>516.72</v>
          </cell>
          <cell r="J1082">
            <v>0.4</v>
          </cell>
          <cell r="K1082">
            <v>999</v>
          </cell>
          <cell r="L1082" t="str">
            <v>ATT</v>
          </cell>
          <cell r="M1082" t="str">
            <v>Discontinued</v>
          </cell>
          <cell r="N1082" t="str">
            <v>150963-3240</v>
          </cell>
        </row>
        <row r="1083">
          <cell r="A1083" t="str">
            <v>Speck</v>
          </cell>
          <cell r="B1083" t="str">
            <v>N.00734010</v>
          </cell>
          <cell r="C1083" t="str">
            <v>150969-9221</v>
          </cell>
          <cell r="D1083" t="str">
            <v>840168546336</v>
          </cell>
          <cell r="E1083" t="str">
            <v>Speck iPhone 17 Air Presidio Lux +Ms Glitter/Gold Metallic</v>
          </cell>
          <cell r="F1083" t="str">
            <v>Cases iPhone</v>
          </cell>
          <cell r="G1083" t="str">
            <v>iPhone 17</v>
          </cell>
          <cell r="H1083" t="str">
            <v>iPhone 17 Air</v>
          </cell>
          <cell r="I1083">
            <v>516.72</v>
          </cell>
          <cell r="J1083">
            <v>0.4</v>
          </cell>
          <cell r="K1083">
            <v>999</v>
          </cell>
          <cell r="L1083" t="str">
            <v>ATT</v>
          </cell>
          <cell r="M1083" t="str">
            <v>Discontinued</v>
          </cell>
          <cell r="N1083" t="str">
            <v>150969-9221</v>
          </cell>
        </row>
        <row r="1084">
          <cell r="A1084" t="str">
            <v>Speck</v>
          </cell>
          <cell r="B1084" t="str">
            <v>N.00734040</v>
          </cell>
          <cell r="C1084" t="str">
            <v>150978-9221</v>
          </cell>
          <cell r="D1084" t="str">
            <v>840168546473</v>
          </cell>
          <cell r="E1084" t="str">
            <v>Speck Presidio Lux iPhone 17 Pro Glitter/Gold</v>
          </cell>
          <cell r="F1084" t="str">
            <v>Cases iPhone</v>
          </cell>
          <cell r="G1084" t="str">
            <v>iPhone 17</v>
          </cell>
          <cell r="H1084" t="str">
            <v>iPhone 17 Pro</v>
          </cell>
          <cell r="I1084">
            <v>516.72</v>
          </cell>
          <cell r="J1084">
            <v>0.4</v>
          </cell>
          <cell r="K1084">
            <v>999</v>
          </cell>
          <cell r="L1084" t="str">
            <v>ATT</v>
          </cell>
          <cell r="M1084" t="str">
            <v>Discontinued</v>
          </cell>
          <cell r="N1084" t="str">
            <v>150978-9221</v>
          </cell>
        </row>
        <row r="1085">
          <cell r="A1085" t="str">
            <v>Speck</v>
          </cell>
          <cell r="B1085" t="str">
            <v>N.00734280</v>
          </cell>
          <cell r="C1085" t="str">
            <v>150976-D143</v>
          </cell>
          <cell r="D1085" t="str">
            <v>840168546428</v>
          </cell>
          <cell r="E1085" t="str">
            <v>Speck Presidio2 Grip + MS iPhone 17 Pro Black</v>
          </cell>
          <cell r="F1085" t="str">
            <v>Cases iPhone</v>
          </cell>
          <cell r="G1085" t="str">
            <v>iPhone 17</v>
          </cell>
          <cell r="H1085" t="str">
            <v>iPhone 17 Pro</v>
          </cell>
          <cell r="I1085">
            <v>516.72</v>
          </cell>
          <cell r="J1085">
            <v>0.4</v>
          </cell>
          <cell r="K1085">
            <v>999</v>
          </cell>
          <cell r="L1085" t="str">
            <v>ATT</v>
          </cell>
          <cell r="M1085" t="str">
            <v>Discontinued</v>
          </cell>
          <cell r="N1085" t="str">
            <v>150976-D143</v>
          </cell>
        </row>
        <row r="1086">
          <cell r="A1086" t="str">
            <v>Speck</v>
          </cell>
          <cell r="B1086" t="str">
            <v>N.00734160</v>
          </cell>
          <cell r="C1086" t="str">
            <v>150972-3240</v>
          </cell>
          <cell r="D1086" t="str">
            <v>840168546381</v>
          </cell>
          <cell r="E1086" t="str">
            <v>Speck Presidio Perfect-Clear  iPhone 17 Pro Clear</v>
          </cell>
          <cell r="F1086" t="str">
            <v>Cases iPhone</v>
          </cell>
          <cell r="G1086" t="str">
            <v>iPhone 17</v>
          </cell>
          <cell r="H1086" t="str">
            <v>iPhone 17 Pro</v>
          </cell>
          <cell r="I1086">
            <v>516.72</v>
          </cell>
          <cell r="J1086">
            <v>0.4</v>
          </cell>
          <cell r="K1086">
            <v>999</v>
          </cell>
          <cell r="L1086" t="str">
            <v>ATT</v>
          </cell>
          <cell r="M1086" t="str">
            <v>Active</v>
          </cell>
          <cell r="N1086" t="str">
            <v>150972-3240</v>
          </cell>
        </row>
        <row r="1087">
          <cell r="A1087" t="str">
            <v>Speck</v>
          </cell>
          <cell r="B1087" t="str">
            <v>N.00734070</v>
          </cell>
          <cell r="C1087" t="str">
            <v>150987-9221</v>
          </cell>
          <cell r="D1087" t="str">
            <v>840168546619</v>
          </cell>
          <cell r="E1087" t="str">
            <v>Speck Presidio Lux iPhone 17 Pro Max Glitter/Gold</v>
          </cell>
          <cell r="F1087" t="str">
            <v>Cases iPhone</v>
          </cell>
          <cell r="G1087" t="str">
            <v>iPhone 17</v>
          </cell>
          <cell r="H1087" t="str">
            <v>iPhone 17 Pro Max</v>
          </cell>
          <cell r="I1087">
            <v>516.72</v>
          </cell>
          <cell r="J1087">
            <v>0.4</v>
          </cell>
          <cell r="K1087">
            <v>999</v>
          </cell>
          <cell r="L1087" t="str">
            <v>ATT</v>
          </cell>
          <cell r="M1087" t="str">
            <v>Discontinued</v>
          </cell>
          <cell r="N1087" t="str">
            <v>150987-9221</v>
          </cell>
        </row>
        <row r="1088">
          <cell r="A1088" t="str">
            <v>Speck</v>
          </cell>
          <cell r="B1088" t="str">
            <v>N.00734310</v>
          </cell>
          <cell r="C1088" t="str">
            <v>150985-D143</v>
          </cell>
          <cell r="D1088" t="str">
            <v>840168546565</v>
          </cell>
          <cell r="E1088" t="str">
            <v>Speck Presidio2 Grip + MS iPhone 17 Pro Max Black</v>
          </cell>
          <cell r="F1088" t="str">
            <v>Cases iPhone</v>
          </cell>
          <cell r="G1088" t="str">
            <v>iPhone 17</v>
          </cell>
          <cell r="H1088" t="str">
            <v>iPhone 17 Pro Max</v>
          </cell>
          <cell r="I1088">
            <v>516.72</v>
          </cell>
          <cell r="J1088">
            <v>0.4</v>
          </cell>
          <cell r="K1088">
            <v>999</v>
          </cell>
          <cell r="L1088" t="str">
            <v>ATT</v>
          </cell>
          <cell r="M1088" t="str">
            <v>Discontinued</v>
          </cell>
          <cell r="N1088" t="str">
            <v>150985-D143</v>
          </cell>
        </row>
        <row r="1089">
          <cell r="A1089" t="str">
            <v>Speck</v>
          </cell>
          <cell r="B1089" t="str">
            <v>N.00734190</v>
          </cell>
          <cell r="C1089" t="str">
            <v>150981-3240</v>
          </cell>
          <cell r="D1089" t="str">
            <v>840168546527</v>
          </cell>
          <cell r="E1089" t="str">
            <v>Speck Presidio Perfect-Clear  iPhone 17 Pro Max Clear</v>
          </cell>
          <cell r="F1089" t="str">
            <v>Cases iPhone</v>
          </cell>
          <cell r="G1089" t="str">
            <v>iPhone 17</v>
          </cell>
          <cell r="H1089" t="str">
            <v>iPhone 17 Pro Max</v>
          </cell>
          <cell r="I1089">
            <v>516.72</v>
          </cell>
          <cell r="J1089">
            <v>0.4</v>
          </cell>
          <cell r="K1089">
            <v>999</v>
          </cell>
          <cell r="L1089" t="str">
            <v>ATT</v>
          </cell>
          <cell r="M1089" t="str">
            <v>Discontinued</v>
          </cell>
          <cell r="N1089" t="str">
            <v>150981-3240</v>
          </cell>
        </row>
        <row r="1090">
          <cell r="A1090" t="str">
            <v>Speck</v>
          </cell>
          <cell r="B1090" t="str">
            <v>N.00729960</v>
          </cell>
          <cell r="C1090" t="str">
            <v>150596-1212</v>
          </cell>
          <cell r="D1090" t="str">
            <v>840168538331</v>
          </cell>
          <cell r="E1090" t="str">
            <v>Speck Tempered Glass iPhone15 Pro</v>
          </cell>
          <cell r="F1090" t="str">
            <v>Micas</v>
          </cell>
          <cell r="G1090" t="str">
            <v>iPhone 15</v>
          </cell>
          <cell r="H1090" t="str">
            <v>iPhone 15 Pro</v>
          </cell>
          <cell r="I1090">
            <v>361.55</v>
          </cell>
          <cell r="J1090">
            <v>0.40000286123032913</v>
          </cell>
          <cell r="K1090">
            <v>699</v>
          </cell>
          <cell r="L1090" t="str">
            <v>ATT</v>
          </cell>
          <cell r="M1090" t="str">
            <v>Discontinued</v>
          </cell>
          <cell r="N1090" t="str">
            <v>150596-1212-M</v>
          </cell>
        </row>
        <row r="1091">
          <cell r="A1091" t="str">
            <v>Speck</v>
          </cell>
          <cell r="B1091" t="str">
            <v>N.00729990</v>
          </cell>
          <cell r="C1091" t="str">
            <v>150598-1212</v>
          </cell>
          <cell r="D1091" t="str">
            <v>840168538355</v>
          </cell>
          <cell r="E1091" t="str">
            <v>Speck Tempered Glass iPhone15 Pro Max</v>
          </cell>
          <cell r="F1091" t="str">
            <v>Micas</v>
          </cell>
          <cell r="G1091" t="str">
            <v>iPhone 15</v>
          </cell>
          <cell r="H1091" t="str">
            <v>iPhone 15 Pro Max</v>
          </cell>
          <cell r="I1091">
            <v>361.55</v>
          </cell>
          <cell r="J1091">
            <v>0.40000286123032913</v>
          </cell>
          <cell r="K1091">
            <v>699</v>
          </cell>
          <cell r="L1091" t="str">
            <v>ATT</v>
          </cell>
          <cell r="M1091" t="str">
            <v>Discontinued</v>
          </cell>
          <cell r="N1091" t="str">
            <v>150598-1212-M</v>
          </cell>
        </row>
        <row r="1092">
          <cell r="A1092" t="str">
            <v>Tech21</v>
          </cell>
          <cell r="B1092" t="str">
            <v>N.00731610</v>
          </cell>
          <cell r="C1092" t="str">
            <v>T21-10857</v>
          </cell>
          <cell r="D1092" t="str">
            <v>5056586735251</v>
          </cell>
          <cell r="E1092" t="str">
            <v>Tech21 EvoCrystal w/MagSafe for iPhone 16  - Black</v>
          </cell>
          <cell r="F1092" t="str">
            <v>Cases iPhone</v>
          </cell>
          <cell r="G1092" t="str">
            <v>iPhone 16</v>
          </cell>
          <cell r="H1092" t="str">
            <v>iPhone 16</v>
          </cell>
          <cell r="I1092">
            <v>516.72</v>
          </cell>
          <cell r="J1092">
            <v>0.40000480480480471</v>
          </cell>
          <cell r="K1092">
            <v>999</v>
          </cell>
          <cell r="L1092" t="str">
            <v>ATT</v>
          </cell>
          <cell r="M1092" t="str">
            <v>Discontinued</v>
          </cell>
          <cell r="N1092" t="str">
            <v>T21-10857</v>
          </cell>
        </row>
        <row r="1093">
          <cell r="A1093" t="str">
            <v>Tech21</v>
          </cell>
          <cell r="B1093" t="str">
            <v>N.00731640</v>
          </cell>
          <cell r="C1093" t="str">
            <v>T21-10860</v>
          </cell>
          <cell r="D1093" t="str">
            <v>5056586735343</v>
          </cell>
          <cell r="E1093" t="str">
            <v>Tech21 EvoCrystal w/MagSafe for iPhone 16 - Pink</v>
          </cell>
          <cell r="F1093" t="str">
            <v>Cases iPhone</v>
          </cell>
          <cell r="G1093" t="str">
            <v>iPhone 16</v>
          </cell>
          <cell r="H1093" t="str">
            <v>iPhone 16</v>
          </cell>
          <cell r="I1093">
            <v>516.72</v>
          </cell>
          <cell r="J1093">
            <v>0.40000480480480471</v>
          </cell>
          <cell r="K1093">
            <v>999</v>
          </cell>
          <cell r="L1093" t="str">
            <v>ATT</v>
          </cell>
          <cell r="M1093" t="str">
            <v>Discontinued</v>
          </cell>
          <cell r="N1093" t="str">
            <v>T21-10860</v>
          </cell>
        </row>
        <row r="1094">
          <cell r="A1094" t="str">
            <v>Tech21</v>
          </cell>
          <cell r="B1094" t="str">
            <v>N.00731580</v>
          </cell>
          <cell r="C1094" t="str">
            <v>T21-10975</v>
          </cell>
          <cell r="D1094" t="str">
            <v>5056586738795</v>
          </cell>
          <cell r="E1094" t="str">
            <v>Tech21 EvoCrystal w/MagSafe for iPhone 16 Pro  - Black</v>
          </cell>
          <cell r="F1094" t="str">
            <v>Cases iPhone</v>
          </cell>
          <cell r="G1094" t="str">
            <v>iPhone 16</v>
          </cell>
          <cell r="H1094" t="str">
            <v>iPhone 16 Pro / iPhone 17</v>
          </cell>
          <cell r="I1094">
            <v>516.72</v>
          </cell>
          <cell r="J1094">
            <v>0.40000480480480471</v>
          </cell>
          <cell r="K1094">
            <v>999</v>
          </cell>
          <cell r="L1094" t="str">
            <v>ATT</v>
          </cell>
          <cell r="M1094" t="str">
            <v>Discontinued</v>
          </cell>
          <cell r="N1094" t="str">
            <v>T21-10975</v>
          </cell>
        </row>
        <row r="1095">
          <cell r="A1095" t="str">
            <v>Tech21</v>
          </cell>
          <cell r="B1095" t="str">
            <v>N.00731550</v>
          </cell>
          <cell r="C1095" t="str">
            <v>T21-10978</v>
          </cell>
          <cell r="D1095" t="str">
            <v>5056586738887</v>
          </cell>
          <cell r="E1095" t="str">
            <v>Tech21 EvoCrystal w/MagSafe for iPhone 16 Pro  - Pink</v>
          </cell>
          <cell r="F1095" t="str">
            <v>Cases iPhone</v>
          </cell>
          <cell r="G1095" t="str">
            <v>iPhone 16</v>
          </cell>
          <cell r="H1095" t="str">
            <v>iPhone 16 Pro / iPhone 17</v>
          </cell>
          <cell r="I1095">
            <v>516.72</v>
          </cell>
          <cell r="J1095">
            <v>0.40000480480480471</v>
          </cell>
          <cell r="K1095">
            <v>999</v>
          </cell>
          <cell r="L1095" t="str">
            <v>ATT</v>
          </cell>
          <cell r="M1095" t="str">
            <v>Discontinued</v>
          </cell>
          <cell r="N1095" t="str">
            <v>T21-10978</v>
          </cell>
        </row>
        <row r="1096">
          <cell r="A1096" t="str">
            <v>Tech21</v>
          </cell>
          <cell r="B1096" t="str">
            <v>N.00731520</v>
          </cell>
          <cell r="C1096" t="str">
            <v>T21-11034</v>
          </cell>
          <cell r="D1096" t="str">
            <v>5056586740569</v>
          </cell>
          <cell r="E1096" t="str">
            <v>Tech21 EvoCrystal w/MagSafe for iPhone 16 Pro Max - Black</v>
          </cell>
          <cell r="F1096" t="str">
            <v>Cases iPhone</v>
          </cell>
          <cell r="G1096" t="str">
            <v>iPhone 16</v>
          </cell>
          <cell r="H1096" t="str">
            <v>iPhone 16 Pro Max</v>
          </cell>
          <cell r="I1096">
            <v>516.72</v>
          </cell>
          <cell r="J1096">
            <v>0.40000480480480471</v>
          </cell>
          <cell r="K1096">
            <v>999</v>
          </cell>
          <cell r="L1096" t="str">
            <v>ATT</v>
          </cell>
          <cell r="M1096" t="str">
            <v>Discontinued</v>
          </cell>
          <cell r="N1096" t="str">
            <v>T21-11034</v>
          </cell>
        </row>
        <row r="1097">
          <cell r="A1097" t="str">
            <v>Tech21</v>
          </cell>
          <cell r="B1097" t="str">
            <v>N.00731490</v>
          </cell>
          <cell r="C1097" t="str">
            <v>T21-11037</v>
          </cell>
          <cell r="D1097" t="str">
            <v>5056586740651</v>
          </cell>
          <cell r="E1097" t="str">
            <v>Tech21 EvoCrystal w/MagSafe for iPhone 16 Pro Max - Pink</v>
          </cell>
          <cell r="F1097" t="str">
            <v>Cases iPhone</v>
          </cell>
          <cell r="G1097" t="str">
            <v>iPhone 16</v>
          </cell>
          <cell r="H1097" t="str">
            <v>iPhone 16 Pro Max</v>
          </cell>
          <cell r="I1097">
            <v>516.72</v>
          </cell>
          <cell r="J1097">
            <v>0.40000480480480471</v>
          </cell>
          <cell r="K1097">
            <v>999</v>
          </cell>
          <cell r="L1097" t="str">
            <v>ATT</v>
          </cell>
          <cell r="M1097" t="str">
            <v>Discontinued</v>
          </cell>
          <cell r="N1097" t="str">
            <v>T21-11037</v>
          </cell>
        </row>
        <row r="1098">
          <cell r="A1098" t="str">
            <v>Cubitt</v>
          </cell>
          <cell r="B1098" t="str">
            <v>CT-SCALE7</v>
          </cell>
          <cell r="C1098" t="str">
            <v>CT-SCALE7</v>
          </cell>
          <cell r="D1098" t="str">
            <v>715834798534</v>
          </cell>
          <cell r="E1098" t="str">
            <v>Cubitt Scale Alpine White</v>
          </cell>
          <cell r="F1098" t="str">
            <v>Wearable</v>
          </cell>
          <cell r="G1098" t="str">
            <v>Scale</v>
          </cell>
          <cell r="H1098" t="str">
            <v>CT-SCALE</v>
          </cell>
          <cell r="I1098">
            <v>559.7844827586207</v>
          </cell>
          <cell r="J1098">
            <v>0.35</v>
          </cell>
          <cell r="K1098">
            <v>999</v>
          </cell>
          <cell r="L1098" t="str">
            <v>Carebox</v>
          </cell>
          <cell r="M1098" t="str">
            <v>Active</v>
          </cell>
          <cell r="N1098" t="str">
            <v>CT-SCALE7</v>
          </cell>
        </row>
        <row r="1099">
          <cell r="A1099" t="str">
            <v>Cubitt</v>
          </cell>
          <cell r="B1099" t="str">
            <v>CT-SCALE</v>
          </cell>
          <cell r="C1099" t="str">
            <v>CT-SCALE</v>
          </cell>
          <cell r="D1099" t="str">
            <v>725330927543</v>
          </cell>
          <cell r="E1099" t="str">
            <v>Cubitt Scale Obsidian Black</v>
          </cell>
          <cell r="F1099" t="str">
            <v>Wearable</v>
          </cell>
          <cell r="G1099" t="str">
            <v>Scale</v>
          </cell>
          <cell r="H1099" t="str">
            <v>CT-SCALE</v>
          </cell>
          <cell r="I1099">
            <v>559.7844827586207</v>
          </cell>
          <cell r="J1099">
            <v>0.35</v>
          </cell>
          <cell r="K1099">
            <v>999</v>
          </cell>
          <cell r="L1099" t="str">
            <v>Carebox</v>
          </cell>
          <cell r="M1099" t="str">
            <v>Active</v>
          </cell>
          <cell r="N1099" t="str">
            <v>CT-SCALE</v>
          </cell>
        </row>
        <row r="1100">
          <cell r="A1100" t="str">
            <v>Cubitt</v>
          </cell>
          <cell r="B1100" t="str">
            <v>CTK-1</v>
          </cell>
          <cell r="C1100" t="str">
            <v>CTK-1</v>
          </cell>
          <cell r="D1100" t="str">
            <v>719284923645</v>
          </cell>
          <cell r="E1100" t="str">
            <v>Cubitt Scale Mini Obsidian Black</v>
          </cell>
          <cell r="F1100" t="str">
            <v>Wearable</v>
          </cell>
          <cell r="G1100" t="str">
            <v>Scale</v>
          </cell>
          <cell r="H1100" t="str">
            <v>CTK</v>
          </cell>
          <cell r="I1100">
            <v>447.71551724137936</v>
          </cell>
          <cell r="J1100">
            <v>0.35</v>
          </cell>
          <cell r="K1100">
            <v>799</v>
          </cell>
          <cell r="L1100" t="str">
            <v>Carebox</v>
          </cell>
          <cell r="M1100" t="str">
            <v>Active</v>
          </cell>
          <cell r="N1100" t="str">
            <v>CTK-1</v>
          </cell>
        </row>
        <row r="1101">
          <cell r="A1101" t="str">
            <v>Cubitt</v>
          </cell>
          <cell r="B1101" t="str">
            <v>CTK-7</v>
          </cell>
          <cell r="C1101" t="str">
            <v>CTK-7</v>
          </cell>
          <cell r="D1101" t="str">
            <v>719284923652</v>
          </cell>
          <cell r="E1101" t="str">
            <v>Cubitt Scale Mini Alpine White</v>
          </cell>
          <cell r="F1101" t="str">
            <v>Wearable</v>
          </cell>
          <cell r="G1101" t="str">
            <v>Scale</v>
          </cell>
          <cell r="H1101" t="str">
            <v>CTK</v>
          </cell>
          <cell r="I1101">
            <v>447.71551724137936</v>
          </cell>
          <cell r="J1101">
            <v>0.35</v>
          </cell>
          <cell r="K1101">
            <v>799</v>
          </cell>
          <cell r="L1101" t="str">
            <v>Carebox</v>
          </cell>
          <cell r="M1101" t="str">
            <v>Active</v>
          </cell>
          <cell r="N1101" t="str">
            <v>CTK-7</v>
          </cell>
        </row>
        <row r="1102">
          <cell r="A1102" t="str">
            <v>Cubitt</v>
          </cell>
          <cell r="B1102" t="str">
            <v>CT1S2-11</v>
          </cell>
          <cell r="C1102" t="str">
            <v>CT1S2-11</v>
          </cell>
          <cell r="D1102" t="str">
            <v>719284923812</v>
          </cell>
          <cell r="E1102" t="str">
            <v>Cubitt CT1 Black</v>
          </cell>
          <cell r="F1102" t="str">
            <v>Wearable</v>
          </cell>
          <cell r="G1102" t="str">
            <v>Smartwatch</v>
          </cell>
          <cell r="H1102" t="str">
            <v>CT1S2</v>
          </cell>
          <cell r="I1102">
            <v>839.95689655172418</v>
          </cell>
          <cell r="J1102">
            <v>0.35</v>
          </cell>
          <cell r="K1102">
            <v>1499</v>
          </cell>
          <cell r="L1102" t="str">
            <v>Carebox</v>
          </cell>
          <cell r="M1102" t="str">
            <v>Active</v>
          </cell>
          <cell r="N1102" t="str">
            <v>CT1S2-11</v>
          </cell>
        </row>
        <row r="1103">
          <cell r="A1103" t="str">
            <v>Cubitt</v>
          </cell>
          <cell r="B1103" t="str">
            <v>CT2P2-11</v>
          </cell>
          <cell r="C1103" t="str">
            <v>CT2P2-11</v>
          </cell>
          <cell r="D1103" t="str">
            <v>719284924284</v>
          </cell>
          <cell r="E1103" t="str">
            <v>Cubitt CT2P Obsidian Black</v>
          </cell>
          <cell r="F1103" t="str">
            <v>Wearable</v>
          </cell>
          <cell r="G1103" t="str">
            <v>Smartwatch</v>
          </cell>
          <cell r="H1103" t="str">
            <v>CT2P2</v>
          </cell>
          <cell r="I1103">
            <v>1344.2672413793105</v>
          </cell>
          <cell r="J1103">
            <v>0.35</v>
          </cell>
          <cell r="K1103">
            <v>2399</v>
          </cell>
          <cell r="L1103" t="str">
            <v>Carebox</v>
          </cell>
          <cell r="M1103" t="str">
            <v>Active</v>
          </cell>
          <cell r="N1103" t="str">
            <v>CT2P2-11</v>
          </cell>
        </row>
        <row r="1104">
          <cell r="A1104" t="str">
            <v>Cubitt</v>
          </cell>
          <cell r="B1104" t="str">
            <v>CT2S2-11</v>
          </cell>
          <cell r="C1104" t="str">
            <v>CT2S2-11</v>
          </cell>
          <cell r="D1104" t="str">
            <v>719284924239</v>
          </cell>
          <cell r="E1104" t="str">
            <v>Cubitt CT2 Black</v>
          </cell>
          <cell r="F1104" t="str">
            <v>Wearable</v>
          </cell>
          <cell r="G1104" t="str">
            <v>Smartwatch</v>
          </cell>
          <cell r="H1104" t="str">
            <v>CT2S2</v>
          </cell>
          <cell r="I1104">
            <v>952.02586206896569</v>
          </cell>
          <cell r="J1104">
            <v>0.35</v>
          </cell>
          <cell r="K1104">
            <v>1699</v>
          </cell>
          <cell r="L1104" t="str">
            <v>Carebox</v>
          </cell>
          <cell r="M1104" t="str">
            <v>Active</v>
          </cell>
          <cell r="N1104" t="str">
            <v>CT2S2-11</v>
          </cell>
        </row>
        <row r="1105">
          <cell r="A1105" t="str">
            <v>Cubitt</v>
          </cell>
          <cell r="B1105" t="str">
            <v>CT2S3-11</v>
          </cell>
          <cell r="C1105" t="str">
            <v>CT2S3-11</v>
          </cell>
          <cell r="D1105" t="str">
            <v>850044396122</v>
          </cell>
          <cell r="E1105" t="str">
            <v>Reloj Inteligente Cubitt CT2 S Serie 3</v>
          </cell>
          <cell r="F1105" t="str">
            <v>Wearable</v>
          </cell>
          <cell r="G1105" t="str">
            <v>Smartwatch</v>
          </cell>
          <cell r="H1105" t="str">
            <v>CT2S3</v>
          </cell>
          <cell r="I1105">
            <v>952.03</v>
          </cell>
          <cell r="J1105">
            <v>0.34999717480871106</v>
          </cell>
          <cell r="K1105">
            <v>1699</v>
          </cell>
          <cell r="L1105" t="str">
            <v>Carebox</v>
          </cell>
          <cell r="M1105" t="str">
            <v>Active</v>
          </cell>
          <cell r="N1105" t="str">
            <v>CT2S3-11</v>
          </cell>
        </row>
        <row r="1106">
          <cell r="A1106" t="str">
            <v>Cubitt</v>
          </cell>
          <cell r="B1106" t="str">
            <v>CT4-11</v>
          </cell>
          <cell r="C1106" t="str">
            <v>CT4-11</v>
          </cell>
          <cell r="D1106" t="str">
            <v>719284923867</v>
          </cell>
          <cell r="E1106" t="str">
            <v>Cubitt CT4 Black</v>
          </cell>
          <cell r="F1106" t="str">
            <v>Wearable</v>
          </cell>
          <cell r="G1106" t="str">
            <v>Smartwatch</v>
          </cell>
          <cell r="H1106" t="str">
            <v>CT4</v>
          </cell>
          <cell r="I1106">
            <v>1344.2672413793105</v>
          </cell>
          <cell r="J1106">
            <v>0.35</v>
          </cell>
          <cell r="K1106">
            <v>2399</v>
          </cell>
          <cell r="L1106" t="str">
            <v>Carebox</v>
          </cell>
          <cell r="M1106" t="str">
            <v>Active</v>
          </cell>
          <cell r="N1106" t="str">
            <v>CT4-11</v>
          </cell>
        </row>
        <row r="1107">
          <cell r="A1107" t="str">
            <v>Cubitt</v>
          </cell>
          <cell r="B1107" t="str">
            <v>CT4G-11</v>
          </cell>
          <cell r="C1107" t="str">
            <v>CT4G-11</v>
          </cell>
          <cell r="D1107" t="str">
            <v>719284923928</v>
          </cell>
          <cell r="E1107" t="str">
            <v>Cubitt CT4P Black</v>
          </cell>
          <cell r="F1107" t="str">
            <v>Wearable</v>
          </cell>
          <cell r="G1107" t="str">
            <v>Smartwatch</v>
          </cell>
          <cell r="H1107" t="str">
            <v>CT4GPS</v>
          </cell>
          <cell r="I1107">
            <v>1680.4741379310346</v>
          </cell>
          <cell r="J1107">
            <v>0.35</v>
          </cell>
          <cell r="K1107">
            <v>2999</v>
          </cell>
          <cell r="L1107" t="str">
            <v>Carebox</v>
          </cell>
          <cell r="M1107" t="str">
            <v>Active</v>
          </cell>
          <cell r="N1107" t="str">
            <v>CT4G-11</v>
          </cell>
        </row>
        <row r="1108">
          <cell r="A1108" t="str">
            <v>Cubitt</v>
          </cell>
          <cell r="B1108" t="str">
            <v>CTJR-1</v>
          </cell>
          <cell r="C1108" t="str">
            <v>CTJR-1</v>
          </cell>
          <cell r="D1108" t="str">
            <v>719284924109</v>
          </cell>
          <cell r="E1108" t="str">
            <v>Cubitt Jr Kids Black</v>
          </cell>
          <cell r="F1108" t="str">
            <v>Wearable</v>
          </cell>
          <cell r="G1108" t="str">
            <v>Smartwatch</v>
          </cell>
          <cell r="H1108" t="str">
            <v>CTJR</v>
          </cell>
          <cell r="I1108">
            <v>895.99137931034488</v>
          </cell>
          <cell r="J1108">
            <v>0.35</v>
          </cell>
          <cell r="K1108">
            <v>1599</v>
          </cell>
          <cell r="L1108" t="str">
            <v>Carebox</v>
          </cell>
          <cell r="M1108" t="str">
            <v>Active</v>
          </cell>
          <cell r="N1108" t="str">
            <v>CTJR-1</v>
          </cell>
        </row>
        <row r="1109">
          <cell r="A1109" t="str">
            <v>Hypergear</v>
          </cell>
          <cell r="B1109" t="str">
            <v>P0633755153501</v>
          </cell>
          <cell r="C1109">
            <v>15350</v>
          </cell>
          <cell r="D1109" t="str">
            <v>633755153501</v>
          </cell>
          <cell r="E1109" t="str">
            <v>Naztech Xpods Pro TWS with Wireless Charging Case White</v>
          </cell>
          <cell r="F1109" t="str">
            <v>Audio</v>
          </cell>
          <cell r="G1109" t="str">
            <v>Headphones</v>
          </cell>
          <cell r="H1109" t="str">
            <v>In Ear</v>
          </cell>
          <cell r="I1109">
            <v>615</v>
          </cell>
          <cell r="J1109">
            <v>0.59210977701543743</v>
          </cell>
          <cell r="K1109">
            <v>1749</v>
          </cell>
          <cell r="L1109" t="str">
            <v>Celex</v>
          </cell>
          <cell r="M1109" t="str">
            <v>Discontinued</v>
          </cell>
          <cell r="N1109" t="str">
            <v>15350-M</v>
          </cell>
        </row>
        <row r="1110">
          <cell r="A1110" t="str">
            <v>Hypergear</v>
          </cell>
          <cell r="B1110" t="str">
            <v>P0633755153518</v>
          </cell>
          <cell r="C1110">
            <v>15351</v>
          </cell>
          <cell r="D1110" t="str">
            <v>633755153518</v>
          </cell>
          <cell r="E1110" t="str">
            <v xml:space="preserve">Naztech Xpods Pro TWS with Wireless Charging Case Black
</v>
          </cell>
          <cell r="F1110" t="str">
            <v>Audio</v>
          </cell>
          <cell r="G1110" t="str">
            <v>Headphones</v>
          </cell>
          <cell r="H1110" t="str">
            <v>In Ear</v>
          </cell>
          <cell r="I1110">
            <v>615</v>
          </cell>
          <cell r="J1110">
            <v>0.59210977701543743</v>
          </cell>
          <cell r="K1110">
            <v>1749</v>
          </cell>
          <cell r="L1110" t="str">
            <v>Celex</v>
          </cell>
          <cell r="M1110" t="str">
            <v>Discontinued</v>
          </cell>
          <cell r="N1110" t="str">
            <v>15351-M</v>
          </cell>
        </row>
        <row r="1111">
          <cell r="A1111" t="str">
            <v>Hypergear</v>
          </cell>
          <cell r="B1111" t="str">
            <v>P0633755153525</v>
          </cell>
          <cell r="C1111">
            <v>15352</v>
          </cell>
          <cell r="D1111" t="str">
            <v>633755153525</v>
          </cell>
          <cell r="E1111" t="str">
            <v>Naztech Xpods Pro TWS with Wireless Charging Case Red</v>
          </cell>
          <cell r="F1111" t="str">
            <v>Audio</v>
          </cell>
          <cell r="G1111" t="str">
            <v>Headphones</v>
          </cell>
          <cell r="H1111" t="str">
            <v>In Ear</v>
          </cell>
          <cell r="I1111">
            <v>615</v>
          </cell>
          <cell r="J1111">
            <v>0.59210977701543743</v>
          </cell>
          <cell r="K1111">
            <v>1749</v>
          </cell>
          <cell r="L1111" t="str">
            <v>Celex</v>
          </cell>
          <cell r="M1111" t="str">
            <v>Discontinued</v>
          </cell>
          <cell r="N1111" t="str">
            <v>15352-M</v>
          </cell>
        </row>
        <row r="1112">
          <cell r="A1112" t="str">
            <v>Hypergear</v>
          </cell>
          <cell r="B1112" t="str">
            <v>P0633755154324</v>
          </cell>
          <cell r="C1112">
            <v>15432</v>
          </cell>
          <cell r="D1112" t="str">
            <v>633755154324</v>
          </cell>
          <cell r="E1112" t="str">
            <v xml:space="preserve">Naztech Xpods Pro TWS with Wireless Charging Case Blue
</v>
          </cell>
          <cell r="F1112" t="str">
            <v>Audio</v>
          </cell>
          <cell r="G1112" t="str">
            <v>Headphones</v>
          </cell>
          <cell r="H1112" t="str">
            <v>In Ear</v>
          </cell>
          <cell r="I1112">
            <v>615</v>
          </cell>
          <cell r="J1112">
            <v>0.59210977701543743</v>
          </cell>
          <cell r="K1112">
            <v>1749</v>
          </cell>
          <cell r="L1112" t="str">
            <v>Celex</v>
          </cell>
          <cell r="M1112" t="str">
            <v>Discontinued</v>
          </cell>
          <cell r="N1112" t="str">
            <v>15432-M</v>
          </cell>
        </row>
        <row r="1113">
          <cell r="A1113" t="str">
            <v>Hypergear</v>
          </cell>
          <cell r="B1113" t="str">
            <v>P0633755155550</v>
          </cell>
          <cell r="C1113">
            <v>15555</v>
          </cell>
          <cell r="D1113" t="str">
            <v>633755155550</v>
          </cell>
          <cell r="E1113" t="str">
            <v>HyperGear Kombat Kitty Gaming Headset Purple</v>
          </cell>
          <cell r="F1113" t="str">
            <v>Gaming</v>
          </cell>
          <cell r="G1113" t="str">
            <v>Headset</v>
          </cell>
          <cell r="H1113" t="str">
            <v>Kombat</v>
          </cell>
          <cell r="I1113">
            <v>213.44827586206898</v>
          </cell>
          <cell r="J1113">
            <v>0.60000000000000009</v>
          </cell>
          <cell r="K1113">
            <v>619</v>
          </cell>
          <cell r="L1113" t="str">
            <v>Celex</v>
          </cell>
          <cell r="M1113" t="str">
            <v>Active</v>
          </cell>
          <cell r="N1113" t="str">
            <v>15555-M</v>
          </cell>
        </row>
        <row r="1114">
          <cell r="A1114" t="str">
            <v>Hypergear</v>
          </cell>
          <cell r="B1114" t="str">
            <v>P0633755155567</v>
          </cell>
          <cell r="C1114">
            <v>15556</v>
          </cell>
          <cell r="D1114" t="str">
            <v>633755155567</v>
          </cell>
          <cell r="E1114" t="str">
            <v>HyperGear Kombat Kitty Gaming Headset Green</v>
          </cell>
          <cell r="F1114" t="str">
            <v>Gaming</v>
          </cell>
          <cell r="G1114" t="str">
            <v>Headset</v>
          </cell>
          <cell r="H1114" t="str">
            <v>Kombat</v>
          </cell>
          <cell r="I1114">
            <v>213.44827586206898</v>
          </cell>
          <cell r="J1114">
            <v>0.60000000000000009</v>
          </cell>
          <cell r="K1114">
            <v>619</v>
          </cell>
          <cell r="L1114" t="str">
            <v>Celex</v>
          </cell>
          <cell r="M1114" t="str">
            <v>Active</v>
          </cell>
          <cell r="N1114" t="str">
            <v>15556-M</v>
          </cell>
        </row>
        <row r="1115">
          <cell r="A1115" t="str">
            <v>Hypergear</v>
          </cell>
          <cell r="B1115" t="str">
            <v>P0633755155543</v>
          </cell>
          <cell r="C1115">
            <v>15554</v>
          </cell>
          <cell r="D1115" t="str">
            <v>633755155543</v>
          </cell>
          <cell r="E1115" t="str">
            <v>HyperGear Kombat Kitty Gaming Headset Pink</v>
          </cell>
          <cell r="F1115" t="str">
            <v>Gaming</v>
          </cell>
          <cell r="G1115" t="str">
            <v>Headset</v>
          </cell>
          <cell r="H1115" t="str">
            <v>Kombat</v>
          </cell>
          <cell r="I1115">
            <v>213.44827586206898</v>
          </cell>
          <cell r="J1115">
            <v>0.60000000000000009</v>
          </cell>
          <cell r="K1115">
            <v>619</v>
          </cell>
          <cell r="L1115" t="str">
            <v>Celex</v>
          </cell>
          <cell r="M1115" t="str">
            <v>Active</v>
          </cell>
          <cell r="N1115" t="str">
            <v>15554-M</v>
          </cell>
        </row>
        <row r="1116">
          <cell r="A1116" t="str">
            <v>Hypergear</v>
          </cell>
          <cell r="B1116" t="str">
            <v>P0633755155970</v>
          </cell>
          <cell r="C1116">
            <v>15597</v>
          </cell>
          <cell r="D1116" t="str">
            <v>633755155970</v>
          </cell>
          <cell r="E1116" t="str">
            <v>HyperGear HyperNova LED Strip Lights 10ft Multi-Color Multicolors</v>
          </cell>
          <cell r="F1116" t="str">
            <v>Gaming</v>
          </cell>
          <cell r="G1116" t="str">
            <v>Led Strip</v>
          </cell>
          <cell r="H1116" t="str">
            <v>10 ft</v>
          </cell>
          <cell r="I1116">
            <v>247.93103448275866</v>
          </cell>
          <cell r="J1116">
            <v>0.6</v>
          </cell>
          <cell r="K1116">
            <v>719</v>
          </cell>
          <cell r="L1116" t="str">
            <v>Celex</v>
          </cell>
          <cell r="M1116" t="str">
            <v>Active</v>
          </cell>
          <cell r="N1116" t="str">
            <v>15597-M</v>
          </cell>
        </row>
        <row r="1117">
          <cell r="A1117" t="str">
            <v>Hypergear</v>
          </cell>
          <cell r="B1117" t="str">
            <v>P0633755155925</v>
          </cell>
          <cell r="C1117">
            <v>15592</v>
          </cell>
          <cell r="D1117" t="str">
            <v>633755155925</v>
          </cell>
          <cell r="E1117" t="str">
            <v xml:space="preserve">Hypergear Sound Advantage: Pro-Audio Condenser Microphone Black
</v>
          </cell>
          <cell r="F1117" t="str">
            <v>Hardware</v>
          </cell>
          <cell r="G1117" t="str">
            <v>Mic</v>
          </cell>
          <cell r="H1117" t="str">
            <v>Mic</v>
          </cell>
          <cell r="I1117">
            <v>361.72413793103453</v>
          </cell>
          <cell r="J1117">
            <v>0.6</v>
          </cell>
          <cell r="K1117">
            <v>1049</v>
          </cell>
          <cell r="L1117" t="str">
            <v>Celex</v>
          </cell>
          <cell r="M1117" t="str">
            <v>Active</v>
          </cell>
          <cell r="N1117" t="str">
            <v>15592-M</v>
          </cell>
        </row>
        <row r="1118">
          <cell r="A1118" t="str">
            <v>Hypergear</v>
          </cell>
          <cell r="B1118" t="str">
            <v>P0633755154379</v>
          </cell>
          <cell r="C1118">
            <v>15437</v>
          </cell>
          <cell r="D1118" t="str">
            <v>633755154379</v>
          </cell>
          <cell r="E1118" t="str">
            <v xml:space="preserve">HyperGear SnapShot Wireless Selfie Stick + Tripod Black
</v>
          </cell>
          <cell r="F1118" t="str">
            <v>Hardware</v>
          </cell>
          <cell r="G1118" t="str">
            <v>Tripod</v>
          </cell>
          <cell r="H1118" t="str">
            <v>Selfie + Tripod</v>
          </cell>
          <cell r="I1118">
            <v>251.37931034482759</v>
          </cell>
          <cell r="J1118">
            <v>0.60000000000000009</v>
          </cell>
          <cell r="K1118">
            <v>729</v>
          </cell>
          <cell r="L1118" t="str">
            <v>Celex</v>
          </cell>
          <cell r="M1118" t="str">
            <v>Active</v>
          </cell>
          <cell r="N1118" t="str">
            <v>15437-M</v>
          </cell>
        </row>
        <row r="1119">
          <cell r="A1119" t="str">
            <v>Mophie</v>
          </cell>
          <cell r="B1119" t="str">
            <v>P0848467079111</v>
          </cell>
          <cell r="C1119">
            <v>401102246</v>
          </cell>
          <cell r="D1119" t="str">
            <v>848467079111</v>
          </cell>
          <cell r="E1119" t="str">
            <v>Mophie POWERSTATION (5000 mAh) with Lightning Connector - Black</v>
          </cell>
          <cell r="F1119" t="str">
            <v>Charger</v>
          </cell>
          <cell r="G1119" t="str">
            <v>Power Bank</v>
          </cell>
          <cell r="H1119" t="str">
            <v>5,000 mAh</v>
          </cell>
          <cell r="I1119">
            <v>194</v>
          </cell>
          <cell r="J1119">
            <v>0.62430717863105178</v>
          </cell>
          <cell r="K1119">
            <v>599</v>
          </cell>
          <cell r="L1119" t="str">
            <v>Celex</v>
          </cell>
          <cell r="M1119" t="str">
            <v>Active</v>
          </cell>
          <cell r="N1119" t="str">
            <v>401102246-M</v>
          </cell>
        </row>
        <row r="1120">
          <cell r="A1120" t="str">
            <v>Mophie</v>
          </cell>
          <cell r="B1120" t="str">
            <v>P0848467073980</v>
          </cell>
          <cell r="C1120">
            <v>401101662</v>
          </cell>
          <cell r="D1120" t="str">
            <v>848467073980</v>
          </cell>
          <cell r="E1120" t="str">
            <v>Mophie POWERSTATION PLUS (6,000mAh) with Built-in Micro USB &amp; Lightning Cable + Extra USB-A Charging Port - Black</v>
          </cell>
          <cell r="F1120" t="str">
            <v>Charger</v>
          </cell>
          <cell r="G1120" t="str">
            <v>Power Bank</v>
          </cell>
          <cell r="H1120" t="str">
            <v>6,000 mAh</v>
          </cell>
          <cell r="I1120">
            <v>246</v>
          </cell>
          <cell r="J1120">
            <v>0.64285356695869844</v>
          </cell>
          <cell r="K1120">
            <v>799</v>
          </cell>
          <cell r="L1120" t="str">
            <v>Celex</v>
          </cell>
          <cell r="M1120" t="str">
            <v>Active</v>
          </cell>
          <cell r="N1120" t="str">
            <v>401101662-M</v>
          </cell>
        </row>
        <row r="1121">
          <cell r="A1121" t="str">
            <v>Quikcell</v>
          </cell>
          <cell r="B1121" t="str">
            <v>P0846537063060</v>
          </cell>
          <cell r="C1121" t="str">
            <v>CTPRO2-BLK</v>
          </cell>
          <cell r="D1121" t="str">
            <v>846537063060</v>
          </cell>
          <cell r="E1121" t="str">
            <v>Quikcell Cross Trainer Pro II Sports Stereo Bluetooth Earphones - Black</v>
          </cell>
          <cell r="F1121" t="str">
            <v>Audio</v>
          </cell>
          <cell r="G1121" t="str">
            <v>HEADPHONE WIRELESS</v>
          </cell>
          <cell r="H1121" t="str">
            <v>In Ear</v>
          </cell>
          <cell r="I1121">
            <v>164</v>
          </cell>
          <cell r="J1121">
            <v>0.61875751503006016</v>
          </cell>
          <cell r="K1121">
            <v>499</v>
          </cell>
          <cell r="L1121" t="str">
            <v>Celex</v>
          </cell>
          <cell r="M1121" t="str">
            <v>Active</v>
          </cell>
          <cell r="N1121" t="str">
            <v>CTPRO2-BLK-M</v>
          </cell>
        </row>
        <row r="1122">
          <cell r="A1122" t="str">
            <v>Quikcell</v>
          </cell>
          <cell r="B1122" t="str">
            <v>P0846537063077</v>
          </cell>
          <cell r="C1122" t="str">
            <v>CTPRO2-WHT</v>
          </cell>
          <cell r="D1122" t="str">
            <v>846537063077</v>
          </cell>
          <cell r="E1122" t="str">
            <v>Quikcell Cross Trainer Pro II Wireless Sport Headphones - White</v>
          </cell>
          <cell r="F1122" t="str">
            <v>Audio</v>
          </cell>
          <cell r="G1122" t="str">
            <v>HEADPHONE WIRELESS</v>
          </cell>
          <cell r="H1122" t="str">
            <v>In Ear</v>
          </cell>
          <cell r="I1122">
            <v>164</v>
          </cell>
          <cell r="J1122">
            <v>0.61875751503006016</v>
          </cell>
          <cell r="K1122">
            <v>499</v>
          </cell>
          <cell r="L1122" t="str">
            <v>Celex</v>
          </cell>
          <cell r="M1122" t="str">
            <v>Active</v>
          </cell>
          <cell r="N1122" t="str">
            <v>CTPRO2-WHT-M</v>
          </cell>
        </row>
        <row r="1123">
          <cell r="A1123" t="str">
            <v>Quikcell</v>
          </cell>
          <cell r="B1123" t="str">
            <v>P0846537037436</v>
          </cell>
          <cell r="C1123" t="str">
            <v>MEA5001</v>
          </cell>
          <cell r="D1123" t="str">
            <v>846537037436</v>
          </cell>
          <cell r="E1123" t="str">
            <v>Quikcell 3.5mm Stereo Handsfree, Retail Packaging -Black</v>
          </cell>
          <cell r="F1123" t="str">
            <v>Audio</v>
          </cell>
          <cell r="G1123" t="str">
            <v>HEADPHONES</v>
          </cell>
          <cell r="H1123" t="str">
            <v>3.5MM</v>
          </cell>
          <cell r="I1123">
            <v>39</v>
          </cell>
          <cell r="J1123">
            <v>0.6963758389261745</v>
          </cell>
          <cell r="K1123">
            <v>149</v>
          </cell>
          <cell r="L1123" t="str">
            <v>Celex</v>
          </cell>
          <cell r="M1123" t="str">
            <v>Active</v>
          </cell>
          <cell r="N1123" t="str">
            <v>MEA5001-M</v>
          </cell>
        </row>
        <row r="1124">
          <cell r="A1124" t="str">
            <v>Quikcell</v>
          </cell>
          <cell r="B1124" t="str">
            <v>P0846537037443</v>
          </cell>
          <cell r="C1124" t="str">
            <v>MEA5002</v>
          </cell>
          <cell r="D1124" t="str">
            <v>846537037443</v>
          </cell>
          <cell r="E1124" t="str">
            <v>Quikcell 3.5mm Stereo Handsfree, Retail Packaging -Pink</v>
          </cell>
          <cell r="F1124" t="str">
            <v>Audio</v>
          </cell>
          <cell r="G1124" t="str">
            <v>HEADPHONES</v>
          </cell>
          <cell r="H1124" t="str">
            <v>3.5MM</v>
          </cell>
          <cell r="I1124">
            <v>39</v>
          </cell>
          <cell r="J1124">
            <v>0.6963758389261745</v>
          </cell>
          <cell r="K1124">
            <v>149</v>
          </cell>
          <cell r="L1124" t="str">
            <v>Celex</v>
          </cell>
          <cell r="M1124" t="str">
            <v>Active</v>
          </cell>
          <cell r="N1124" t="str">
            <v>MEA5002-M</v>
          </cell>
        </row>
        <row r="1125">
          <cell r="A1125" t="str">
            <v>Quikcell</v>
          </cell>
          <cell r="B1125" t="str">
            <v>P0846537037450</v>
          </cell>
          <cell r="C1125" t="str">
            <v>MEA5003</v>
          </cell>
          <cell r="D1125" t="str">
            <v>846537037450</v>
          </cell>
          <cell r="E1125" t="str">
            <v>Quikcell 3.5mm Stereo Handsfree, Retail Packaging -Blue</v>
          </cell>
          <cell r="F1125" t="str">
            <v>Audio</v>
          </cell>
          <cell r="G1125" t="str">
            <v>HEADPHONES</v>
          </cell>
          <cell r="H1125" t="str">
            <v>3.5MM</v>
          </cell>
          <cell r="I1125">
            <v>39</v>
          </cell>
          <cell r="J1125">
            <v>0.6963758389261745</v>
          </cell>
          <cell r="K1125">
            <v>149</v>
          </cell>
          <cell r="L1125" t="str">
            <v>Celex</v>
          </cell>
          <cell r="M1125" t="str">
            <v>Active</v>
          </cell>
          <cell r="N1125" t="str">
            <v>MEA5003-M</v>
          </cell>
        </row>
        <row r="1126">
          <cell r="A1126" t="str">
            <v>Quikcell</v>
          </cell>
          <cell r="B1126" t="str">
            <v>P0846537037467</v>
          </cell>
          <cell r="C1126" t="str">
            <v>MEA5004</v>
          </cell>
          <cell r="D1126" t="str">
            <v>846537037467</v>
          </cell>
          <cell r="E1126" t="str">
            <v>Quikcell 3.5mm Stereo Handsfree, Retail Packaging -Purple</v>
          </cell>
          <cell r="F1126" t="str">
            <v>Audio</v>
          </cell>
          <cell r="G1126" t="str">
            <v>HEADPHONES</v>
          </cell>
          <cell r="H1126" t="str">
            <v>3.5MM</v>
          </cell>
          <cell r="I1126">
            <v>39</v>
          </cell>
          <cell r="J1126">
            <v>0.6963758389261745</v>
          </cell>
          <cell r="K1126">
            <v>149</v>
          </cell>
          <cell r="L1126" t="str">
            <v>Celex</v>
          </cell>
          <cell r="M1126" t="str">
            <v>Active</v>
          </cell>
          <cell r="N1126" t="str">
            <v>MEA5004-M</v>
          </cell>
        </row>
        <row r="1127">
          <cell r="A1127" t="str">
            <v>Quikcell</v>
          </cell>
          <cell r="B1127" t="str">
            <v>P0846537039089</v>
          </cell>
          <cell r="C1127" t="str">
            <v>MEDLEY-GRY-M</v>
          </cell>
          <cell r="D1127" t="str">
            <v>846537039089</v>
          </cell>
          <cell r="E1127" t="str">
            <v>QUIKCELL MEDLEY WIRED HEADSET GRIS</v>
          </cell>
          <cell r="F1127" t="str">
            <v>Audio</v>
          </cell>
          <cell r="G1127" t="str">
            <v>HEADPHONES</v>
          </cell>
          <cell r="H1127" t="str">
            <v>3.5MM</v>
          </cell>
          <cell r="I1127">
            <v>85.775862068965523</v>
          </cell>
          <cell r="J1127">
            <v>0.35</v>
          </cell>
          <cell r="K1127">
            <v>199</v>
          </cell>
          <cell r="L1127" t="str">
            <v>Celex</v>
          </cell>
          <cell r="M1127" t="str">
            <v>Discontinued</v>
          </cell>
          <cell r="N1127" t="str">
            <v>MEDLEY-GRY-M</v>
          </cell>
        </row>
        <row r="1128">
          <cell r="A1128" t="str">
            <v>Quikcell</v>
          </cell>
          <cell r="B1128" t="str">
            <v>P0846537068881</v>
          </cell>
          <cell r="C1128" t="str">
            <v>QAIR-BUDS</v>
          </cell>
          <cell r="D1128" t="str">
            <v>846537068881</v>
          </cell>
          <cell r="E1128" t="str">
            <v>Quikcell QAIR BUDS True Wireless Earbuds with Charging Case - Black</v>
          </cell>
          <cell r="F1128" t="str">
            <v>Audio</v>
          </cell>
          <cell r="G1128" t="str">
            <v>Headphones Wireless</v>
          </cell>
          <cell r="H1128" t="str">
            <v>QAir</v>
          </cell>
          <cell r="I1128">
            <v>340</v>
          </cell>
          <cell r="J1128">
            <v>0.60520520520520527</v>
          </cell>
          <cell r="K1128">
            <v>999</v>
          </cell>
          <cell r="L1128" t="str">
            <v>Celex</v>
          </cell>
          <cell r="M1128" t="str">
            <v>Active</v>
          </cell>
          <cell r="N1128" t="str">
            <v>QAIR-BUDS-M</v>
          </cell>
        </row>
        <row r="1129">
          <cell r="A1129" t="str">
            <v>Quikcell</v>
          </cell>
          <cell r="B1129" t="str">
            <v>P0846537075582</v>
          </cell>
          <cell r="C1129" t="str">
            <v>QAIR-BUDS-WHT</v>
          </cell>
          <cell r="D1129" t="str">
            <v>846537075582</v>
          </cell>
          <cell r="E1129" t="str">
            <v>Quikcell QAIR BUDS True Wireless Earbuds with Charging Case - White</v>
          </cell>
          <cell r="F1129" t="str">
            <v>Audio</v>
          </cell>
          <cell r="G1129" t="str">
            <v>Headphones Wireless</v>
          </cell>
          <cell r="H1129" t="str">
            <v>QAir</v>
          </cell>
          <cell r="I1129">
            <v>340</v>
          </cell>
          <cell r="J1129">
            <v>0.60520520520520527</v>
          </cell>
          <cell r="K1129">
            <v>999</v>
          </cell>
          <cell r="L1129" t="str">
            <v>Celex</v>
          </cell>
          <cell r="M1129" t="str">
            <v>Active</v>
          </cell>
          <cell r="N1129" t="str">
            <v>QAIR-BUDS-WHT-M</v>
          </cell>
        </row>
        <row r="1130">
          <cell r="A1130" t="str">
            <v>Quikcell</v>
          </cell>
          <cell r="B1130" t="str">
            <v>P0846537035975</v>
          </cell>
          <cell r="C1130" t="str">
            <v>MCU5001-M</v>
          </cell>
          <cell r="D1130" t="str">
            <v>846537035975</v>
          </cell>
          <cell r="E1130" t="str">
            <v>MOVISTAR USB to Micro USB Data Cable 3ft-Black</v>
          </cell>
          <cell r="F1130" t="str">
            <v>Cables</v>
          </cell>
          <cell r="G1130" t="str">
            <v>3 ft</v>
          </cell>
          <cell r="H1130" t="str">
            <v>MICRO USB</v>
          </cell>
          <cell r="I1130">
            <v>64.224137931034491</v>
          </cell>
          <cell r="J1130">
            <v>0.35</v>
          </cell>
          <cell r="K1130">
            <v>149</v>
          </cell>
          <cell r="L1130" t="str">
            <v>Celex</v>
          </cell>
          <cell r="M1130" t="str">
            <v>Active</v>
          </cell>
          <cell r="N1130" t="str">
            <v>MCU5001-M</v>
          </cell>
        </row>
        <row r="1131">
          <cell r="A1131" t="str">
            <v>Quikcell</v>
          </cell>
          <cell r="B1131" t="str">
            <v>P0846537036071</v>
          </cell>
          <cell r="C1131" t="str">
            <v>MCL5003</v>
          </cell>
          <cell r="D1131" t="str">
            <v>846537036071</v>
          </cell>
          <cell r="E1131" t="str">
            <v>Quikcell Lighting Cable 3ft-White</v>
          </cell>
          <cell r="F1131" t="str">
            <v>Cables</v>
          </cell>
          <cell r="G1131" t="str">
            <v>Lightning</v>
          </cell>
          <cell r="H1131" t="str">
            <v>3 ft</v>
          </cell>
          <cell r="I1131">
            <v>114</v>
          </cell>
          <cell r="J1131">
            <v>0.55772575250836121</v>
          </cell>
          <cell r="K1131">
            <v>299</v>
          </cell>
          <cell r="L1131" t="str">
            <v>Celex</v>
          </cell>
          <cell r="M1131" t="str">
            <v>Active</v>
          </cell>
          <cell r="N1131" t="str">
            <v>MCL5003-M</v>
          </cell>
        </row>
        <row r="1132">
          <cell r="A1132" t="str">
            <v>Quikcell</v>
          </cell>
          <cell r="B1132" t="str">
            <v>P0846537036064</v>
          </cell>
          <cell r="C1132" t="str">
            <v>MCL5002</v>
          </cell>
          <cell r="D1132" t="str">
            <v>846537036064</v>
          </cell>
          <cell r="E1132" t="str">
            <v>Quikcell Lighting Cable 3ft-Pink</v>
          </cell>
          <cell r="F1132" t="str">
            <v>Cables</v>
          </cell>
          <cell r="G1132" t="str">
            <v>Lightning</v>
          </cell>
          <cell r="H1132" t="str">
            <v>3 ft</v>
          </cell>
          <cell r="I1132">
            <v>78</v>
          </cell>
          <cell r="J1132">
            <v>0.60489082969432317</v>
          </cell>
          <cell r="K1132">
            <v>229</v>
          </cell>
          <cell r="L1132" t="str">
            <v>Celex</v>
          </cell>
          <cell r="M1132" t="str">
            <v>Discontinued</v>
          </cell>
          <cell r="N1132" t="str">
            <v>MCL5002-M</v>
          </cell>
        </row>
        <row r="1133">
          <cell r="A1133" t="str">
            <v>Quikcell</v>
          </cell>
          <cell r="B1133" t="str">
            <v>P0846537031014</v>
          </cell>
          <cell r="C1133" t="str">
            <v>MCL5004</v>
          </cell>
          <cell r="D1133" t="str">
            <v>846537031014</v>
          </cell>
          <cell r="E1133" t="str">
            <v>QUICKCELL CABLE USB TO LIGHTNING 1M BLA</v>
          </cell>
          <cell r="F1133" t="str">
            <v>Cables</v>
          </cell>
          <cell r="G1133" t="str">
            <v>Lightning</v>
          </cell>
          <cell r="H1133" t="str">
            <v>3ft</v>
          </cell>
          <cell r="I1133">
            <v>75.9649</v>
          </cell>
          <cell r="J1133">
            <v>0.73216023100303951</v>
          </cell>
          <cell r="K1133">
            <v>329</v>
          </cell>
          <cell r="L1133" t="str">
            <v>Celex</v>
          </cell>
          <cell r="M1133" t="str">
            <v>Active</v>
          </cell>
          <cell r="N1133" t="str">
            <v>MCL5004-M</v>
          </cell>
        </row>
        <row r="1134">
          <cell r="A1134" t="str">
            <v>Quikcell</v>
          </cell>
          <cell r="B1134" t="str">
            <v>P0846537036101</v>
          </cell>
          <cell r="C1134" t="str">
            <v>MCL5006</v>
          </cell>
          <cell r="D1134" t="str">
            <v>846537036101</v>
          </cell>
          <cell r="E1134" t="str">
            <v>Quikcell Lighting Cable 6ft-White</v>
          </cell>
          <cell r="F1134" t="str">
            <v>Cables</v>
          </cell>
          <cell r="G1134" t="str">
            <v>Lightning</v>
          </cell>
          <cell r="H1134" t="str">
            <v>6 ft</v>
          </cell>
          <cell r="I1134">
            <v>99</v>
          </cell>
          <cell r="J1134">
            <v>0.53879518072289168</v>
          </cell>
          <cell r="K1134">
            <v>249</v>
          </cell>
          <cell r="L1134" t="str">
            <v>Celex</v>
          </cell>
          <cell r="M1134" t="str">
            <v>Active</v>
          </cell>
          <cell r="N1134" t="str">
            <v>MCL5006-M</v>
          </cell>
        </row>
        <row r="1135">
          <cell r="A1135" t="str">
            <v>Quikcell</v>
          </cell>
          <cell r="B1135" t="str">
            <v>P0846537077104</v>
          </cell>
          <cell r="C1135" t="str">
            <v>QLIGHTC6FT</v>
          </cell>
          <cell r="D1135" t="str">
            <v>846537077104</v>
          </cell>
          <cell r="E1135" t="str">
            <v>Quikcell CHARGE &amp; SYNC CABLE MFi Lightning to USB-C - 6ft - Black</v>
          </cell>
          <cell r="F1135" t="str">
            <v>Cables</v>
          </cell>
          <cell r="G1135" t="str">
            <v>Lightning - Type C</v>
          </cell>
          <cell r="H1135" t="str">
            <v>6 ft</v>
          </cell>
          <cell r="I1135">
            <v>179</v>
          </cell>
          <cell r="J1135">
            <v>0.53755011135857467</v>
          </cell>
          <cell r="K1135">
            <v>449</v>
          </cell>
          <cell r="L1135" t="str">
            <v>Celex</v>
          </cell>
          <cell r="M1135" t="str">
            <v>Active</v>
          </cell>
          <cell r="N1135" t="str">
            <v>QLIGHTC6FT-M</v>
          </cell>
        </row>
        <row r="1136">
          <cell r="A1136" t="str">
            <v>Quikcell</v>
          </cell>
          <cell r="B1136" t="str">
            <v>P0846537030703</v>
          </cell>
          <cell r="C1136" t="str">
            <v>MCU5005</v>
          </cell>
          <cell r="D1136" t="str">
            <v>846537030703</v>
          </cell>
          <cell r="E1136" t="str">
            <v>Quikcell USB to Micro USB Data Cable 6ft-Black</v>
          </cell>
          <cell r="F1136" t="str">
            <v>Cables</v>
          </cell>
          <cell r="G1136" t="str">
            <v>Micro USB</v>
          </cell>
          <cell r="H1136" t="str">
            <v>6 ft</v>
          </cell>
          <cell r="I1136">
            <v>182</v>
          </cell>
          <cell r="J1136">
            <v>0.57691382765531074</v>
          </cell>
          <cell r="K1136">
            <v>499</v>
          </cell>
          <cell r="L1136" t="str">
            <v>Celex</v>
          </cell>
          <cell r="M1136" t="str">
            <v>Active</v>
          </cell>
          <cell r="N1136" t="str">
            <v>MCU5005-M</v>
          </cell>
        </row>
        <row r="1137">
          <cell r="A1137" t="str">
            <v>Quikcell</v>
          </cell>
          <cell r="B1137" t="str">
            <v>P0846537036019</v>
          </cell>
          <cell r="C1137" t="str">
            <v>MCU5005</v>
          </cell>
          <cell r="D1137" t="str">
            <v>846537036019</v>
          </cell>
          <cell r="E1137" t="str">
            <v>Quikcell USB to Micro USB Data Cable 6ft-Black</v>
          </cell>
          <cell r="F1137" t="str">
            <v>Cables</v>
          </cell>
          <cell r="G1137" t="str">
            <v>Micro USB</v>
          </cell>
          <cell r="H1137" t="str">
            <v>6 ft</v>
          </cell>
          <cell r="I1137">
            <v>38.18</v>
          </cell>
          <cell r="J1137">
            <v>0.35</v>
          </cell>
          <cell r="K1137">
            <v>99</v>
          </cell>
          <cell r="L1137" t="str">
            <v>Celex</v>
          </cell>
          <cell r="M1137" t="str">
            <v>Active</v>
          </cell>
          <cell r="N1137" t="str">
            <v>MCU5005-M</v>
          </cell>
        </row>
        <row r="1138">
          <cell r="A1138" t="str">
            <v>Quikcell</v>
          </cell>
          <cell r="B1138" t="str">
            <v>P0846537082030</v>
          </cell>
          <cell r="C1138" t="str">
            <v>QTYPECA3FT</v>
          </cell>
          <cell r="D1138" t="str">
            <v>846537082030</v>
          </cell>
          <cell r="E1138" t="str">
            <v>Quikcell USB-A to USB-C cable 3 ft. 3A current; PVC+Nylon</v>
          </cell>
          <cell r="F1138" t="str">
            <v>Cables</v>
          </cell>
          <cell r="G1138" t="str">
            <v>Type C</v>
          </cell>
          <cell r="H1138" t="str">
            <v>3ft</v>
          </cell>
          <cell r="I1138">
            <v>70</v>
          </cell>
          <cell r="J1138">
            <v>0.67389558232931734</v>
          </cell>
          <cell r="K1138">
            <v>249</v>
          </cell>
          <cell r="L1138" t="str">
            <v>Celex</v>
          </cell>
          <cell r="M1138" t="str">
            <v>Active</v>
          </cell>
          <cell r="N1138" t="str">
            <v>QTYPECA3FT-M</v>
          </cell>
        </row>
        <row r="1139">
          <cell r="A1139" t="str">
            <v>Quikcell</v>
          </cell>
          <cell r="B1139" t="str">
            <v>P0846537040870</v>
          </cell>
          <cell r="C1139" t="str">
            <v>C-TYPEC-BLK</v>
          </cell>
          <cell r="D1139" t="str">
            <v>846537040870</v>
          </cell>
          <cell r="E1139" t="str">
            <v>QUICKCELL CABLE USB TO USB-C 1M BLACK</v>
          </cell>
          <cell r="F1139" t="str">
            <v>Cables</v>
          </cell>
          <cell r="G1139" t="str">
            <v>Type C</v>
          </cell>
          <cell r="H1139" t="str">
            <v>3ft</v>
          </cell>
          <cell r="I1139">
            <v>65</v>
          </cell>
          <cell r="J1139">
            <v>0.69718875502008038</v>
          </cell>
          <cell r="K1139">
            <v>249</v>
          </cell>
          <cell r="L1139" t="str">
            <v>Celex</v>
          </cell>
          <cell r="M1139" t="str">
            <v>Discontinued</v>
          </cell>
          <cell r="N1139" t="str">
            <v>C-TYPEC-BLK-M</v>
          </cell>
        </row>
        <row r="1140">
          <cell r="A1140" t="str">
            <v>Quikcell</v>
          </cell>
          <cell r="B1140" t="str">
            <v>P0846537077043</v>
          </cell>
          <cell r="C1140" t="str">
            <v>QTYPECA6FT</v>
          </cell>
          <cell r="D1140" t="str">
            <v>846537077043</v>
          </cell>
          <cell r="E1140" t="str">
            <v>Quikcell CHARGE &amp; SYNC CABLE USB-A to USB-C - 6 ft - Black</v>
          </cell>
          <cell r="F1140" t="str">
            <v>Cables</v>
          </cell>
          <cell r="G1140" t="str">
            <v>Type C</v>
          </cell>
          <cell r="H1140" t="str">
            <v>6 ft</v>
          </cell>
          <cell r="I1140">
            <v>85</v>
          </cell>
          <cell r="J1140">
            <v>0.67023411371237462</v>
          </cell>
          <cell r="K1140">
            <v>299</v>
          </cell>
          <cell r="L1140" t="str">
            <v>Celex</v>
          </cell>
          <cell r="M1140" t="str">
            <v>Active</v>
          </cell>
          <cell r="N1140" t="str">
            <v>QTYPECA6FT-M</v>
          </cell>
        </row>
        <row r="1141">
          <cell r="A1141" t="str">
            <v>Quikcell</v>
          </cell>
          <cell r="B1141" t="str">
            <v>P0846537082047</v>
          </cell>
          <cell r="C1141" t="str">
            <v>QTYPECC3FT</v>
          </cell>
          <cell r="D1141" t="str">
            <v>846537082047</v>
          </cell>
          <cell r="E1141" t="str">
            <v>Quikcell USB-C to USB-C cable 3 ft. 3A current; PVC+Nylon</v>
          </cell>
          <cell r="F1141" t="str">
            <v>Cables</v>
          </cell>
          <cell r="G1141" t="str">
            <v>Type C - Type C</v>
          </cell>
          <cell r="H1141" t="str">
            <v>3 ft</v>
          </cell>
          <cell r="I1141">
            <v>85</v>
          </cell>
          <cell r="J1141">
            <v>0.71747851002865337</v>
          </cell>
          <cell r="K1141">
            <v>349</v>
          </cell>
          <cell r="L1141" t="str">
            <v>Celex</v>
          </cell>
          <cell r="M1141" t="str">
            <v>Active</v>
          </cell>
          <cell r="N1141" t="str">
            <v>QTYPECC3FT-M</v>
          </cell>
        </row>
        <row r="1142">
          <cell r="A1142" t="str">
            <v>Quikcell</v>
          </cell>
          <cell r="B1142" t="str">
            <v>P0846537077067</v>
          </cell>
          <cell r="C1142" t="str">
            <v>QTYPECC6FT</v>
          </cell>
          <cell r="D1142" t="str">
            <v>846537077067</v>
          </cell>
          <cell r="E1142" t="str">
            <v>Quikcell CHARGE &amp; SYNC CABLE USB-C to USB-C - 6 ft - Black</v>
          </cell>
          <cell r="F1142" t="str">
            <v>Cables</v>
          </cell>
          <cell r="G1142" t="str">
            <v>Type C - Type C</v>
          </cell>
          <cell r="H1142" t="str">
            <v>6 ft</v>
          </cell>
          <cell r="I1142">
            <v>99</v>
          </cell>
          <cell r="J1142">
            <v>0.67094555873925499</v>
          </cell>
          <cell r="K1142">
            <v>349</v>
          </cell>
          <cell r="L1142" t="str">
            <v>Celex</v>
          </cell>
          <cell r="M1142" t="str">
            <v>Active</v>
          </cell>
          <cell r="N1142" t="str">
            <v>QTYPECC6FT-M</v>
          </cell>
        </row>
        <row r="1143">
          <cell r="A1143" t="str">
            <v>Quikcell</v>
          </cell>
          <cell r="B1143" t="str">
            <v>P05056234729731</v>
          </cell>
          <cell r="C1143" t="str">
            <v>T21-7263-M</v>
          </cell>
          <cell r="D1143" t="str">
            <v>5056234729731</v>
          </cell>
          <cell r="E1143" t="str">
            <v>TECH 21 CASE IPHONE 11 BLACK</v>
          </cell>
          <cell r="F1143" t="str">
            <v>Cases iPhone</v>
          </cell>
          <cell r="G1143" t="str">
            <v>iPhone 11</v>
          </cell>
          <cell r="H1143" t="str">
            <v>iPhone 11</v>
          </cell>
          <cell r="I1143">
            <v>105</v>
          </cell>
          <cell r="J1143">
            <v>0.6947368421052631</v>
          </cell>
          <cell r="K1143">
            <v>399</v>
          </cell>
          <cell r="L1143" t="str">
            <v>Celex</v>
          </cell>
          <cell r="M1143" t="str">
            <v>Discontinued</v>
          </cell>
          <cell r="N1143" t="str">
            <v>T21-7263-M</v>
          </cell>
        </row>
        <row r="1144">
          <cell r="A1144" t="str">
            <v>Quikcell</v>
          </cell>
          <cell r="B1144" t="str">
            <v>P05056234730331</v>
          </cell>
          <cell r="C1144" t="str">
            <v>T21-7290-M</v>
          </cell>
          <cell r="D1144" t="str">
            <v>5056234730331</v>
          </cell>
          <cell r="E1144" t="str">
            <v>TECH 21 CASE IPHONE 11  PRO MAX BLACK</v>
          </cell>
          <cell r="F1144" t="str">
            <v>Cases iPhone</v>
          </cell>
          <cell r="G1144" t="str">
            <v>iPhone 11</v>
          </cell>
          <cell r="H1144" t="str">
            <v>iPhone 11</v>
          </cell>
          <cell r="I1144">
            <v>105</v>
          </cell>
          <cell r="J1144">
            <v>0.6947368421052631</v>
          </cell>
          <cell r="K1144">
            <v>399</v>
          </cell>
          <cell r="L1144" t="str">
            <v>Celex</v>
          </cell>
          <cell r="M1144" t="str">
            <v>Discontinued</v>
          </cell>
          <cell r="N1144" t="str">
            <v>T21-7290-M</v>
          </cell>
        </row>
        <row r="1145">
          <cell r="A1145" t="str">
            <v>Quikcell</v>
          </cell>
          <cell r="B1145" t="str">
            <v>P0846537077302</v>
          </cell>
          <cell r="C1145" t="str">
            <v>TIN2001</v>
          </cell>
          <cell r="D1145" t="str">
            <v>846537077302</v>
          </cell>
          <cell r="E1145" t="str">
            <v>QUIKCELL FUNDA PARA IPHONE 12 MINI TRANSPARENTE</v>
          </cell>
          <cell r="F1145" t="str">
            <v>Cases iPhone</v>
          </cell>
          <cell r="G1145" t="str">
            <v>iPhone 12</v>
          </cell>
          <cell r="H1145" t="str">
            <v>IPHONE 12 MINI</v>
          </cell>
          <cell r="I1145">
            <v>130</v>
          </cell>
          <cell r="J1145">
            <v>0.74824707846410687</v>
          </cell>
          <cell r="K1145">
            <v>599</v>
          </cell>
          <cell r="L1145" t="str">
            <v>Celex</v>
          </cell>
          <cell r="M1145" t="str">
            <v>Discontinued</v>
          </cell>
          <cell r="N1145" t="str">
            <v>TIN2001-M</v>
          </cell>
        </row>
        <row r="1146">
          <cell r="A1146" t="str">
            <v>Quikcell</v>
          </cell>
          <cell r="B1146" t="str">
            <v>P0846537077326</v>
          </cell>
          <cell r="C1146" t="str">
            <v>TIN2003</v>
          </cell>
          <cell r="D1146" t="str">
            <v>846537077326</v>
          </cell>
          <cell r="E1146" t="str">
            <v>QUIKCELL FUNDA PARA IPHONE 12 MINI HUMO</v>
          </cell>
          <cell r="F1146" t="str">
            <v>Cases iPhone</v>
          </cell>
          <cell r="G1146" t="str">
            <v>iPhone 12</v>
          </cell>
          <cell r="H1146" t="str">
            <v>IPHONE 12 MINI</v>
          </cell>
          <cell r="I1146">
            <v>105</v>
          </cell>
          <cell r="J1146">
            <v>0.6510028653295129</v>
          </cell>
          <cell r="K1146">
            <v>349</v>
          </cell>
          <cell r="L1146" t="str">
            <v>Celex</v>
          </cell>
          <cell r="M1146" t="str">
            <v>Discontinued</v>
          </cell>
          <cell r="N1146" t="str">
            <v>TIN2003-M</v>
          </cell>
        </row>
        <row r="1147">
          <cell r="A1147" t="str">
            <v>Quikcell</v>
          </cell>
          <cell r="B1147" t="str">
            <v>P0846537077654</v>
          </cell>
          <cell r="C1147" t="str">
            <v>TIN2007</v>
          </cell>
          <cell r="D1147" t="str">
            <v>846537077654</v>
          </cell>
          <cell r="E1147" t="str">
            <v>Quikcell Apple iPhone 12 Pro Max ICON TINT Transparent  Case - Ice</v>
          </cell>
          <cell r="F1147" t="str">
            <v>Cases iPhone</v>
          </cell>
          <cell r="G1147" t="str">
            <v>iPhone 12</v>
          </cell>
          <cell r="H1147" t="str">
            <v>iPhone 12 Pro Max</v>
          </cell>
          <cell r="I1147">
            <v>92.79</v>
          </cell>
          <cell r="J1147">
            <v>0.82030651085141904</v>
          </cell>
          <cell r="K1147">
            <v>599</v>
          </cell>
          <cell r="L1147" t="str">
            <v>Celex</v>
          </cell>
          <cell r="M1147" t="str">
            <v>Discontinued</v>
          </cell>
          <cell r="N1147" t="str">
            <v>TIN2007-M</v>
          </cell>
        </row>
        <row r="1148">
          <cell r="A1148" t="str">
            <v>Quikcell</v>
          </cell>
          <cell r="B1148" t="str">
            <v>P0846537077678</v>
          </cell>
          <cell r="C1148" t="str">
            <v>TIN2009</v>
          </cell>
          <cell r="D1148" t="str">
            <v>846537077678</v>
          </cell>
          <cell r="E1148" t="str">
            <v>Quikcell Apple iPhone 12 Pro Max ICON TINT Transparent Case - Smoke</v>
          </cell>
          <cell r="F1148" t="str">
            <v>Cases iPhone</v>
          </cell>
          <cell r="G1148" t="str">
            <v>iPhone 12</v>
          </cell>
          <cell r="H1148" t="str">
            <v>iPhone 12 Pro Max</v>
          </cell>
          <cell r="I1148">
            <v>46.25</v>
          </cell>
          <cell r="J1148">
            <v>0.91043405676126876</v>
          </cell>
          <cell r="K1148">
            <v>599</v>
          </cell>
          <cell r="L1148" t="str">
            <v>Celex</v>
          </cell>
          <cell r="M1148" t="str">
            <v>Discontinued</v>
          </cell>
          <cell r="N1148" t="str">
            <v>TIN2009-M</v>
          </cell>
        </row>
        <row r="1149">
          <cell r="A1149" t="str">
            <v>Quikcell</v>
          </cell>
          <cell r="B1149" t="str">
            <v>P0846537077722</v>
          </cell>
          <cell r="C1149" t="str">
            <v>GP-IP202067</v>
          </cell>
          <cell r="D1149" t="str">
            <v>846537077722</v>
          </cell>
          <cell r="E1149" t="str">
            <v>QUIKCELL CRISTAL TEMPLADO IPHONE 12 PRO MAX</v>
          </cell>
          <cell r="F1149" t="str">
            <v>Cases iPhone</v>
          </cell>
          <cell r="G1149" t="str">
            <v>iPhone 12</v>
          </cell>
          <cell r="H1149" t="str">
            <v>iPhone 12 Pro Max</v>
          </cell>
          <cell r="I1149">
            <v>350</v>
          </cell>
          <cell r="J1149">
            <v>0.32220367278798001</v>
          </cell>
          <cell r="K1149">
            <v>599</v>
          </cell>
          <cell r="L1149" t="str">
            <v>Celex</v>
          </cell>
          <cell r="M1149" t="str">
            <v>Discontinued</v>
          </cell>
          <cell r="N1149" t="str">
            <v>GP-IP202067-M</v>
          </cell>
        </row>
        <row r="1150">
          <cell r="A1150" t="str">
            <v>Quikcell</v>
          </cell>
          <cell r="B1150" t="str">
            <v>P0846537077470</v>
          </cell>
          <cell r="C1150" t="str">
            <v>TIN2004</v>
          </cell>
          <cell r="D1150" t="str">
            <v>846537077470</v>
          </cell>
          <cell r="E1150" t="str">
            <v>QUIKCELL FUNDA PARA IPHONE 12 Y 12 PRO TRANSPARENTE</v>
          </cell>
          <cell r="F1150" t="str">
            <v>Cases iPhone</v>
          </cell>
          <cell r="G1150" t="str">
            <v>iPhone 12</v>
          </cell>
          <cell r="H1150" t="str">
            <v>iPhone 12/iPhone 12 Pro</v>
          </cell>
          <cell r="I1150">
            <v>210</v>
          </cell>
          <cell r="J1150">
            <v>0.59332220367278798</v>
          </cell>
          <cell r="K1150">
            <v>599</v>
          </cell>
          <cell r="L1150" t="str">
            <v>Celex</v>
          </cell>
          <cell r="M1150" t="str">
            <v>Discontinued</v>
          </cell>
          <cell r="N1150" t="str">
            <v>TIN2004-M</v>
          </cell>
        </row>
        <row r="1151">
          <cell r="A1151" t="str">
            <v>Quikcell</v>
          </cell>
          <cell r="B1151" t="str">
            <v>P0846537077494</v>
          </cell>
          <cell r="C1151" t="str">
            <v>TIN2006</v>
          </cell>
          <cell r="D1151" t="str">
            <v>846537077494</v>
          </cell>
          <cell r="E1151" t="str">
            <v>Quikcell Apple iPhone 12/12 Pro ICON TINT Transparent Case - Smoke</v>
          </cell>
          <cell r="F1151" t="str">
            <v>Cases iPhone</v>
          </cell>
          <cell r="G1151" t="str">
            <v>iPhone 12</v>
          </cell>
          <cell r="H1151" t="str">
            <v>iPhone 12/iPhone 12 Pro</v>
          </cell>
          <cell r="I1151">
            <v>369.21780000000001</v>
          </cell>
          <cell r="J1151">
            <v>0.28498723205342236</v>
          </cell>
          <cell r="K1151">
            <v>599</v>
          </cell>
          <cell r="L1151" t="str">
            <v>Celex</v>
          </cell>
          <cell r="M1151" t="str">
            <v>Discontinued</v>
          </cell>
          <cell r="N1151" t="str">
            <v>TIN2006-M</v>
          </cell>
        </row>
        <row r="1152">
          <cell r="A1152" t="str">
            <v>Quikcell</v>
          </cell>
          <cell r="B1152" t="str">
            <v>P0846537083549</v>
          </cell>
          <cell r="C1152" t="str">
            <v>TIN2059-M</v>
          </cell>
          <cell r="D1152" t="str">
            <v>846537083549</v>
          </cell>
          <cell r="E1152" t="str">
            <v>Quikcell iPhone 13 ICON TINT Transparent Protective Case - Ice</v>
          </cell>
          <cell r="F1152" t="str">
            <v>Cases iPhone</v>
          </cell>
          <cell r="G1152" t="str">
            <v>iPhone 13</v>
          </cell>
          <cell r="H1152" t="str">
            <v>iPhone 13</v>
          </cell>
          <cell r="I1152">
            <v>105</v>
          </cell>
          <cell r="J1152">
            <v>0.79666110183639405</v>
          </cell>
          <cell r="K1152">
            <v>599</v>
          </cell>
          <cell r="L1152" t="str">
            <v>Celex</v>
          </cell>
          <cell r="M1152" t="str">
            <v>Discontinued</v>
          </cell>
          <cell r="N1152" t="str">
            <v>TIN2059-M</v>
          </cell>
        </row>
        <row r="1153">
          <cell r="A1153" t="str">
            <v>Quikcell</v>
          </cell>
          <cell r="B1153" t="str">
            <v>P0846537083532</v>
          </cell>
          <cell r="C1153" t="str">
            <v>TIN2058-M</v>
          </cell>
          <cell r="D1153" t="str">
            <v>846537083532</v>
          </cell>
          <cell r="E1153" t="str">
            <v>Quikcell iPhone 13 ICON TINT Transparent Protective Case - Smoke</v>
          </cell>
          <cell r="F1153" t="str">
            <v>Cases iPhone</v>
          </cell>
          <cell r="G1153" t="str">
            <v>iPhone 13</v>
          </cell>
          <cell r="H1153" t="str">
            <v>iPhone 13</v>
          </cell>
          <cell r="I1153">
            <v>105</v>
          </cell>
          <cell r="J1153">
            <v>0.79666110183639405</v>
          </cell>
          <cell r="K1153">
            <v>599</v>
          </cell>
          <cell r="L1153" t="str">
            <v>Celex</v>
          </cell>
          <cell r="M1153" t="str">
            <v>Discontinued</v>
          </cell>
          <cell r="N1153" t="str">
            <v>TIN2058-M</v>
          </cell>
        </row>
        <row r="1154">
          <cell r="A1154" t="str">
            <v>Quikcell</v>
          </cell>
          <cell r="B1154" t="str">
            <v>P0846537083426</v>
          </cell>
          <cell r="C1154" t="str">
            <v>TIN2057-M</v>
          </cell>
          <cell r="D1154" t="str">
            <v>846537083426</v>
          </cell>
          <cell r="E1154" t="str">
            <v>Quikcell iPhone 13 mini ICON TINT Transparent Protective Case - Ice</v>
          </cell>
          <cell r="F1154" t="str">
            <v>Cases iPhone</v>
          </cell>
          <cell r="G1154" t="str">
            <v>iPhone 13</v>
          </cell>
          <cell r="H1154" t="str">
            <v>iPhone 13 mini</v>
          </cell>
          <cell r="I1154">
            <v>105</v>
          </cell>
          <cell r="J1154">
            <v>0.79666110183639405</v>
          </cell>
          <cell r="K1154">
            <v>599</v>
          </cell>
          <cell r="L1154" t="str">
            <v>Celex</v>
          </cell>
          <cell r="M1154" t="str">
            <v>Discontinued</v>
          </cell>
          <cell r="N1154" t="str">
            <v>TIN2057-M</v>
          </cell>
        </row>
        <row r="1155">
          <cell r="A1155" t="str">
            <v>Quikcell</v>
          </cell>
          <cell r="B1155" t="str">
            <v>P0846537084072</v>
          </cell>
          <cell r="C1155" t="str">
            <v>TIN2068-M</v>
          </cell>
          <cell r="D1155" t="str">
            <v>846537084072</v>
          </cell>
          <cell r="E1155" t="str">
            <v>Quikcell iPhone 13 Pro ICON TINT Transparent Protective Case - Smoke</v>
          </cell>
          <cell r="F1155" t="str">
            <v>Cases iPhone</v>
          </cell>
          <cell r="G1155" t="str">
            <v>iPhone 13</v>
          </cell>
          <cell r="H1155" t="str">
            <v>iPhone 13 Pro</v>
          </cell>
          <cell r="I1155">
            <v>105</v>
          </cell>
          <cell r="J1155">
            <v>0.79666110183639405</v>
          </cell>
          <cell r="K1155">
            <v>599</v>
          </cell>
          <cell r="L1155" t="str">
            <v>Celex</v>
          </cell>
          <cell r="M1155" t="str">
            <v>Discontinued</v>
          </cell>
          <cell r="N1155" t="str">
            <v>TIN2068-M</v>
          </cell>
        </row>
        <row r="1156">
          <cell r="A1156" t="str">
            <v>Quikcell</v>
          </cell>
          <cell r="B1156" t="str">
            <v>P0846537084089</v>
          </cell>
          <cell r="C1156" t="str">
            <v>TIN2069-M</v>
          </cell>
          <cell r="D1156" t="str">
            <v>846537084089</v>
          </cell>
          <cell r="E1156" t="str">
            <v>Quikcell iPhone 13 Pro ICON TINT Transparent Protective Case - Ice</v>
          </cell>
          <cell r="F1156" t="str">
            <v>Cases iPhone</v>
          </cell>
          <cell r="G1156" t="str">
            <v>iPhone 13</v>
          </cell>
          <cell r="H1156" t="str">
            <v>iPhone 13 Pro</v>
          </cell>
          <cell r="I1156">
            <v>105</v>
          </cell>
          <cell r="J1156">
            <v>0.79666110183639405</v>
          </cell>
          <cell r="K1156">
            <v>599</v>
          </cell>
          <cell r="L1156" t="str">
            <v>Celex</v>
          </cell>
          <cell r="M1156" t="str">
            <v>Discontinued</v>
          </cell>
          <cell r="N1156" t="str">
            <v>TIN2069-M</v>
          </cell>
        </row>
        <row r="1157">
          <cell r="A1157" t="str">
            <v>Quikcell</v>
          </cell>
          <cell r="B1157" t="str">
            <v>P0846537083662</v>
          </cell>
          <cell r="C1157" t="str">
            <v>TIN2060-M</v>
          </cell>
          <cell r="D1157" t="str">
            <v>846537083662</v>
          </cell>
          <cell r="E1157" t="str">
            <v>Quikcell iPhone 13 Pro Max ICON TINT Transparent Protective Case - Smoke</v>
          </cell>
          <cell r="F1157" t="str">
            <v>Cases iPhone</v>
          </cell>
          <cell r="G1157" t="str">
            <v>iPhone 13</v>
          </cell>
          <cell r="H1157" t="str">
            <v>iPhone 13 Pro Max</v>
          </cell>
          <cell r="I1157">
            <v>105</v>
          </cell>
          <cell r="J1157">
            <v>0.79666110183639405</v>
          </cell>
          <cell r="K1157">
            <v>599</v>
          </cell>
          <cell r="L1157" t="str">
            <v>Celex</v>
          </cell>
          <cell r="M1157" t="str">
            <v>Discontinued</v>
          </cell>
          <cell r="N1157" t="str">
            <v>TIN2060-M</v>
          </cell>
        </row>
        <row r="1158">
          <cell r="A1158" t="str">
            <v>Quikcell</v>
          </cell>
          <cell r="B1158" t="str">
            <v>P0846537083679</v>
          </cell>
          <cell r="C1158" t="str">
            <v>TIN2061-M</v>
          </cell>
          <cell r="D1158" t="str">
            <v>846537083679</v>
          </cell>
          <cell r="E1158" t="str">
            <v>Quikcell iPhone 13 Pro Max ICON TINT Transparent Protective Case - Ice</v>
          </cell>
          <cell r="F1158" t="str">
            <v>Cases iPhone</v>
          </cell>
          <cell r="G1158" t="str">
            <v>iPhone 13</v>
          </cell>
          <cell r="H1158" t="str">
            <v>iPhone 13 Pro Max</v>
          </cell>
          <cell r="I1158">
            <v>105</v>
          </cell>
          <cell r="J1158">
            <v>0.79666110183639405</v>
          </cell>
          <cell r="K1158">
            <v>599</v>
          </cell>
          <cell r="L1158" t="str">
            <v>Celex</v>
          </cell>
          <cell r="M1158" t="str">
            <v>Discontinued</v>
          </cell>
          <cell r="N1158" t="str">
            <v>TIN2061-M</v>
          </cell>
        </row>
        <row r="1159">
          <cell r="A1159" t="str">
            <v>Quikcell</v>
          </cell>
          <cell r="B1159" t="str">
            <v>P0846537087356</v>
          </cell>
          <cell r="C1159" t="str">
            <v>TIN2136-M</v>
          </cell>
          <cell r="D1159" t="str">
            <v>846537087356</v>
          </cell>
          <cell r="E1159" t="str">
            <v>Quikcell iPhone 14 ICON TINT Transparent Protective Case - Ice</v>
          </cell>
          <cell r="F1159" t="str">
            <v>Cases iPhone</v>
          </cell>
          <cell r="G1159" t="str">
            <v>iPhone 14</v>
          </cell>
          <cell r="H1159" t="str">
            <v>iPhone 14</v>
          </cell>
          <cell r="I1159">
            <v>105</v>
          </cell>
          <cell r="J1159">
            <v>0.79666110183639405</v>
          </cell>
          <cell r="K1159">
            <v>599</v>
          </cell>
          <cell r="L1159" t="str">
            <v>Celex</v>
          </cell>
          <cell r="M1159" t="str">
            <v>Active</v>
          </cell>
          <cell r="N1159" t="str">
            <v>TIN2136-M</v>
          </cell>
        </row>
        <row r="1160">
          <cell r="A1160" t="str">
            <v>Quikcell</v>
          </cell>
          <cell r="B1160" t="str">
            <v>P0846537087585</v>
          </cell>
          <cell r="C1160" t="str">
            <v>TIN2141-M</v>
          </cell>
          <cell r="D1160" t="str">
            <v>846537087585</v>
          </cell>
          <cell r="E1160" t="str">
            <v>Quikcell iPhone 14 Plus ICON TINT Transparent Protective Case - Ice</v>
          </cell>
          <cell r="F1160" t="str">
            <v>Cases iPhone</v>
          </cell>
          <cell r="G1160" t="str">
            <v>iPhone 14</v>
          </cell>
          <cell r="H1160" t="str">
            <v>iPhone 14 Plus</v>
          </cell>
          <cell r="I1160">
            <v>105</v>
          </cell>
          <cell r="J1160">
            <v>0.79666110183639405</v>
          </cell>
          <cell r="K1160">
            <v>599</v>
          </cell>
          <cell r="L1160" t="str">
            <v>Celex</v>
          </cell>
          <cell r="M1160" t="str">
            <v>Active</v>
          </cell>
          <cell r="N1160" t="str">
            <v>TIN2141-M</v>
          </cell>
        </row>
        <row r="1161">
          <cell r="A1161" t="str">
            <v>Quikcell</v>
          </cell>
          <cell r="B1161" t="str">
            <v>P0846537087479</v>
          </cell>
          <cell r="C1161" t="str">
            <v>TIN2139-M</v>
          </cell>
          <cell r="D1161" t="str">
            <v>846537087479</v>
          </cell>
          <cell r="E1161" t="str">
            <v>Quikcell iPhone 14 Pro ICON TINT Transparent Protective Case - Ice</v>
          </cell>
          <cell r="F1161" t="str">
            <v>Cases iPhone</v>
          </cell>
          <cell r="G1161" t="str">
            <v>iPhone 14</v>
          </cell>
          <cell r="H1161" t="str">
            <v>iPhone 14 Pro</v>
          </cell>
          <cell r="I1161">
            <v>105</v>
          </cell>
          <cell r="J1161">
            <v>0.79666110183639405</v>
          </cell>
          <cell r="K1161">
            <v>599</v>
          </cell>
          <cell r="L1161" t="str">
            <v>Celex</v>
          </cell>
          <cell r="M1161" t="str">
            <v>Active</v>
          </cell>
          <cell r="N1161" t="str">
            <v>TIN2139-M</v>
          </cell>
        </row>
        <row r="1162">
          <cell r="A1162" t="str">
            <v>Quikcell</v>
          </cell>
          <cell r="B1162" t="str">
            <v>P0846537087691</v>
          </cell>
          <cell r="C1162" t="str">
            <v>TIN2144-M</v>
          </cell>
          <cell r="D1162" t="str">
            <v>846537087691</v>
          </cell>
          <cell r="E1162" t="str">
            <v>Quikcell iPhone 14 Pro Max ICON TINT Transparent Protective Case – Ice</v>
          </cell>
          <cell r="F1162" t="str">
            <v>Cases iPhone</v>
          </cell>
          <cell r="G1162" t="str">
            <v>iPhone 14</v>
          </cell>
          <cell r="H1162" t="str">
            <v>iPhone 14 Pro</v>
          </cell>
          <cell r="I1162">
            <v>105</v>
          </cell>
          <cell r="J1162">
            <v>0.79666110183639405</v>
          </cell>
          <cell r="K1162">
            <v>599</v>
          </cell>
          <cell r="L1162" t="str">
            <v>Celex</v>
          </cell>
          <cell r="M1162" t="str">
            <v>Active</v>
          </cell>
          <cell r="N1162" t="str">
            <v>TIN2144-M</v>
          </cell>
        </row>
        <row r="1163">
          <cell r="A1163" t="str">
            <v>Quikcell</v>
          </cell>
          <cell r="B1163" t="str">
            <v>P0846537056550</v>
          </cell>
          <cell r="C1163" t="str">
            <v>00716250-M</v>
          </cell>
          <cell r="D1163" t="str">
            <v>846537056550</v>
          </cell>
          <cell r="E1163" t="str">
            <v>QUICKCELL CASE DE GEL IPHONE XR TRANSPARENTE</v>
          </cell>
          <cell r="F1163" t="str">
            <v>Cases iPhone</v>
          </cell>
          <cell r="G1163" t="str">
            <v>iPhone XR</v>
          </cell>
          <cell r="H1163" t="str">
            <v>iPhone XR</v>
          </cell>
          <cell r="I1163">
            <v>105</v>
          </cell>
          <cell r="J1163">
            <v>0.6947368421052631</v>
          </cell>
          <cell r="K1163">
            <v>399</v>
          </cell>
          <cell r="L1163" t="str">
            <v>Celex</v>
          </cell>
          <cell r="M1163" t="str">
            <v>Discontinued</v>
          </cell>
          <cell r="N1163" t="str">
            <v>00716250-M</v>
          </cell>
        </row>
        <row r="1164">
          <cell r="A1164" t="str">
            <v>Quikcell</v>
          </cell>
          <cell r="B1164" t="str">
            <v>P0846537083013</v>
          </cell>
          <cell r="C1164" t="str">
            <v>LPOUCH</v>
          </cell>
          <cell r="D1164" t="str">
            <v>846537083013</v>
          </cell>
          <cell r="E1164" t="str">
            <v>Quikcell SLIM Universal Large Phone Pouch - Carbon Black</v>
          </cell>
          <cell r="F1164" t="str">
            <v>Cases Universal</v>
          </cell>
          <cell r="G1164" t="str">
            <v>Universal</v>
          </cell>
          <cell r="H1164" t="str">
            <v>Phone</v>
          </cell>
          <cell r="I1164">
            <v>170</v>
          </cell>
          <cell r="J1164">
            <v>0.60480961923847698</v>
          </cell>
          <cell r="K1164">
            <v>499</v>
          </cell>
          <cell r="L1164" t="str">
            <v>Celex</v>
          </cell>
          <cell r="M1164" t="str">
            <v>Active</v>
          </cell>
          <cell r="N1164" t="str">
            <v>LPOUCH-M</v>
          </cell>
        </row>
        <row r="1165">
          <cell r="A1165" t="str">
            <v>Quikcell</v>
          </cell>
          <cell r="B1165" t="str">
            <v>P0846537082986</v>
          </cell>
          <cell r="C1165" t="str">
            <v>MFOLIOTAB</v>
          </cell>
          <cell r="D1165" t="str">
            <v>846537082986</v>
          </cell>
          <cell r="E1165" t="str">
            <v>Quikcell FLEX TAB Universal 7-8" Tablet Folio Case  - Carbon Black</v>
          </cell>
          <cell r="F1165" t="str">
            <v>Cases Universal</v>
          </cell>
          <cell r="G1165" t="str">
            <v>Universal</v>
          </cell>
          <cell r="H1165" t="str">
            <v>Tablet</v>
          </cell>
          <cell r="I1165">
            <v>190</v>
          </cell>
          <cell r="J1165">
            <v>0.63205342237061779</v>
          </cell>
          <cell r="K1165">
            <v>599</v>
          </cell>
          <cell r="L1165" t="str">
            <v>Celex</v>
          </cell>
          <cell r="M1165" t="str">
            <v>Active</v>
          </cell>
          <cell r="N1165" t="str">
            <v>MFOLIOTAB-M</v>
          </cell>
        </row>
        <row r="1166">
          <cell r="A1166" t="str">
            <v>Quikcell</v>
          </cell>
          <cell r="B1166" t="str">
            <v>P0846537073595</v>
          </cell>
          <cell r="C1166" t="str">
            <v>QFL36-BLK</v>
          </cell>
          <cell r="D1166" t="str">
            <v>846537073595</v>
          </cell>
          <cell r="E1166" t="str">
            <v>QuikCell Universal Folios- Black</v>
          </cell>
          <cell r="F1166" t="str">
            <v>Cases Universal</v>
          </cell>
          <cell r="G1166" t="str">
            <v>Universal</v>
          </cell>
          <cell r="H1166" t="str">
            <v>Universal</v>
          </cell>
          <cell r="I1166">
            <v>150</v>
          </cell>
          <cell r="J1166">
            <v>0.61247216035634744</v>
          </cell>
          <cell r="K1166">
            <v>449</v>
          </cell>
          <cell r="L1166" t="str">
            <v>Celex</v>
          </cell>
          <cell r="M1166" t="str">
            <v>Active</v>
          </cell>
          <cell r="N1166" t="str">
            <v>QFL36-BLK-M</v>
          </cell>
        </row>
        <row r="1167">
          <cell r="A1167" t="str">
            <v>Quikcell</v>
          </cell>
          <cell r="B1167" t="str">
            <v>P0846537038532</v>
          </cell>
          <cell r="C1167" t="str">
            <v>C-DCAR804-BLK-M</v>
          </cell>
          <cell r="D1167" t="str">
            <v>846537038532</v>
          </cell>
          <cell r="E1167" t="str">
            <v>QuikCell Color Burst 2.1A Dual USB car charger - Black Ink</v>
          </cell>
          <cell r="F1167" t="str">
            <v>Charger</v>
          </cell>
          <cell r="G1167" t="str">
            <v>Car Charger</v>
          </cell>
          <cell r="H1167" t="str">
            <v>2.1A</v>
          </cell>
          <cell r="I1167">
            <v>75</v>
          </cell>
          <cell r="J1167">
            <v>0.35</v>
          </cell>
          <cell r="K1167">
            <v>174</v>
          </cell>
          <cell r="L1167" t="str">
            <v>Celex</v>
          </cell>
          <cell r="M1167" t="str">
            <v>Discontinued</v>
          </cell>
          <cell r="N1167" t="str">
            <v>C-DCAR804-BLK-M</v>
          </cell>
        </row>
        <row r="1168">
          <cell r="A1168" t="str">
            <v>Quikcell</v>
          </cell>
          <cell r="B1168" t="str">
            <v>P0846537076985</v>
          </cell>
          <cell r="C1168" t="str">
            <v>QCVPA2001</v>
          </cell>
          <cell r="D1168" t="str">
            <v>846537076985</v>
          </cell>
          <cell r="E1168" t="str">
            <v>Quikcell DUAL PORT CAR CHARGER  2 USB A x 12W - 24W</v>
          </cell>
          <cell r="F1168" t="str">
            <v>Charger</v>
          </cell>
          <cell r="G1168" t="str">
            <v>Car Charger</v>
          </cell>
          <cell r="H1168" t="str">
            <v>24W</v>
          </cell>
          <cell r="I1168">
            <v>90</v>
          </cell>
          <cell r="J1168">
            <v>0.70085959885386817</v>
          </cell>
          <cell r="K1168">
            <v>349</v>
          </cell>
          <cell r="L1168" t="str">
            <v>Celex</v>
          </cell>
          <cell r="M1168" t="str">
            <v>Active</v>
          </cell>
          <cell r="N1168" t="str">
            <v>QCVPA2001-M</v>
          </cell>
        </row>
        <row r="1169">
          <cell r="A1169" t="str">
            <v>Quikcell</v>
          </cell>
          <cell r="B1169" t="str">
            <v>P0846537076992</v>
          </cell>
          <cell r="C1169" t="str">
            <v>QCVPA2002</v>
          </cell>
          <cell r="D1169" t="str">
            <v>846537076992</v>
          </cell>
          <cell r="E1169" t="str">
            <v>Quikcell DUAL PORT CAR CHARGER  1 USB A 12W + USB C PD 20W - 32W</v>
          </cell>
          <cell r="F1169" t="str">
            <v>Charger</v>
          </cell>
          <cell r="G1169" t="str">
            <v>Car Charger</v>
          </cell>
          <cell r="H1169" t="str">
            <v>32 W</v>
          </cell>
          <cell r="I1169">
            <v>129</v>
          </cell>
          <cell r="J1169">
            <v>0.66672605790645889</v>
          </cell>
          <cell r="K1169">
            <v>449</v>
          </cell>
          <cell r="L1169" t="str">
            <v>Celex</v>
          </cell>
          <cell r="M1169" t="str">
            <v>Active</v>
          </cell>
          <cell r="N1169" t="str">
            <v>QCVPA2002-M</v>
          </cell>
        </row>
        <row r="1170">
          <cell r="A1170" t="str">
            <v>Quikcell</v>
          </cell>
          <cell r="B1170" t="str">
            <v>P0846537073618</v>
          </cell>
          <cell r="C1170" t="str">
            <v>QC-PWRBANK10K</v>
          </cell>
          <cell r="D1170" t="str">
            <v>846537073618</v>
          </cell>
          <cell r="E1170" t="str">
            <v>Quikcell POWERFUEL WIRELESS 10K mAh Powerbank - Black</v>
          </cell>
          <cell r="F1170" t="str">
            <v>Charger</v>
          </cell>
          <cell r="G1170" t="str">
            <v>Power Bank</v>
          </cell>
          <cell r="H1170" t="str">
            <v>10,000 mAh</v>
          </cell>
          <cell r="I1170">
            <v>350</v>
          </cell>
          <cell r="J1170">
            <v>0.66138448707256048</v>
          </cell>
          <cell r="K1170">
            <v>1199</v>
          </cell>
          <cell r="L1170" t="str">
            <v>Celex</v>
          </cell>
          <cell r="M1170" t="str">
            <v>Active</v>
          </cell>
          <cell r="N1170" t="str">
            <v>QC-PWRBANK10K-M</v>
          </cell>
        </row>
        <row r="1171">
          <cell r="A1171" t="str">
            <v>Quikcell</v>
          </cell>
          <cell r="B1171" t="str">
            <v>P0846537034312</v>
          </cell>
          <cell r="C1171" t="str">
            <v>C-JK2600-RED-M</v>
          </cell>
          <cell r="D1171" t="str">
            <v>846537034312</v>
          </cell>
          <cell r="E1171" t="str">
            <v>QUIKCELL POWER BANK 2600 MAH RED</v>
          </cell>
          <cell r="F1171" t="str">
            <v>Charger</v>
          </cell>
          <cell r="G1171" t="str">
            <v>Power Bank</v>
          </cell>
          <cell r="H1171" t="str">
            <v>2,600 mAh</v>
          </cell>
          <cell r="I1171">
            <v>64.224137931034491</v>
          </cell>
          <cell r="J1171">
            <v>0.35</v>
          </cell>
          <cell r="K1171">
            <v>149</v>
          </cell>
          <cell r="L1171" t="str">
            <v>Celex</v>
          </cell>
          <cell r="M1171" t="str">
            <v>Discontinued</v>
          </cell>
          <cell r="N1171" t="str">
            <v>C-JK2600-RED-M</v>
          </cell>
        </row>
        <row r="1172">
          <cell r="A1172" t="str">
            <v>Quikcell</v>
          </cell>
          <cell r="B1172" t="str">
            <v>P0846537034336</v>
          </cell>
          <cell r="C1172" t="str">
            <v>C-JK2600-PNK-M</v>
          </cell>
          <cell r="D1172" t="str">
            <v>846537034336</v>
          </cell>
          <cell r="E1172" t="str">
            <v>QUIKCELL POWER BANK 2600 MAH PINK</v>
          </cell>
          <cell r="F1172" t="str">
            <v>Charger</v>
          </cell>
          <cell r="G1172" t="str">
            <v>Power Bank</v>
          </cell>
          <cell r="H1172" t="str">
            <v>2,600 mAh</v>
          </cell>
          <cell r="I1172">
            <v>64.224137931034491</v>
          </cell>
          <cell r="J1172">
            <v>0.35</v>
          </cell>
          <cell r="K1172">
            <v>149</v>
          </cell>
          <cell r="L1172" t="str">
            <v>Celex</v>
          </cell>
          <cell r="M1172" t="str">
            <v>Discontinued</v>
          </cell>
          <cell r="N1172" t="str">
            <v>C-JK2600-PNK-M</v>
          </cell>
        </row>
        <row r="1173">
          <cell r="A1173" t="str">
            <v>Quikcell</v>
          </cell>
          <cell r="B1173" t="str">
            <v>P0846537073601</v>
          </cell>
          <cell r="C1173" t="str">
            <v>QC-PWRBANK6K</v>
          </cell>
          <cell r="D1173" t="str">
            <v>846537073601</v>
          </cell>
          <cell r="E1173" t="str">
            <v>Quikcell POWERFUEL 6K mAh Powerbank - Black</v>
          </cell>
          <cell r="F1173" t="str">
            <v>Charger</v>
          </cell>
          <cell r="G1173" t="str">
            <v>Power Bank</v>
          </cell>
          <cell r="H1173" t="str">
            <v>6,000 mAh</v>
          </cell>
          <cell r="I1173">
            <v>190</v>
          </cell>
          <cell r="J1173">
            <v>0.55831663326653314</v>
          </cell>
          <cell r="K1173">
            <v>499</v>
          </cell>
          <cell r="L1173" t="str">
            <v>Celex</v>
          </cell>
          <cell r="M1173" t="str">
            <v>Active</v>
          </cell>
          <cell r="N1173" t="str">
            <v>QC-PWRBANK6K-M</v>
          </cell>
        </row>
        <row r="1174">
          <cell r="A1174" t="str">
            <v>Quikcell</v>
          </cell>
          <cell r="B1174" t="str">
            <v>P0846537030901</v>
          </cell>
          <cell r="C1174" t="str">
            <v>C-WALL852-RED-M</v>
          </cell>
          <cell r="D1174" t="str">
            <v>846537030901</v>
          </cell>
          <cell r="E1174" t="str">
            <v>QuikCell Color Burst 1A USB Wall Charger - Liquid Red</v>
          </cell>
          <cell r="F1174" t="str">
            <v>Charger</v>
          </cell>
          <cell r="G1174" t="str">
            <v>Wall charger</v>
          </cell>
          <cell r="H1174" t="str">
            <v>1A</v>
          </cell>
          <cell r="I1174">
            <v>55.603448275862071</v>
          </cell>
          <cell r="J1174">
            <v>0.35</v>
          </cell>
          <cell r="K1174">
            <v>129</v>
          </cell>
          <cell r="L1174" t="str">
            <v>Celex</v>
          </cell>
          <cell r="M1174" t="str">
            <v>Discontinued</v>
          </cell>
          <cell r="N1174" t="str">
            <v>C-WALL852-RED-M</v>
          </cell>
        </row>
        <row r="1175">
          <cell r="A1175" t="str">
            <v>Quikcell</v>
          </cell>
          <cell r="B1175" t="str">
            <v>P0846537077005</v>
          </cell>
          <cell r="C1175" t="str">
            <v>QTRC2001</v>
          </cell>
          <cell r="D1175" t="str">
            <v>846537077005</v>
          </cell>
          <cell r="E1175" t="str">
            <v>Quikcell DUAL PORT WALL CHARGER  2 USB A x 12W - 24W</v>
          </cell>
          <cell r="F1175" t="str">
            <v>Charger</v>
          </cell>
          <cell r="G1175" t="str">
            <v>Wall charger</v>
          </cell>
          <cell r="H1175" t="str">
            <v>24 W</v>
          </cell>
          <cell r="I1175">
            <v>165</v>
          </cell>
          <cell r="J1175">
            <v>0.61643286573146305</v>
          </cell>
          <cell r="K1175">
            <v>499</v>
          </cell>
          <cell r="L1175" t="str">
            <v>Celex</v>
          </cell>
          <cell r="M1175" t="str">
            <v>Active</v>
          </cell>
          <cell r="N1175" t="str">
            <v>QTRC2001-M</v>
          </cell>
        </row>
        <row r="1176">
          <cell r="A1176" t="str">
            <v>Quikcell</v>
          </cell>
          <cell r="B1176" t="str">
            <v>P0846537085529</v>
          </cell>
          <cell r="C1176" t="str">
            <v>QTRC2009</v>
          </cell>
          <cell r="D1176" t="str">
            <v>846537085529</v>
          </cell>
          <cell r="E1176" t="str">
            <v>Quikcell PD 25W single port USB-C output</v>
          </cell>
          <cell r="F1176" t="str">
            <v>Charger</v>
          </cell>
          <cell r="G1176" t="str">
            <v>Wall charger</v>
          </cell>
          <cell r="H1176" t="str">
            <v>25W</v>
          </cell>
          <cell r="I1176">
            <v>144</v>
          </cell>
          <cell r="J1176">
            <v>0.58135338345864662</v>
          </cell>
          <cell r="K1176">
            <v>399</v>
          </cell>
          <cell r="L1176" t="str">
            <v>Celex</v>
          </cell>
          <cell r="M1176" t="str">
            <v>Active</v>
          </cell>
          <cell r="N1176" t="str">
            <v>QTRC2009-M</v>
          </cell>
        </row>
        <row r="1177">
          <cell r="A1177" t="str">
            <v>Quikcell</v>
          </cell>
          <cell r="B1177" t="str">
            <v>P0846537035920</v>
          </cell>
          <cell r="C1177" t="str">
            <v>MTR5002</v>
          </cell>
          <cell r="D1177" t="str">
            <v>846537035920</v>
          </cell>
          <cell r="E1177" t="str">
            <v xml:space="preserve">QUIKCELL TRAVEL CHARGER AND USB CABLE </v>
          </cell>
          <cell r="F1177" t="str">
            <v>Charger</v>
          </cell>
          <cell r="G1177" t="str">
            <v>Wall charger</v>
          </cell>
          <cell r="H1177" t="str">
            <v>3.1 A</v>
          </cell>
          <cell r="I1177">
            <v>65</v>
          </cell>
          <cell r="J1177">
            <v>0.62110552763819094</v>
          </cell>
          <cell r="K1177">
            <v>199</v>
          </cell>
          <cell r="L1177" t="str">
            <v>Celex</v>
          </cell>
          <cell r="M1177" t="str">
            <v>Active</v>
          </cell>
          <cell r="N1177" t="str">
            <v>MTR5002-M</v>
          </cell>
        </row>
        <row r="1178">
          <cell r="A1178" t="str">
            <v>Quikcell</v>
          </cell>
          <cell r="B1178" t="str">
            <v>P0846537035937</v>
          </cell>
          <cell r="C1178" t="str">
            <v>MTR5003</v>
          </cell>
          <cell r="D1178" t="str">
            <v>846537035937</v>
          </cell>
          <cell r="E1178" t="str">
            <v>Quikcell Dual USB MicroUSB Travel Charger 3.4A and USB Cable</v>
          </cell>
          <cell r="F1178" t="str">
            <v>Charger</v>
          </cell>
          <cell r="G1178" t="str">
            <v>Wall charger</v>
          </cell>
          <cell r="H1178" t="str">
            <v>3.4A</v>
          </cell>
          <cell r="I1178">
            <v>65</v>
          </cell>
          <cell r="J1178">
            <v>0.62110552763819094</v>
          </cell>
          <cell r="K1178">
            <v>199</v>
          </cell>
          <cell r="L1178" t="str">
            <v>Celex</v>
          </cell>
          <cell r="M1178" t="str">
            <v>Active</v>
          </cell>
          <cell r="N1178" t="str">
            <v>MTR5003-M</v>
          </cell>
        </row>
        <row r="1179">
          <cell r="A1179" t="str">
            <v>Quikcell</v>
          </cell>
          <cell r="B1179" t="str">
            <v>P0846537077012</v>
          </cell>
          <cell r="C1179" t="str">
            <v>QTRC2002</v>
          </cell>
          <cell r="D1179" t="str">
            <v>846537077012</v>
          </cell>
          <cell r="E1179" t="str">
            <v>Quikcell DUAL PORT WALL CHARGER 1 USB A 12W + USB C PD 20W - 32W</v>
          </cell>
          <cell r="F1179" t="str">
            <v>Charger</v>
          </cell>
          <cell r="G1179" t="str">
            <v>Wall charger</v>
          </cell>
          <cell r="H1179" t="str">
            <v>32 W</v>
          </cell>
          <cell r="I1179">
            <v>210</v>
          </cell>
          <cell r="J1179">
            <v>0.59332220367278798</v>
          </cell>
          <cell r="K1179">
            <v>599</v>
          </cell>
          <cell r="L1179" t="str">
            <v>Celex</v>
          </cell>
          <cell r="M1179" t="str">
            <v>Active</v>
          </cell>
          <cell r="N1179" t="str">
            <v>QTRC2002-M</v>
          </cell>
        </row>
        <row r="1180">
          <cell r="A1180" t="str">
            <v>Quikcell</v>
          </cell>
          <cell r="B1180" t="str">
            <v>P0846537030888</v>
          </cell>
          <cell r="C1180" t="str">
            <v>C-DWALL931-BLU-M</v>
          </cell>
          <cell r="D1180" t="str">
            <v>846537030888</v>
          </cell>
          <cell r="E1180" t="str">
            <v>QUIKCELL DUAL WALL CHARGER BLUE</v>
          </cell>
          <cell r="F1180" t="str">
            <v>Charger</v>
          </cell>
          <cell r="G1180" t="str">
            <v>Wall charger</v>
          </cell>
          <cell r="H1180" t="str">
            <v>Dual</v>
          </cell>
          <cell r="I1180">
            <v>51.293103448275865</v>
          </cell>
          <cell r="J1180">
            <v>0.35</v>
          </cell>
          <cell r="K1180">
            <v>119</v>
          </cell>
          <cell r="L1180" t="str">
            <v>Celex</v>
          </cell>
          <cell r="M1180" t="str">
            <v>Discontinued</v>
          </cell>
          <cell r="N1180" t="str">
            <v>C-DWALL931-BLU-M</v>
          </cell>
        </row>
        <row r="1181">
          <cell r="A1181" t="str">
            <v>Quikcell</v>
          </cell>
          <cell r="B1181" t="str">
            <v>P0846537030895</v>
          </cell>
          <cell r="C1181" t="str">
            <v>C-DWALL931-PNK-M</v>
          </cell>
          <cell r="D1181" t="str">
            <v>846537030895</v>
          </cell>
          <cell r="E1181" t="str">
            <v>QUIKCELL DUAL WALL CHARGER PINK</v>
          </cell>
          <cell r="F1181" t="str">
            <v>Charger</v>
          </cell>
          <cell r="G1181" t="str">
            <v>Wall charger</v>
          </cell>
          <cell r="H1181" t="str">
            <v>Dual</v>
          </cell>
          <cell r="I1181">
            <v>51.293103448275865</v>
          </cell>
          <cell r="J1181">
            <v>0.35</v>
          </cell>
          <cell r="K1181">
            <v>119</v>
          </cell>
          <cell r="L1181" t="str">
            <v>Celex</v>
          </cell>
          <cell r="M1181" t="str">
            <v>Discontinued</v>
          </cell>
          <cell r="N1181" t="str">
            <v>C-DWALL931-PNK-M</v>
          </cell>
        </row>
        <row r="1182">
          <cell r="A1182" t="str">
            <v>Quikcell</v>
          </cell>
          <cell r="B1182" t="str">
            <v>P0846537030949</v>
          </cell>
          <cell r="C1182" t="str">
            <v>C-WALL852-PNK-M</v>
          </cell>
          <cell r="D1182" t="str">
            <v>846537030949</v>
          </cell>
          <cell r="E1182" t="str">
            <v>QUIKCELL WALL CHARGER LIQUID PINK</v>
          </cell>
          <cell r="F1182" t="str">
            <v>Charger</v>
          </cell>
          <cell r="G1182" t="str">
            <v>Wall charger</v>
          </cell>
          <cell r="H1182" t="str">
            <v>Dual</v>
          </cell>
          <cell r="I1182">
            <v>107.32758620689656</v>
          </cell>
          <cell r="J1182">
            <v>0.35</v>
          </cell>
          <cell r="K1182">
            <v>249</v>
          </cell>
          <cell r="L1182" t="str">
            <v>Celex</v>
          </cell>
          <cell r="M1182" t="str">
            <v>Discontinued</v>
          </cell>
          <cell r="N1182" t="str">
            <v>C-WALL852-PNK-M</v>
          </cell>
        </row>
        <row r="1183">
          <cell r="A1183" t="str">
            <v>Quikcell</v>
          </cell>
          <cell r="B1183" t="str">
            <v>P0846537053184</v>
          </cell>
          <cell r="C1183" t="str">
            <v>QC-PWRBASE2-BLK</v>
          </cell>
          <cell r="D1183" t="str">
            <v>846537053184</v>
          </cell>
          <cell r="E1183" t="str">
            <v>Quikcell POWERBASE 2 Wireless Charging Pad - 10W</v>
          </cell>
          <cell r="F1183" t="str">
            <v>Charger</v>
          </cell>
          <cell r="G1183" t="str">
            <v>Wireless</v>
          </cell>
          <cell r="H1183" t="str">
            <v>10 W</v>
          </cell>
          <cell r="I1183">
            <v>440.67</v>
          </cell>
          <cell r="J1183">
            <v>0.36022878598247809</v>
          </cell>
          <cell r="K1183">
            <v>799</v>
          </cell>
          <cell r="L1183" t="str">
            <v>Celex</v>
          </cell>
          <cell r="M1183" t="str">
            <v>Active</v>
          </cell>
          <cell r="N1183" t="str">
            <v>QC-PWRBASE2-BLK-M</v>
          </cell>
        </row>
        <row r="1184">
          <cell r="A1184" t="str">
            <v>Quikcell</v>
          </cell>
          <cell r="B1184" t="str">
            <v>P0846537072215</v>
          </cell>
          <cell r="C1184" t="str">
            <v>QC-TRIO</v>
          </cell>
          <cell r="D1184" t="str">
            <v>846537072215</v>
          </cell>
          <cell r="E1184" t="str">
            <v>Quikcell TRIO 3 in 1 Wireless Charging Pad - White</v>
          </cell>
          <cell r="F1184" t="str">
            <v>Charger</v>
          </cell>
          <cell r="G1184" t="str">
            <v>Wireless</v>
          </cell>
          <cell r="H1184" t="str">
            <v>10 W</v>
          </cell>
          <cell r="I1184">
            <v>750</v>
          </cell>
          <cell r="J1184">
            <v>0.27439532944120104</v>
          </cell>
          <cell r="K1184">
            <v>1199</v>
          </cell>
          <cell r="L1184" t="str">
            <v>Celex</v>
          </cell>
          <cell r="M1184" t="str">
            <v>Active</v>
          </cell>
          <cell r="N1184" t="str">
            <v>QC-TRIO-M</v>
          </cell>
        </row>
        <row r="1185">
          <cell r="A1185" t="str">
            <v>Quikcell</v>
          </cell>
          <cell r="B1185" t="str">
            <v>P0846537080722</v>
          </cell>
          <cell r="C1185" t="str">
            <v>PWERFLIP-BLK</v>
          </cell>
          <cell r="D1185" t="str">
            <v>846537080722</v>
          </cell>
          <cell r="E1185" t="str">
            <v>Quikcell POWERFLIP 15W wireless 2-in-1 charger</v>
          </cell>
          <cell r="F1185" t="str">
            <v>Charger</v>
          </cell>
          <cell r="G1185" t="str">
            <v>Wireless</v>
          </cell>
          <cell r="H1185" t="str">
            <v>15 W</v>
          </cell>
          <cell r="I1185">
            <v>440.7</v>
          </cell>
          <cell r="J1185">
            <v>0.57363469557964974</v>
          </cell>
          <cell r="K1185">
            <v>1199</v>
          </cell>
          <cell r="L1185" t="str">
            <v>Celex</v>
          </cell>
          <cell r="M1185" t="str">
            <v>Active</v>
          </cell>
          <cell r="N1185" t="str">
            <v>PWERFLIP-BLK-M</v>
          </cell>
        </row>
        <row r="1186">
          <cell r="A1186" t="str">
            <v>Quikcell</v>
          </cell>
          <cell r="B1186" t="str">
            <v>P0846537082672</v>
          </cell>
          <cell r="C1186" t="str">
            <v>DRIVEDOCK-C</v>
          </cell>
          <cell r="D1186" t="str">
            <v>846537082672</v>
          </cell>
          <cell r="E1186" t="str">
            <v>Quikcell Mount+Suction+Vent 2 in 1 air vent Dashboad Car Mount Charge</v>
          </cell>
          <cell r="F1186" t="str">
            <v>Hardware</v>
          </cell>
          <cell r="G1186" t="str">
            <v>Car Mount</v>
          </cell>
          <cell r="H1186" t="str">
            <v>Car Mount</v>
          </cell>
          <cell r="I1186">
            <v>250</v>
          </cell>
          <cell r="J1186">
            <v>0.63704630788485606</v>
          </cell>
          <cell r="K1186">
            <v>799</v>
          </cell>
          <cell r="L1186" t="str">
            <v>Celex</v>
          </cell>
          <cell r="M1186" t="str">
            <v>Active</v>
          </cell>
          <cell r="N1186" t="str">
            <v>DRIVEDOCK-C-M</v>
          </cell>
        </row>
        <row r="1187">
          <cell r="A1187" t="str">
            <v>Quikcell</v>
          </cell>
          <cell r="B1187" t="str">
            <v>P0846537082122</v>
          </cell>
          <cell r="C1187" t="str">
            <v>DRIVEDOCK</v>
          </cell>
          <cell r="D1187" t="str">
            <v>846537082122</v>
          </cell>
          <cell r="E1187" t="str">
            <v>Quikcell Mount+Suction+Vent 2 in 1 air vent Dashboad Car Mount</v>
          </cell>
          <cell r="F1187" t="str">
            <v>Hardware</v>
          </cell>
          <cell r="G1187" t="str">
            <v>Car Mount</v>
          </cell>
          <cell r="H1187" t="str">
            <v>Car Mount</v>
          </cell>
          <cell r="I1187">
            <v>100</v>
          </cell>
          <cell r="J1187">
            <v>0.7092731829573935</v>
          </cell>
          <cell r="K1187">
            <v>399</v>
          </cell>
          <cell r="L1187" t="str">
            <v>Celex</v>
          </cell>
          <cell r="M1187" t="str">
            <v>Active</v>
          </cell>
          <cell r="N1187" t="str">
            <v>DRIVEDOCK-M</v>
          </cell>
        </row>
        <row r="1188">
          <cell r="A1188" t="str">
            <v>Quikcell</v>
          </cell>
          <cell r="B1188" t="str">
            <v>P0846537073656</v>
          </cell>
          <cell r="C1188" t="str">
            <v>GP-IPSE2-BLK</v>
          </cell>
          <cell r="D1188" t="str">
            <v>846537073656</v>
          </cell>
          <cell r="E1188" t="str">
            <v>Quikcell Apple iPhone SE 2020 GOOF PROOF Premium Tempered Glass Screen Protection - Black</v>
          </cell>
          <cell r="F1188" t="str">
            <v>Micas</v>
          </cell>
          <cell r="G1188" t="str">
            <v>iPhone</v>
          </cell>
          <cell r="H1188" t="str">
            <v>iPhone SE 2020 -2022</v>
          </cell>
          <cell r="I1188">
            <v>206.55</v>
          </cell>
          <cell r="J1188">
            <v>0.6000033388981636</v>
          </cell>
          <cell r="K1188">
            <v>599</v>
          </cell>
          <cell r="L1188" t="str">
            <v>Celex</v>
          </cell>
          <cell r="M1188" t="str">
            <v>Active</v>
          </cell>
          <cell r="N1188" t="str">
            <v>GP-IPSE2-BLK-M</v>
          </cell>
        </row>
        <row r="1189">
          <cell r="A1189" t="str">
            <v>Quikcell</v>
          </cell>
          <cell r="B1189" t="str">
            <v>P0846537051050</v>
          </cell>
          <cell r="C1189" t="str">
            <v>00716230-M</v>
          </cell>
          <cell r="D1189" t="str">
            <v>846537051050</v>
          </cell>
          <cell r="E1189" t="str">
            <v>QUICKCELL SCREEN PROTECTOR GLASS IPHONE XS</v>
          </cell>
          <cell r="F1189" t="str">
            <v>Micas</v>
          </cell>
          <cell r="G1189" t="str">
            <v>iPhone</v>
          </cell>
          <cell r="H1189" t="str">
            <v>IPHONE XS</v>
          </cell>
          <cell r="I1189">
            <v>105</v>
          </cell>
          <cell r="J1189">
            <v>0.6947368421052631</v>
          </cell>
          <cell r="K1189">
            <v>399</v>
          </cell>
          <cell r="L1189" t="str">
            <v>Celex</v>
          </cell>
          <cell r="M1189" t="str">
            <v>Discontinued</v>
          </cell>
          <cell r="N1189" t="str">
            <v>00716230-M</v>
          </cell>
        </row>
        <row r="1190">
          <cell r="A1190" t="str">
            <v>Quikcell</v>
          </cell>
          <cell r="B1190" t="str">
            <v>P0846537077371</v>
          </cell>
          <cell r="C1190" t="str">
            <v>GP-IP202054</v>
          </cell>
          <cell r="D1190" t="str">
            <v>846537077371</v>
          </cell>
          <cell r="E1190" t="str">
            <v>QUIKCELL CRISTAL TEMPLADO IPHONE 12 MINI</v>
          </cell>
          <cell r="F1190" t="str">
            <v>Micas</v>
          </cell>
          <cell r="G1190" t="str">
            <v>iPhone 12</v>
          </cell>
          <cell r="H1190" t="str">
            <v>IPHONE 12 MINI</v>
          </cell>
          <cell r="I1190">
            <v>130</v>
          </cell>
          <cell r="J1190">
            <v>0.74824707846410687</v>
          </cell>
          <cell r="K1190">
            <v>599</v>
          </cell>
          <cell r="L1190" t="str">
            <v>Celex</v>
          </cell>
          <cell r="M1190" t="str">
            <v>Discontinued</v>
          </cell>
          <cell r="N1190" t="str">
            <v>GP-IP202054-M</v>
          </cell>
        </row>
        <row r="1191">
          <cell r="A1191" t="str">
            <v>Quikcell</v>
          </cell>
          <cell r="B1191" t="str">
            <v>P0846537077548</v>
          </cell>
          <cell r="C1191" t="str">
            <v>GP-IP202061</v>
          </cell>
          <cell r="D1191" t="str">
            <v>846537077548</v>
          </cell>
          <cell r="E1191" t="str">
            <v>QUIKCELL CRISTAL TEMPLADO IPHONE 12 Y 12 PRO</v>
          </cell>
          <cell r="F1191" t="str">
            <v>Micas</v>
          </cell>
          <cell r="G1191" t="str">
            <v>iPhone 12</v>
          </cell>
          <cell r="H1191" t="str">
            <v>iPhone 12/iPhone 12 Pro</v>
          </cell>
          <cell r="I1191">
            <v>90</v>
          </cell>
          <cell r="J1191">
            <v>0.82570951585976626</v>
          </cell>
          <cell r="K1191">
            <v>599</v>
          </cell>
          <cell r="L1191" t="str">
            <v>Celex</v>
          </cell>
          <cell r="M1191" t="str">
            <v>Discontinued</v>
          </cell>
          <cell r="N1191" t="str">
            <v>GP-IP202061-M</v>
          </cell>
        </row>
        <row r="1192">
          <cell r="A1192" t="str">
            <v>Quikcell</v>
          </cell>
          <cell r="B1192" t="str">
            <v>P0846537083464</v>
          </cell>
          <cell r="C1192" t="str">
            <v>GP-IP21S-M</v>
          </cell>
          <cell r="D1192" t="str">
            <v>846537083464</v>
          </cell>
          <cell r="E1192" t="str">
            <v>Quikcell Goof Proof Tempered Glass for iPhone 13 mini</v>
          </cell>
          <cell r="F1192" t="str">
            <v>Micas</v>
          </cell>
          <cell r="G1192" t="str">
            <v>iPhone 13</v>
          </cell>
          <cell r="H1192" t="str">
            <v>iPhone 13 mini</v>
          </cell>
          <cell r="I1192">
            <v>130</v>
          </cell>
          <cell r="J1192">
            <v>0.74824707846410687</v>
          </cell>
          <cell r="K1192">
            <v>599</v>
          </cell>
          <cell r="L1192" t="str">
            <v>Celex</v>
          </cell>
          <cell r="M1192" t="str">
            <v>Discontinued</v>
          </cell>
          <cell r="N1192" t="str">
            <v>GP-IP21S-M</v>
          </cell>
        </row>
        <row r="1193">
          <cell r="A1193" t="str">
            <v>Quikcell</v>
          </cell>
          <cell r="B1193" t="str">
            <v>P0846537083716</v>
          </cell>
          <cell r="C1193" t="str">
            <v>GP-IP21L-M</v>
          </cell>
          <cell r="D1193" t="str">
            <v>846537083716</v>
          </cell>
          <cell r="E1193" t="str">
            <v>Quikcell Goof Proof Tempered Glass for iPhone 13 Pro Max</v>
          </cell>
          <cell r="F1193" t="str">
            <v>Micas</v>
          </cell>
          <cell r="G1193" t="str">
            <v>iPhone 13</v>
          </cell>
          <cell r="H1193" t="str">
            <v>iPhone 13 Pro Max</v>
          </cell>
          <cell r="I1193">
            <v>130</v>
          </cell>
          <cell r="J1193">
            <v>0.74824707846410687</v>
          </cell>
          <cell r="K1193">
            <v>599</v>
          </cell>
          <cell r="L1193" t="str">
            <v>Celex</v>
          </cell>
          <cell r="M1193" t="str">
            <v>Discontinued</v>
          </cell>
          <cell r="N1193" t="str">
            <v>GP-IP21L-M</v>
          </cell>
        </row>
        <row r="1194">
          <cell r="A1194" t="str">
            <v>Quikcell</v>
          </cell>
          <cell r="B1194" t="str">
            <v>P0846537083587</v>
          </cell>
          <cell r="C1194" t="str">
            <v>GP-IP21M-M</v>
          </cell>
          <cell r="D1194" t="str">
            <v>846537083587</v>
          </cell>
          <cell r="E1194" t="str">
            <v>Quikcell Goof Proof Tempered Glass for iPhone 13/13 Pro</v>
          </cell>
          <cell r="F1194" t="str">
            <v>Micas</v>
          </cell>
          <cell r="G1194" t="str">
            <v>iPhone 13</v>
          </cell>
          <cell r="H1194" t="str">
            <v>iPhone 13/13 Pro</v>
          </cell>
          <cell r="I1194">
            <v>130</v>
          </cell>
          <cell r="J1194">
            <v>0.74824707846410687</v>
          </cell>
          <cell r="K1194">
            <v>599</v>
          </cell>
          <cell r="L1194" t="str">
            <v>Celex</v>
          </cell>
          <cell r="M1194" t="str">
            <v>Discontinued</v>
          </cell>
          <cell r="N1194" t="str">
            <v>GP-IP21M-M</v>
          </cell>
        </row>
        <row r="1195">
          <cell r="A1195" t="str">
            <v>Quikcell</v>
          </cell>
          <cell r="B1195" t="str">
            <v>P0846537087370</v>
          </cell>
          <cell r="C1195" t="str">
            <v>GQC2134-M</v>
          </cell>
          <cell r="D1195" t="str">
            <v>846537087370</v>
          </cell>
          <cell r="E1195" t="str">
            <v>Quikcell Tempered Glass Screen Protector for iPhone 14</v>
          </cell>
          <cell r="F1195" t="str">
            <v>Micas</v>
          </cell>
          <cell r="G1195" t="str">
            <v>iPhone 14</v>
          </cell>
          <cell r="H1195" t="str">
            <v>iPhone 14</v>
          </cell>
          <cell r="I1195">
            <v>115</v>
          </cell>
          <cell r="J1195">
            <v>0.75701275045537342</v>
          </cell>
          <cell r="K1195">
            <v>549</v>
          </cell>
          <cell r="L1195" t="str">
            <v>Celex</v>
          </cell>
          <cell r="M1195" t="str">
            <v>Active</v>
          </cell>
          <cell r="N1195" t="str">
            <v>GQC2134-M</v>
          </cell>
        </row>
        <row r="1196">
          <cell r="A1196" t="str">
            <v>Quikcell</v>
          </cell>
          <cell r="B1196" t="str">
            <v>P0846537087608</v>
          </cell>
          <cell r="C1196" t="str">
            <v>GQC2136-M</v>
          </cell>
          <cell r="D1196" t="str">
            <v>846537087608</v>
          </cell>
          <cell r="E1196" t="str">
            <v>Quikcell Tempered Glass Screen Protector for iPhone 14 Plus</v>
          </cell>
          <cell r="F1196" t="str">
            <v>Micas</v>
          </cell>
          <cell r="G1196" t="str">
            <v>iPhone 14</v>
          </cell>
          <cell r="H1196" t="str">
            <v>iPhone 14 Plus</v>
          </cell>
          <cell r="I1196">
            <v>115</v>
          </cell>
          <cell r="J1196">
            <v>0.75701275045537342</v>
          </cell>
          <cell r="K1196">
            <v>549</v>
          </cell>
          <cell r="L1196" t="str">
            <v>Celex</v>
          </cell>
          <cell r="M1196" t="str">
            <v>Active</v>
          </cell>
          <cell r="N1196" t="str">
            <v>GQC2136-M</v>
          </cell>
        </row>
        <row r="1197">
          <cell r="A1197" t="str">
            <v>Quikcell</v>
          </cell>
          <cell r="B1197" t="str">
            <v>P0846537087493</v>
          </cell>
          <cell r="C1197" t="str">
            <v>GQC2135-M</v>
          </cell>
          <cell r="D1197" t="str">
            <v>846537087493</v>
          </cell>
          <cell r="E1197" t="str">
            <v>Quikcell Apple iPhone 14 Pro TEMPERED GLASS Screen Protector</v>
          </cell>
          <cell r="F1197" t="str">
            <v>Micas</v>
          </cell>
          <cell r="G1197" t="str">
            <v>iPhone 14</v>
          </cell>
          <cell r="H1197" t="str">
            <v>iPhone 14 Pro</v>
          </cell>
          <cell r="I1197">
            <v>115</v>
          </cell>
          <cell r="J1197">
            <v>0.7772954924874792</v>
          </cell>
          <cell r="K1197">
            <v>599</v>
          </cell>
          <cell r="L1197" t="str">
            <v>Celex</v>
          </cell>
          <cell r="M1197" t="str">
            <v>Active</v>
          </cell>
          <cell r="N1197" t="str">
            <v>GQC2135-M</v>
          </cell>
        </row>
        <row r="1198">
          <cell r="A1198" t="str">
            <v>Quikcell</v>
          </cell>
          <cell r="B1198" t="str">
            <v>P0846537083037</v>
          </cell>
          <cell r="C1198" t="str">
            <v>LIQUIDGTAB</v>
          </cell>
          <cell r="D1198" t="str">
            <v>846537083037</v>
          </cell>
          <cell r="E1198" t="str">
            <v>Quikcell ULTRA TABLET Liquid Glass Screen Protector</v>
          </cell>
          <cell r="F1198" t="str">
            <v>Micas</v>
          </cell>
          <cell r="G1198" t="str">
            <v>UNIVERSAL</v>
          </cell>
          <cell r="H1198" t="str">
            <v>Tablet</v>
          </cell>
          <cell r="I1198">
            <v>240</v>
          </cell>
          <cell r="J1198">
            <v>0.60171673819742488</v>
          </cell>
          <cell r="K1198">
            <v>699</v>
          </cell>
          <cell r="L1198" t="str">
            <v>Celex</v>
          </cell>
          <cell r="M1198" t="str">
            <v>Active</v>
          </cell>
          <cell r="N1198" t="str">
            <v>LIQUIDGTAB-M</v>
          </cell>
        </row>
        <row r="1199">
          <cell r="A1199" t="str">
            <v>Quikcell</v>
          </cell>
          <cell r="B1199" t="str">
            <v>P0846537071317</v>
          </cell>
          <cell r="C1199" t="str">
            <v>QC-LIQUIDG</v>
          </cell>
          <cell r="D1199" t="str">
            <v>846537071317</v>
          </cell>
          <cell r="E1199" t="str">
            <v>Quikcell Ultra LIQUID GLASS Screen Protector</v>
          </cell>
          <cell r="F1199" t="str">
            <v>Micas</v>
          </cell>
          <cell r="G1199" t="str">
            <v>UNIVERSAL</v>
          </cell>
          <cell r="H1199" t="str">
            <v>Universal</v>
          </cell>
          <cell r="I1199">
            <v>120</v>
          </cell>
          <cell r="J1199">
            <v>0.72104208416833671</v>
          </cell>
          <cell r="K1199">
            <v>499</v>
          </cell>
          <cell r="L1199" t="str">
            <v>Celex</v>
          </cell>
          <cell r="M1199" t="str">
            <v>Active</v>
          </cell>
          <cell r="N1199" t="str">
            <v>QC-LIQUIDG-M</v>
          </cell>
        </row>
        <row r="1200">
          <cell r="A1200" t="str">
            <v>Quikcell</v>
          </cell>
          <cell r="B1200" t="str">
            <v>P0846537075643</v>
          </cell>
          <cell r="C1200" t="str">
            <v>QAIR-WAT</v>
          </cell>
          <cell r="D1200" t="str">
            <v>846537075643</v>
          </cell>
          <cell r="E1200" t="str">
            <v>Quikcell Bundle Watch and QAIR BUDS True Wireless Earbuds with Charging Case - Black</v>
          </cell>
          <cell r="F1200" t="str">
            <v>Wearable</v>
          </cell>
          <cell r="G1200" t="str">
            <v>Smartwatch</v>
          </cell>
          <cell r="H1200" t="str">
            <v>Bundle</v>
          </cell>
          <cell r="I1200">
            <v>1019</v>
          </cell>
          <cell r="J1200">
            <v>0.5269947979191677</v>
          </cell>
          <cell r="K1200">
            <v>2499</v>
          </cell>
          <cell r="L1200" t="str">
            <v>Celex</v>
          </cell>
          <cell r="M1200" t="str">
            <v>Active</v>
          </cell>
          <cell r="N1200" t="str">
            <v>QAIR-WAT-M</v>
          </cell>
        </row>
        <row r="1201">
          <cell r="A1201" t="str">
            <v>Speck</v>
          </cell>
          <cell r="B1201" t="str">
            <v>P840168533381</v>
          </cell>
          <cell r="C1201" t="str">
            <v>150459-3199</v>
          </cell>
          <cell r="D1201" t="str">
            <v>840168533381</v>
          </cell>
          <cell r="E1201" t="str">
            <v>Speck Presidio® Perfect-Clear Grip Magsafe® Clicklock™ Clear/Clear/Chrome iPhone 15 Plus</v>
          </cell>
          <cell r="F1201" t="str">
            <v>Cases iPhone</v>
          </cell>
          <cell r="G1201" t="str">
            <v>iPhone 15</v>
          </cell>
          <cell r="H1201" t="str">
            <v>iPhone 15 Plus</v>
          </cell>
          <cell r="I1201">
            <v>430</v>
          </cell>
          <cell r="J1201">
            <v>0.50070070070070072</v>
          </cell>
          <cell r="K1201">
            <v>999</v>
          </cell>
          <cell r="L1201" t="str">
            <v>Celex</v>
          </cell>
          <cell r="M1201" t="str">
            <v>Active</v>
          </cell>
          <cell r="N1201" t="str">
            <v>150459-3199-M</v>
          </cell>
        </row>
        <row r="1202">
          <cell r="A1202" t="str">
            <v>Speck</v>
          </cell>
          <cell r="B1202" t="str">
            <v>P840168533121</v>
          </cell>
          <cell r="C1202" t="str">
            <v>150451-3199</v>
          </cell>
          <cell r="D1202" t="str">
            <v>840168533121</v>
          </cell>
          <cell r="E1202" t="str">
            <v>Speck Presidio® Perfect-Clear Grip Magsafe® Clicklock™ Clear/Clear/Chrome iPhone 15 Pro</v>
          </cell>
          <cell r="F1202" t="str">
            <v>Cases iPhone</v>
          </cell>
          <cell r="G1202" t="str">
            <v>iPhone 15</v>
          </cell>
          <cell r="H1202" t="str">
            <v>iPhone 15 Pro</v>
          </cell>
          <cell r="I1202">
            <v>430</v>
          </cell>
          <cell r="J1202">
            <v>0.50070070070070072</v>
          </cell>
          <cell r="K1202">
            <v>999</v>
          </cell>
          <cell r="L1202" t="str">
            <v>Celex</v>
          </cell>
          <cell r="M1202" t="str">
            <v>Active</v>
          </cell>
          <cell r="N1202" t="str">
            <v>150451-3199-M</v>
          </cell>
        </row>
        <row r="1203">
          <cell r="A1203" t="str">
            <v>Speck</v>
          </cell>
          <cell r="B1203" t="str">
            <v>P840168533626</v>
          </cell>
          <cell r="C1203" t="str">
            <v>150465-3199</v>
          </cell>
          <cell r="D1203" t="str">
            <v>840168533626</v>
          </cell>
          <cell r="E1203" t="str">
            <v>Speck Presidio® Perfect-Clear Magsafe® Clicklock™ Clear/Clear/ Chrome iPhone 15 Pro Max</v>
          </cell>
          <cell r="F1203" t="str">
            <v>Cases iPhone</v>
          </cell>
          <cell r="G1203" t="str">
            <v>iPhone 15</v>
          </cell>
          <cell r="H1203" t="str">
            <v>iPhone 15 Pro Max</v>
          </cell>
          <cell r="I1203">
            <v>430</v>
          </cell>
          <cell r="J1203">
            <v>0.50070070070070072</v>
          </cell>
          <cell r="K1203">
            <v>999</v>
          </cell>
          <cell r="L1203" t="str">
            <v>Celex</v>
          </cell>
          <cell r="M1203" t="str">
            <v>Active</v>
          </cell>
          <cell r="N1203" t="str">
            <v>150465-3199-M</v>
          </cell>
        </row>
        <row r="1204">
          <cell r="A1204" t="str">
            <v>Speck</v>
          </cell>
          <cell r="B1204" t="str">
            <v>P840168532865</v>
          </cell>
          <cell r="C1204" t="str">
            <v>150443-3199</v>
          </cell>
          <cell r="D1204" t="str">
            <v>840168532865</v>
          </cell>
          <cell r="E1204" t="str">
            <v>Speck Presidio® Perfect-Clear Grip Magsafe® Clicklock™ Clear/Clear/Chrome iPhone 15</v>
          </cell>
          <cell r="F1204" t="str">
            <v>Cases iPhone</v>
          </cell>
          <cell r="G1204" t="str">
            <v>iPhone 15</v>
          </cell>
          <cell r="H1204" t="str">
            <v>iPhone 16e / 15 / 14 / 13</v>
          </cell>
          <cell r="I1204">
            <v>430</v>
          </cell>
          <cell r="J1204">
            <v>0.50070070070070072</v>
          </cell>
          <cell r="K1204">
            <v>999</v>
          </cell>
          <cell r="L1204" t="str">
            <v>Celex</v>
          </cell>
          <cell r="M1204" t="str">
            <v>Active</v>
          </cell>
          <cell r="N1204" t="str">
            <v>150443-3199-M</v>
          </cell>
        </row>
        <row r="1205">
          <cell r="A1205" t="str">
            <v>Speck</v>
          </cell>
          <cell r="B1205" t="str">
            <v>P0840168528479</v>
          </cell>
          <cell r="C1205" t="str">
            <v>150337-5085</v>
          </cell>
          <cell r="D1205" t="str">
            <v>0</v>
          </cell>
          <cell r="E1205" t="str">
            <v xml:space="preserve">Speck Galaxy s23 Presidio Perfect Clear </v>
          </cell>
          <cell r="F1205" t="str">
            <v>Cases Samsung</v>
          </cell>
          <cell r="G1205" t="str">
            <v>Samsung</v>
          </cell>
          <cell r="H1205" t="str">
            <v>Galaxy S23</v>
          </cell>
          <cell r="I1205">
            <v>344</v>
          </cell>
          <cell r="J1205">
            <v>0.60056056056056062</v>
          </cell>
          <cell r="K1205">
            <v>999</v>
          </cell>
          <cell r="L1205" t="str">
            <v>Celex</v>
          </cell>
          <cell r="M1205" t="str">
            <v>Active</v>
          </cell>
          <cell r="N1205" t="str">
            <v>150337-5085-M</v>
          </cell>
        </row>
        <row r="1206">
          <cell r="A1206" t="str">
            <v>Speck</v>
          </cell>
          <cell r="B1206" t="str">
            <v>P0840168528578</v>
          </cell>
          <cell r="C1206" t="str">
            <v>150345-5085</v>
          </cell>
          <cell r="D1206" t="str">
            <v>0</v>
          </cell>
          <cell r="E1206" t="str">
            <v xml:space="preserve">Speck Galaxy s23 ULTRA Presidio Perfect Clear </v>
          </cell>
          <cell r="F1206" t="str">
            <v>Cases Samsung</v>
          </cell>
          <cell r="G1206" t="str">
            <v>Samsung</v>
          </cell>
          <cell r="H1206" t="str">
            <v>Galaxy S23 Ultra</v>
          </cell>
          <cell r="I1206">
            <v>344</v>
          </cell>
          <cell r="J1206">
            <v>0.60056056056056062</v>
          </cell>
          <cell r="K1206">
            <v>999</v>
          </cell>
          <cell r="L1206" t="str">
            <v>Celex</v>
          </cell>
          <cell r="M1206" t="str">
            <v>Active</v>
          </cell>
          <cell r="N1206" t="str">
            <v>150345-5085-M</v>
          </cell>
        </row>
        <row r="1207">
          <cell r="A1207" t="str">
            <v>Speck</v>
          </cell>
          <cell r="B1207" t="str">
            <v>P0840168528523</v>
          </cell>
          <cell r="C1207" t="str">
            <v>150341-5085</v>
          </cell>
          <cell r="D1207" t="str">
            <v>0</v>
          </cell>
          <cell r="E1207" t="str">
            <v xml:space="preserve">Speck Galaxy s23+ Presidio Perfect Clear </v>
          </cell>
          <cell r="F1207" t="str">
            <v>Cases Samsung</v>
          </cell>
          <cell r="G1207" t="str">
            <v>Samsung</v>
          </cell>
          <cell r="H1207" t="str">
            <v>Galaxy S23+</v>
          </cell>
          <cell r="I1207">
            <v>344</v>
          </cell>
          <cell r="J1207">
            <v>0.60056056056056062</v>
          </cell>
          <cell r="K1207">
            <v>999</v>
          </cell>
          <cell r="L1207" t="str">
            <v>Celex</v>
          </cell>
          <cell r="M1207" t="str">
            <v>Active</v>
          </cell>
          <cell r="N1207" t="str">
            <v>150341-5085-M</v>
          </cell>
        </row>
        <row r="1208">
          <cell r="A1208" t="str">
            <v>Speck</v>
          </cell>
          <cell r="B1208" t="str">
            <v>P0840168514267</v>
          </cell>
          <cell r="C1208" t="str">
            <v>144229-5085</v>
          </cell>
          <cell r="D1208" t="str">
            <v>840168514267</v>
          </cell>
          <cell r="E1208" t="str">
            <v>Speck Samsung Galaxy S22 ULTRA  PRESIDIO CLEAR-CLEAR/CLEAR</v>
          </cell>
          <cell r="F1208" t="str">
            <v>Cases Samsung</v>
          </cell>
          <cell r="G1208" t="str">
            <v>Samsung</v>
          </cell>
          <cell r="H1208" t="str">
            <v>S22</v>
          </cell>
          <cell r="I1208">
            <v>310</v>
          </cell>
          <cell r="J1208">
            <v>0.60000000000000009</v>
          </cell>
          <cell r="K1208">
            <v>899</v>
          </cell>
          <cell r="L1208" t="str">
            <v>Celex</v>
          </cell>
          <cell r="M1208" t="str">
            <v>Discontinued</v>
          </cell>
          <cell r="N1208" t="str">
            <v>144229-5085-M</v>
          </cell>
        </row>
        <row r="1209">
          <cell r="A1209" t="str">
            <v>Speck</v>
          </cell>
          <cell r="B1209" t="str">
            <v>P0840168514120</v>
          </cell>
          <cell r="C1209" t="str">
            <v>144239-5085</v>
          </cell>
          <cell r="D1209" t="str">
            <v>840168514120</v>
          </cell>
          <cell r="E1209" t="str">
            <v>Speck Samsung Galaxy S22 PRESIDIO CLEAR-CLEAR/CLEAR</v>
          </cell>
          <cell r="F1209" t="str">
            <v>Cases Samsung</v>
          </cell>
          <cell r="G1209" t="str">
            <v>Samsung</v>
          </cell>
          <cell r="H1209" t="str">
            <v>S22 ULTRA</v>
          </cell>
          <cell r="I1209">
            <v>310</v>
          </cell>
          <cell r="J1209">
            <v>0.60000000000000009</v>
          </cell>
          <cell r="K1209">
            <v>899</v>
          </cell>
          <cell r="L1209" t="str">
            <v>Celex</v>
          </cell>
          <cell r="M1209" t="str">
            <v>Discontinued</v>
          </cell>
          <cell r="N1209" t="str">
            <v>144239-5085-M</v>
          </cell>
        </row>
        <row r="1210">
          <cell r="A1210" t="str">
            <v>Speck</v>
          </cell>
          <cell r="B1210" t="str">
            <v>P0840168514199</v>
          </cell>
          <cell r="C1210" t="str">
            <v>144234-5085</v>
          </cell>
          <cell r="D1210" t="str">
            <v>840168514199</v>
          </cell>
          <cell r="E1210" t="str">
            <v>Speck Samsung Galaxy S22 +  PRESIDIO CLEAR-CLEAR/CLEAR</v>
          </cell>
          <cell r="F1210" t="str">
            <v>Cases Samsung</v>
          </cell>
          <cell r="G1210" t="str">
            <v>Samsung</v>
          </cell>
          <cell r="H1210" t="str">
            <v>S22+</v>
          </cell>
          <cell r="I1210">
            <v>310</v>
          </cell>
          <cell r="J1210">
            <v>0.60000000000000009</v>
          </cell>
          <cell r="K1210">
            <v>899</v>
          </cell>
          <cell r="L1210" t="str">
            <v>Celex</v>
          </cell>
          <cell r="M1210" t="str">
            <v>Discontinued</v>
          </cell>
          <cell r="N1210" t="str">
            <v>144234-5085-M</v>
          </cell>
        </row>
        <row r="1211">
          <cell r="A1211" t="str">
            <v>Tech21</v>
          </cell>
          <cell r="B1211" t="str">
            <v>P05056234729465</v>
          </cell>
          <cell r="C1211" t="str">
            <v>T21-7250</v>
          </cell>
          <cell r="D1211" t="str">
            <v>5056234729465</v>
          </cell>
          <cell r="E1211" t="str">
            <v>TECH21 CASE IPHONE 11 CLEAR</v>
          </cell>
          <cell r="F1211" t="str">
            <v>Cases iPhone</v>
          </cell>
          <cell r="G1211" t="str">
            <v>iPhone 11</v>
          </cell>
          <cell r="H1211" t="str">
            <v>iPhone 11</v>
          </cell>
          <cell r="I1211">
            <v>64.224137931034491</v>
          </cell>
          <cell r="J1211">
            <v>0.35</v>
          </cell>
          <cell r="K1211">
            <v>149</v>
          </cell>
          <cell r="L1211" t="str">
            <v>Celex</v>
          </cell>
          <cell r="M1211" t="str">
            <v>Discontinued</v>
          </cell>
          <cell r="N1211" t="str">
            <v>T21-7250-M</v>
          </cell>
        </row>
        <row r="1212">
          <cell r="A1212" t="str">
            <v>Tech21</v>
          </cell>
          <cell r="B1212" t="str">
            <v>P05056234729823</v>
          </cell>
          <cell r="C1212" t="str">
            <v>T21-7266</v>
          </cell>
          <cell r="D1212" t="str">
            <v>5056234729823</v>
          </cell>
          <cell r="E1212" t="str">
            <v>TECH21 CASE IPHONE 11 CORAL</v>
          </cell>
          <cell r="F1212" t="str">
            <v>Cases iPhone</v>
          </cell>
          <cell r="G1212" t="str">
            <v>iPhone 11</v>
          </cell>
          <cell r="H1212" t="str">
            <v>iPhone 11</v>
          </cell>
          <cell r="I1212">
            <v>64.224137931034491</v>
          </cell>
          <cell r="J1212">
            <v>0.35</v>
          </cell>
          <cell r="K1212">
            <v>149</v>
          </cell>
          <cell r="L1212" t="str">
            <v>Celex</v>
          </cell>
          <cell r="M1212" t="str">
            <v>Discontinued</v>
          </cell>
          <cell r="N1212" t="str">
            <v>T21-7266</v>
          </cell>
        </row>
        <row r="1213">
          <cell r="A1213" t="str">
            <v>Tech21</v>
          </cell>
          <cell r="B1213" t="str">
            <v>P05056234729854</v>
          </cell>
          <cell r="C1213" t="str">
            <v>T21-7267</v>
          </cell>
          <cell r="D1213" t="str">
            <v>5056234729854</v>
          </cell>
          <cell r="E1213" t="str">
            <v>TECH21 CASE IPHONE 11 GRIS</v>
          </cell>
          <cell r="F1213" t="str">
            <v>Cases iPhone</v>
          </cell>
          <cell r="G1213" t="str">
            <v>iPhone 11</v>
          </cell>
          <cell r="H1213" t="str">
            <v>iPhone 11</v>
          </cell>
          <cell r="I1213">
            <v>64.224137931034491</v>
          </cell>
          <cell r="J1213">
            <v>0.35</v>
          </cell>
          <cell r="K1213">
            <v>149</v>
          </cell>
          <cell r="L1213" t="str">
            <v>Celex</v>
          </cell>
          <cell r="M1213" t="str">
            <v>Discontinued</v>
          </cell>
          <cell r="N1213" t="str">
            <v>T21-7267</v>
          </cell>
        </row>
        <row r="1214">
          <cell r="A1214" t="str">
            <v>Tech21</v>
          </cell>
          <cell r="B1214" t="str">
            <v>P05056234757277</v>
          </cell>
          <cell r="C1214" t="str">
            <v>T21-8357-M</v>
          </cell>
          <cell r="D1214" t="str">
            <v>5056234757277</v>
          </cell>
          <cell r="E1214" t="str">
            <v>TECH21 CASE EVOCLEAR IPHONE 12 MINI</v>
          </cell>
          <cell r="F1214" t="str">
            <v>Cases iPhone</v>
          </cell>
          <cell r="G1214" t="str">
            <v>iPhone 12</v>
          </cell>
          <cell r="H1214" t="str">
            <v>IPHONE 12 MINI</v>
          </cell>
          <cell r="I1214">
            <v>301.29310344827587</v>
          </cell>
          <cell r="J1214">
            <v>0.35</v>
          </cell>
          <cell r="K1214">
            <v>699</v>
          </cell>
          <cell r="L1214" t="str">
            <v>Celex</v>
          </cell>
          <cell r="M1214" t="str">
            <v>Discontinued</v>
          </cell>
          <cell r="N1214" t="str">
            <v>T21-8357-M</v>
          </cell>
        </row>
        <row r="1215">
          <cell r="A1215" t="str">
            <v>Tech21</v>
          </cell>
          <cell r="B1215" t="str">
            <v>P05056234758670</v>
          </cell>
          <cell r="C1215" t="str">
            <v>T21-8401-M</v>
          </cell>
          <cell r="D1215" t="str">
            <v>5056234758670</v>
          </cell>
          <cell r="E1215" t="str">
            <v>TECH21 CASE EVOCLEAR IPHONE 12 PRO MAX</v>
          </cell>
          <cell r="F1215" t="str">
            <v>Cases iPhone</v>
          </cell>
          <cell r="G1215" t="str">
            <v>iPhone 12</v>
          </cell>
          <cell r="H1215" t="str">
            <v>iPhone 12 Pro Max</v>
          </cell>
          <cell r="I1215">
            <v>301.29310344827587</v>
          </cell>
          <cell r="J1215">
            <v>0.35</v>
          </cell>
          <cell r="K1215">
            <v>699</v>
          </cell>
          <cell r="L1215" t="str">
            <v>Celex</v>
          </cell>
          <cell r="M1215" t="str">
            <v>Discontinued</v>
          </cell>
          <cell r="N1215" t="str">
            <v>T21-8401-M</v>
          </cell>
        </row>
        <row r="1216">
          <cell r="A1216" t="str">
            <v>Tech21</v>
          </cell>
          <cell r="B1216" t="str">
            <v>P05056234755846</v>
          </cell>
          <cell r="C1216" t="str">
            <v>T21-8379-M</v>
          </cell>
          <cell r="D1216" t="str">
            <v>5056234755846</v>
          </cell>
          <cell r="E1216" t="str">
            <v>TECH21 CASE EVOCLEAR IPHONE 12 / 12PRO</v>
          </cell>
          <cell r="F1216" t="str">
            <v>Cases iPhone</v>
          </cell>
          <cell r="G1216" t="str">
            <v>iPhone 12</v>
          </cell>
          <cell r="H1216" t="str">
            <v>iPhone 12/iPhone 12 Pro</v>
          </cell>
          <cell r="I1216">
            <v>344.39655172413796</v>
          </cell>
          <cell r="J1216">
            <v>0.35</v>
          </cell>
          <cell r="K1216">
            <v>799</v>
          </cell>
          <cell r="L1216" t="str">
            <v>Celex</v>
          </cell>
          <cell r="M1216" t="str">
            <v>Discontinued</v>
          </cell>
          <cell r="N1216" t="str">
            <v>T21-8379-M</v>
          </cell>
        </row>
        <row r="1217">
          <cell r="A1217" t="str">
            <v>Tech21</v>
          </cell>
          <cell r="B1217" t="str">
            <v>P05056234741627</v>
          </cell>
          <cell r="C1217" t="str">
            <v>T21-8172</v>
          </cell>
          <cell r="D1217" t="str">
            <v>5056234741627</v>
          </cell>
          <cell r="E1217" t="str">
            <v>TECH 21 CASE SAMSUNG A51 CLEAR</v>
          </cell>
          <cell r="F1217" t="str">
            <v>Cases Samsung</v>
          </cell>
          <cell r="G1217" t="str">
            <v>SAMSUNG</v>
          </cell>
          <cell r="H1217" t="str">
            <v>A51</v>
          </cell>
          <cell r="I1217">
            <v>150.43103448275863</v>
          </cell>
          <cell r="J1217">
            <v>0.35</v>
          </cell>
          <cell r="K1217">
            <v>349</v>
          </cell>
          <cell r="L1217" t="str">
            <v>Celex</v>
          </cell>
          <cell r="M1217" t="str">
            <v>Discontinued</v>
          </cell>
          <cell r="N1217" t="str">
            <v>T21-8172</v>
          </cell>
        </row>
        <row r="1218">
          <cell r="A1218" t="str">
            <v>Vivitar</v>
          </cell>
          <cell r="B1218" t="str">
            <v>P0681066016190</v>
          </cell>
          <cell r="C1218" t="str">
            <v>VIVTR13KIT-NOC</v>
          </cell>
          <cell r="D1218" t="str">
            <v>681066016190</v>
          </cell>
          <cell r="E1218" t="str">
            <v>Vivitar Tripié Plegable De Bolsillo Con Control Bt, Extensible Hasta 16". Color Negro</v>
          </cell>
          <cell r="F1218" t="str">
            <v>Hardware</v>
          </cell>
          <cell r="G1218" t="str">
            <v>Tripod</v>
          </cell>
          <cell r="H1218" t="str">
            <v>16"</v>
          </cell>
          <cell r="I1218">
            <v>139</v>
          </cell>
          <cell r="J1218">
            <v>0.59588972431077702</v>
          </cell>
          <cell r="K1218">
            <v>399</v>
          </cell>
          <cell r="L1218" t="str">
            <v>Celex</v>
          </cell>
          <cell r="M1218" t="str">
            <v>Discontinued</v>
          </cell>
          <cell r="N1218" t="str">
            <v>VIVTR13KIT-NOC</v>
          </cell>
        </row>
        <row r="1219">
          <cell r="A1219" t="str">
            <v>Vivitar</v>
          </cell>
          <cell r="B1219" t="str">
            <v>P0681066891681</v>
          </cell>
          <cell r="C1219" t="str">
            <v>VIVVT4KIT1-NOC</v>
          </cell>
          <cell r="D1219" t="str">
            <v>681066891681</v>
          </cell>
          <cell r="E1219" t="str">
            <v>Vivitar Mini Soporte De Pistola. Combinación, De Soporte Para Teléfono, Selfie Stick Y Tripié En Un Solo</v>
          </cell>
          <cell r="F1219" t="str">
            <v>Hardware</v>
          </cell>
          <cell r="G1219" t="str">
            <v>Tripod</v>
          </cell>
          <cell r="H1219" t="str">
            <v>PISTOL GRIP</v>
          </cell>
          <cell r="I1219">
            <v>90</v>
          </cell>
          <cell r="J1219">
            <v>0.59691119691119687</v>
          </cell>
          <cell r="K1219">
            <v>259</v>
          </cell>
          <cell r="L1219" t="str">
            <v>Celex</v>
          </cell>
          <cell r="M1219" t="str">
            <v>Discontinued</v>
          </cell>
          <cell r="N1219" t="str">
            <v>VIVVT4KIT1-NOC</v>
          </cell>
        </row>
        <row r="1220">
          <cell r="A1220" t="str">
            <v>Cubitt</v>
          </cell>
          <cell r="B1220">
            <v>6795248</v>
          </cell>
          <cell r="C1220" t="str">
            <v>CTK-1</v>
          </cell>
          <cell r="D1220" t="str">
            <v>719284923645</v>
          </cell>
          <cell r="E1220" t="str">
            <v>Cubitt Scale Mini Obsidian Black</v>
          </cell>
          <cell r="F1220" t="str">
            <v>Wearable</v>
          </cell>
          <cell r="G1220" t="str">
            <v>Scale</v>
          </cell>
          <cell r="H1220" t="str">
            <v>CTK</v>
          </cell>
          <cell r="I1220">
            <v>447.72</v>
          </cell>
          <cell r="J1220">
            <v>0.34999349186483109</v>
          </cell>
          <cell r="K1220">
            <v>799</v>
          </cell>
          <cell r="L1220" t="str">
            <v>Cimaco</v>
          </cell>
          <cell r="M1220" t="str">
            <v>Discontinued</v>
          </cell>
          <cell r="N1220" t="str">
            <v>CTK-1</v>
          </cell>
        </row>
        <row r="1221">
          <cell r="A1221" t="str">
            <v>Cubitt</v>
          </cell>
          <cell r="B1221">
            <v>6795224</v>
          </cell>
          <cell r="C1221" t="str">
            <v>CT1S2-11</v>
          </cell>
          <cell r="D1221" t="str">
            <v>719284923812</v>
          </cell>
          <cell r="E1221" t="str">
            <v>Cubitt CT1 Black</v>
          </cell>
          <cell r="F1221" t="str">
            <v>Wearable</v>
          </cell>
          <cell r="G1221" t="str">
            <v>Smartwatch</v>
          </cell>
          <cell r="H1221" t="str">
            <v>CT1S2</v>
          </cell>
          <cell r="I1221">
            <v>839.96</v>
          </cell>
          <cell r="J1221">
            <v>0.34999759839893263</v>
          </cell>
          <cell r="K1221">
            <v>1499</v>
          </cell>
          <cell r="L1221" t="str">
            <v>Cimaco</v>
          </cell>
          <cell r="M1221" t="str">
            <v>Discontinued</v>
          </cell>
          <cell r="N1221" t="str">
            <v>CT1S2-11</v>
          </cell>
        </row>
        <row r="1222">
          <cell r="A1222" t="str">
            <v>Cubitt</v>
          </cell>
          <cell r="B1222">
            <v>6795228</v>
          </cell>
          <cell r="C1222" t="str">
            <v>CT2S2-11</v>
          </cell>
          <cell r="D1222" t="str">
            <v>719284924239</v>
          </cell>
          <cell r="E1222" t="str">
            <v>Cubitt CT2 Black</v>
          </cell>
          <cell r="F1222" t="str">
            <v>Wearable</v>
          </cell>
          <cell r="G1222" t="str">
            <v>Smartwatch</v>
          </cell>
          <cell r="H1222" t="str">
            <v>CT2S2</v>
          </cell>
          <cell r="I1222">
            <v>952.03</v>
          </cell>
          <cell r="J1222">
            <v>0.34999717480871106</v>
          </cell>
          <cell r="K1222">
            <v>1699</v>
          </cell>
          <cell r="L1222" t="str">
            <v>Cimaco</v>
          </cell>
          <cell r="M1222" t="str">
            <v>Discontinued</v>
          </cell>
          <cell r="N1222" t="str">
            <v>CT2S2-11</v>
          </cell>
        </row>
        <row r="1223">
          <cell r="A1223" t="str">
            <v>Cubitt</v>
          </cell>
          <cell r="B1223">
            <v>6795234</v>
          </cell>
          <cell r="C1223" t="str">
            <v>CT4-11</v>
          </cell>
          <cell r="D1223" t="str">
            <v>719284923867</v>
          </cell>
          <cell r="E1223" t="str">
            <v>Cubitt CT4 Black</v>
          </cell>
          <cell r="F1223" t="str">
            <v>Wearable</v>
          </cell>
          <cell r="G1223" t="str">
            <v>Smartwatch</v>
          </cell>
          <cell r="H1223" t="str">
            <v>CT4</v>
          </cell>
          <cell r="I1223">
            <v>1344.27</v>
          </cell>
          <cell r="J1223">
            <v>0.3499986661108796</v>
          </cell>
          <cell r="K1223">
            <v>2399</v>
          </cell>
          <cell r="L1223" t="str">
            <v>Cimaco</v>
          </cell>
          <cell r="M1223" t="str">
            <v>Discontinued</v>
          </cell>
          <cell r="N1223" t="str">
            <v>CT4-11</v>
          </cell>
        </row>
        <row r="1224">
          <cell r="A1224" t="str">
            <v>Quikcell</v>
          </cell>
          <cell r="B1224">
            <v>6091228</v>
          </cell>
          <cell r="C1224" t="str">
            <v>CTPRO2-BLK</v>
          </cell>
          <cell r="D1224" t="str">
            <v>846537063060</v>
          </cell>
          <cell r="E1224" t="str">
            <v>Quikcell Cross Trainer Pro II Sports Stereo Bluetooth Earphones - Black</v>
          </cell>
          <cell r="F1224" t="str">
            <v>Audio</v>
          </cell>
          <cell r="G1224" t="str">
            <v>HEADPHONE WIRELESS</v>
          </cell>
          <cell r="H1224" t="str">
            <v>In Ear</v>
          </cell>
          <cell r="I1224">
            <v>258.10000000000002</v>
          </cell>
          <cell r="J1224">
            <v>0.4</v>
          </cell>
          <cell r="K1224">
            <v>499</v>
          </cell>
          <cell r="L1224" t="str">
            <v>Cimaco</v>
          </cell>
          <cell r="M1224" t="str">
            <v>Discontinued</v>
          </cell>
          <cell r="N1224" t="str">
            <v>CTPRO2-BLK-M</v>
          </cell>
        </row>
        <row r="1225">
          <cell r="A1225" t="str">
            <v>Quikcell</v>
          </cell>
          <cell r="B1225">
            <v>6091222</v>
          </cell>
          <cell r="C1225" t="str">
            <v>QAIR-BUDS</v>
          </cell>
          <cell r="D1225" t="str">
            <v>846537068881</v>
          </cell>
          <cell r="E1225" t="str">
            <v>Quikcell QAIR BUDS True Wireless Earbuds with Charging Case - Black</v>
          </cell>
          <cell r="F1225" t="str">
            <v>Audio</v>
          </cell>
          <cell r="G1225" t="str">
            <v>Headphones Wireless</v>
          </cell>
          <cell r="H1225" t="str">
            <v>QAir</v>
          </cell>
          <cell r="I1225">
            <v>516.72</v>
          </cell>
          <cell r="J1225">
            <v>0.4</v>
          </cell>
          <cell r="K1225">
            <v>999</v>
          </cell>
          <cell r="L1225" t="str">
            <v>Cimaco</v>
          </cell>
          <cell r="M1225" t="str">
            <v>Discontinued</v>
          </cell>
          <cell r="N1225" t="str">
            <v>QAIR-BUDS-M</v>
          </cell>
        </row>
        <row r="1226">
          <cell r="A1226" t="str">
            <v>Quikcell</v>
          </cell>
          <cell r="B1226">
            <v>6092243</v>
          </cell>
          <cell r="C1226" t="str">
            <v>QLIGHTC6FT</v>
          </cell>
          <cell r="D1226" t="str">
            <v>846537077104</v>
          </cell>
          <cell r="E1226" t="str">
            <v>Quikcell CHARGE &amp; SYNC CABLE MFi Lightning to USB-C - 6ft - Black</v>
          </cell>
          <cell r="F1226" t="str">
            <v>Cables</v>
          </cell>
          <cell r="G1226" t="str">
            <v>Lightning - Type C</v>
          </cell>
          <cell r="H1226" t="str">
            <v>6 ft</v>
          </cell>
          <cell r="I1226">
            <v>258.10000000000002</v>
          </cell>
          <cell r="J1226">
            <v>0.4</v>
          </cell>
          <cell r="K1226">
            <v>499</v>
          </cell>
          <cell r="L1226" t="str">
            <v>Cimaco</v>
          </cell>
          <cell r="M1226" t="str">
            <v>Discontinued</v>
          </cell>
          <cell r="N1226" t="str">
            <v>QLIGHTC6FT-M</v>
          </cell>
        </row>
        <row r="1227">
          <cell r="A1227" t="str">
            <v>Quikcell</v>
          </cell>
          <cell r="B1227">
            <v>6092339</v>
          </cell>
          <cell r="C1227" t="str">
            <v>QTYPECA6FT</v>
          </cell>
          <cell r="D1227" t="str">
            <v>846537077043</v>
          </cell>
          <cell r="E1227" t="str">
            <v>Quikcell CHARGE &amp; SYNC CABLE USB-A to USB-C - 6 ft - Black</v>
          </cell>
          <cell r="F1227" t="str">
            <v>Cables</v>
          </cell>
          <cell r="G1227" t="str">
            <v>Type C</v>
          </cell>
          <cell r="H1227" t="str">
            <v>6 ft</v>
          </cell>
          <cell r="I1227">
            <v>154.66</v>
          </cell>
          <cell r="J1227">
            <v>0.4</v>
          </cell>
          <cell r="K1227">
            <v>299</v>
          </cell>
          <cell r="L1227" t="str">
            <v>Cimaco</v>
          </cell>
          <cell r="M1227" t="str">
            <v>Discontinued</v>
          </cell>
          <cell r="N1227" t="str">
            <v>QTYPECA6FT-M</v>
          </cell>
        </row>
        <row r="1228">
          <cell r="A1228" t="str">
            <v>Quikcell</v>
          </cell>
          <cell r="B1228">
            <v>6092374</v>
          </cell>
          <cell r="C1228" t="str">
            <v>QTYPECC6FT</v>
          </cell>
          <cell r="D1228" t="str">
            <v>846537077067</v>
          </cell>
          <cell r="E1228" t="str">
            <v>Quikcell CHARGE &amp; SYNC CABLE USB-C to USB-C - 6 ft - Black</v>
          </cell>
          <cell r="F1228" t="str">
            <v>Cables</v>
          </cell>
          <cell r="G1228" t="str">
            <v>Type C - Type C</v>
          </cell>
          <cell r="H1228" t="str">
            <v>6 ft</v>
          </cell>
          <cell r="I1228">
            <v>180.52</v>
          </cell>
          <cell r="J1228">
            <v>0.4</v>
          </cell>
          <cell r="K1228">
            <v>349</v>
          </cell>
          <cell r="L1228" t="str">
            <v>Cimaco</v>
          </cell>
          <cell r="M1228" t="str">
            <v>Discontinued</v>
          </cell>
          <cell r="N1228" t="str">
            <v>QTYPECC6FT-M</v>
          </cell>
        </row>
        <row r="1229">
          <cell r="A1229" t="str">
            <v>Quikcell</v>
          </cell>
          <cell r="B1229">
            <v>6092113</v>
          </cell>
          <cell r="C1229" t="str">
            <v>QC-PWRBANK10K</v>
          </cell>
          <cell r="D1229" t="str">
            <v>846537073618</v>
          </cell>
          <cell r="E1229" t="str">
            <v>Quikcell POWERFUEL WIRELESS 10K mAh Powerbank - Black</v>
          </cell>
          <cell r="F1229" t="str">
            <v>Charger</v>
          </cell>
          <cell r="G1229" t="str">
            <v>Power Bank</v>
          </cell>
          <cell r="H1229" t="str">
            <v>10,000 mAh</v>
          </cell>
          <cell r="I1229">
            <v>620.16999999999996</v>
          </cell>
          <cell r="J1229">
            <v>0.4</v>
          </cell>
          <cell r="K1229">
            <v>1199</v>
          </cell>
          <cell r="L1229" t="str">
            <v>Cimaco</v>
          </cell>
          <cell r="M1229" t="str">
            <v>Discontinued</v>
          </cell>
          <cell r="N1229" t="str">
            <v>QC-PWRBANK10K-M</v>
          </cell>
        </row>
        <row r="1230">
          <cell r="A1230" t="str">
            <v>Quikcell</v>
          </cell>
          <cell r="B1230">
            <v>6092215</v>
          </cell>
          <cell r="C1230" t="str">
            <v>QC-PWRBANK6K</v>
          </cell>
          <cell r="D1230" t="str">
            <v>846537073601</v>
          </cell>
          <cell r="E1230" t="str">
            <v>Quikcell POWERFUEL 6K mAh Powerbank - Black</v>
          </cell>
          <cell r="F1230" t="str">
            <v>Charger</v>
          </cell>
          <cell r="G1230" t="str">
            <v>Power Bank</v>
          </cell>
          <cell r="H1230" t="str">
            <v>6,000 mAh</v>
          </cell>
          <cell r="I1230">
            <v>258.10000000000002</v>
          </cell>
          <cell r="J1230">
            <v>0.4</v>
          </cell>
          <cell r="K1230">
            <v>499</v>
          </cell>
          <cell r="L1230" t="str">
            <v>Cimaco</v>
          </cell>
          <cell r="M1230" t="str">
            <v>Discontinued</v>
          </cell>
          <cell r="N1230" t="str">
            <v>QC-PWRBANK6K-M</v>
          </cell>
        </row>
        <row r="1231">
          <cell r="A1231" t="str">
            <v>Quikcell</v>
          </cell>
          <cell r="B1231">
            <v>6091244</v>
          </cell>
          <cell r="C1231" t="str">
            <v>QTRC2001</v>
          </cell>
          <cell r="D1231" t="str">
            <v>846537077005</v>
          </cell>
          <cell r="E1231" t="str">
            <v>Quikcell DUAL PORT WALL CHARGER  2 USB A x 12W - 24W</v>
          </cell>
          <cell r="F1231" t="str">
            <v>Charger</v>
          </cell>
          <cell r="G1231" t="str">
            <v>Wall charger</v>
          </cell>
          <cell r="H1231" t="str">
            <v>24 W</v>
          </cell>
          <cell r="I1231">
            <v>258.10000000000002</v>
          </cell>
          <cell r="J1231">
            <v>0.4</v>
          </cell>
          <cell r="K1231">
            <v>499</v>
          </cell>
          <cell r="L1231" t="str">
            <v>Cimaco</v>
          </cell>
          <cell r="M1231" t="str">
            <v>Discontinued</v>
          </cell>
          <cell r="N1231" t="str">
            <v>QTRC2001-M</v>
          </cell>
        </row>
        <row r="1232">
          <cell r="A1232" t="str">
            <v>Quikcell</v>
          </cell>
          <cell r="B1232">
            <v>6092008</v>
          </cell>
          <cell r="C1232" t="str">
            <v>QTRC2002</v>
          </cell>
          <cell r="D1232" t="str">
            <v>846537077012</v>
          </cell>
          <cell r="E1232" t="str">
            <v>Quikcell DUAL PORT WALL CHARGER 1 USB A 12W + USB C PD 20W - 32W</v>
          </cell>
          <cell r="F1232" t="str">
            <v>Charger</v>
          </cell>
          <cell r="G1232" t="str">
            <v>Wall charger</v>
          </cell>
          <cell r="H1232" t="str">
            <v>32 W</v>
          </cell>
          <cell r="I1232">
            <v>309.83</v>
          </cell>
          <cell r="J1232">
            <v>0.4</v>
          </cell>
          <cell r="K1232">
            <v>599</v>
          </cell>
          <cell r="L1232" t="str">
            <v>Cimaco</v>
          </cell>
          <cell r="M1232" t="str">
            <v>Discontinued</v>
          </cell>
          <cell r="N1232" t="str">
            <v>QTRC2002-M</v>
          </cell>
        </row>
        <row r="1233">
          <cell r="A1233" t="str">
            <v>Quikcell</v>
          </cell>
          <cell r="B1233">
            <v>6092011</v>
          </cell>
          <cell r="C1233" t="str">
            <v>QC-PWRBASE2-BLK</v>
          </cell>
          <cell r="D1233" t="str">
            <v>846537053184</v>
          </cell>
          <cell r="E1233" t="str">
            <v>Quikcell POWERBASE 2 Wireless Charging Pad - 10W</v>
          </cell>
          <cell r="F1233" t="str">
            <v>Charger</v>
          </cell>
          <cell r="G1233" t="str">
            <v>Wireless</v>
          </cell>
          <cell r="H1233" t="str">
            <v>10 W</v>
          </cell>
          <cell r="I1233">
            <v>413.28</v>
          </cell>
          <cell r="J1233">
            <v>0.4</v>
          </cell>
          <cell r="K1233">
            <v>799</v>
          </cell>
          <cell r="L1233" t="str">
            <v>Cimaco</v>
          </cell>
          <cell r="M1233" t="str">
            <v>Discontinued</v>
          </cell>
          <cell r="N1233" t="str">
            <v>QC-PWRBASE2-BLK-M</v>
          </cell>
        </row>
        <row r="1234">
          <cell r="A1234" t="str">
            <v>Quikcell</v>
          </cell>
          <cell r="B1234">
            <v>6092076</v>
          </cell>
          <cell r="C1234" t="str">
            <v>PWERFLIP-BLK</v>
          </cell>
          <cell r="D1234" t="str">
            <v>846537080722</v>
          </cell>
          <cell r="E1234" t="str">
            <v>Quikcell POWERFLIP 15W wireless 2-in-1 charger</v>
          </cell>
          <cell r="F1234" t="str">
            <v>Charger</v>
          </cell>
          <cell r="G1234" t="str">
            <v>Wireless</v>
          </cell>
          <cell r="H1234" t="str">
            <v>15 W</v>
          </cell>
          <cell r="I1234">
            <v>620.16999999999996</v>
          </cell>
          <cell r="J1234">
            <v>0.4</v>
          </cell>
          <cell r="K1234">
            <v>1199</v>
          </cell>
          <cell r="L1234" t="str">
            <v>Cimaco</v>
          </cell>
          <cell r="M1234" t="str">
            <v>Discontinued</v>
          </cell>
          <cell r="N1234" t="str">
            <v>PWERFLIP-BLK-M</v>
          </cell>
        </row>
        <row r="1235">
          <cell r="A1235" t="str">
            <v>QUIKCELL</v>
          </cell>
          <cell r="B1235">
            <v>6234861</v>
          </cell>
          <cell r="C1235" t="str">
            <v>QAIR-WAT</v>
          </cell>
          <cell r="D1235" t="str">
            <v>846537075643</v>
          </cell>
          <cell r="E1235" t="str">
            <v>Quikcell Bundle Watch and QAIR BUDS True Wireless Earbuds with Charging Case - Black</v>
          </cell>
          <cell r="F1235" t="str">
            <v>Wearable</v>
          </cell>
          <cell r="G1235" t="str">
            <v>Smartwatch</v>
          </cell>
          <cell r="H1235" t="str">
            <v>Bundle</v>
          </cell>
          <cell r="I1235">
            <v>1292.5899999999999</v>
          </cell>
          <cell r="J1235">
            <v>0.4</v>
          </cell>
          <cell r="K1235">
            <v>2499</v>
          </cell>
          <cell r="L1235" t="str">
            <v>Cimaco</v>
          </cell>
          <cell r="M1235" t="str">
            <v>Discontinued</v>
          </cell>
          <cell r="N1235" t="str">
            <v>QAIR-WAT-M</v>
          </cell>
        </row>
        <row r="1236">
          <cell r="A1236" t="str">
            <v>Hypergear</v>
          </cell>
          <cell r="B1236">
            <v>42931068</v>
          </cell>
          <cell r="C1236">
            <v>15559</v>
          </cell>
          <cell r="D1236" t="str">
            <v>633755155598</v>
          </cell>
          <cell r="E1236" t="str">
            <v>7-in-1 Complete Tech Cleaning Kit</v>
          </cell>
          <cell r="F1236" t="str">
            <v>Accesories</v>
          </cell>
          <cell r="G1236" t="str">
            <v>Clean</v>
          </cell>
          <cell r="H1236" t="str">
            <v>7-1</v>
          </cell>
          <cell r="I1236">
            <v>428.59</v>
          </cell>
          <cell r="J1236">
            <v>0.17000934891485819</v>
          </cell>
          <cell r="K1236">
            <v>599</v>
          </cell>
          <cell r="L1236" t="str">
            <v>Coppel</v>
          </cell>
          <cell r="M1236" t="str">
            <v>Discontinued</v>
          </cell>
          <cell r="N1236" t="str">
            <v>15559-M</v>
          </cell>
        </row>
        <row r="1237">
          <cell r="A1237" t="str">
            <v>Hypergear</v>
          </cell>
          <cell r="B1237">
            <v>42871339</v>
          </cell>
          <cell r="C1237">
            <v>15555</v>
          </cell>
          <cell r="D1237" t="str">
            <v>633755155550</v>
          </cell>
          <cell r="E1237" t="str">
            <v>HyperGear Kombat Kitty Gaming Headset Purple</v>
          </cell>
          <cell r="F1237" t="str">
            <v>Gaming</v>
          </cell>
          <cell r="G1237" t="str">
            <v>Headset</v>
          </cell>
          <cell r="H1237" t="str">
            <v>Kombat</v>
          </cell>
          <cell r="I1237">
            <v>442.91</v>
          </cell>
          <cell r="J1237">
            <v>0.16999095315024237</v>
          </cell>
          <cell r="K1237">
            <v>619</v>
          </cell>
          <cell r="L1237" t="str">
            <v>Coppel</v>
          </cell>
          <cell r="M1237" t="str">
            <v>Discontinued</v>
          </cell>
          <cell r="N1237" t="str">
            <v>15555-M</v>
          </cell>
        </row>
        <row r="1238">
          <cell r="A1238" t="str">
            <v>Hypergear</v>
          </cell>
          <cell r="B1238">
            <v>42871340</v>
          </cell>
          <cell r="C1238">
            <v>15556</v>
          </cell>
          <cell r="D1238" t="str">
            <v>633755155567</v>
          </cell>
          <cell r="E1238" t="str">
            <v>HyperGear Kombat Kitty Gaming Headset Green</v>
          </cell>
          <cell r="F1238" t="str">
            <v>Gaming</v>
          </cell>
          <cell r="G1238" t="str">
            <v>Headset</v>
          </cell>
          <cell r="H1238" t="str">
            <v>Kombat</v>
          </cell>
          <cell r="I1238">
            <v>442.91</v>
          </cell>
          <cell r="J1238">
            <v>0.16999095315024237</v>
          </cell>
          <cell r="K1238">
            <v>619</v>
          </cell>
          <cell r="L1238" t="str">
            <v>Coppel</v>
          </cell>
          <cell r="M1238" t="str">
            <v>Discontinued</v>
          </cell>
          <cell r="N1238" t="str">
            <v>15556-M</v>
          </cell>
        </row>
        <row r="1239">
          <cell r="A1239" t="str">
            <v>Hypergear</v>
          </cell>
          <cell r="B1239">
            <v>42871341</v>
          </cell>
          <cell r="C1239">
            <v>15554</v>
          </cell>
          <cell r="D1239" t="str">
            <v>633755155543</v>
          </cell>
          <cell r="E1239" t="str">
            <v>HyperGear Kombat Kitty Gaming Headset Pink</v>
          </cell>
          <cell r="F1239" t="str">
            <v>Gaming</v>
          </cell>
          <cell r="G1239" t="str">
            <v>Headset</v>
          </cell>
          <cell r="H1239" t="str">
            <v>Kombat</v>
          </cell>
          <cell r="I1239">
            <v>442.91</v>
          </cell>
          <cell r="J1239">
            <v>0.16999095315024237</v>
          </cell>
          <cell r="K1239">
            <v>619</v>
          </cell>
          <cell r="L1239" t="str">
            <v>Coppel</v>
          </cell>
          <cell r="M1239" t="str">
            <v>Discontinued</v>
          </cell>
          <cell r="N1239" t="str">
            <v>15554-M</v>
          </cell>
        </row>
        <row r="1240">
          <cell r="A1240" t="str">
            <v>Hypergear</v>
          </cell>
          <cell r="B1240">
            <v>42931067</v>
          </cell>
          <cell r="C1240">
            <v>15597</v>
          </cell>
          <cell r="D1240" t="str">
            <v>633755155970</v>
          </cell>
          <cell r="E1240" t="str">
            <v>HyperGear HyperNova LED Strip Lights 10ft Multi-Color Multicolors</v>
          </cell>
          <cell r="F1240" t="str">
            <v>Gaming</v>
          </cell>
          <cell r="G1240" t="str">
            <v>Led Strip</v>
          </cell>
          <cell r="H1240" t="str">
            <v>10 ft</v>
          </cell>
          <cell r="I1240">
            <v>514.46</v>
          </cell>
          <cell r="J1240">
            <v>0.16999499304589705</v>
          </cell>
          <cell r="K1240">
            <v>719</v>
          </cell>
          <cell r="L1240" t="str">
            <v>Coppel</v>
          </cell>
          <cell r="M1240" t="str">
            <v>Discontinued</v>
          </cell>
          <cell r="N1240" t="str">
            <v>15597-M</v>
          </cell>
        </row>
        <row r="1241">
          <cell r="A1241" t="str">
            <v>Hypergear</v>
          </cell>
          <cell r="B1241">
            <v>5211077</v>
          </cell>
          <cell r="C1241">
            <v>15592</v>
          </cell>
          <cell r="D1241" t="str">
            <v>633755155925</v>
          </cell>
          <cell r="E1241" t="str">
            <v xml:space="preserve">Hypergear Sound Advantage: Pro-Audio Condenser Microphone Black
</v>
          </cell>
          <cell r="F1241" t="str">
            <v>Hardware</v>
          </cell>
          <cell r="G1241" t="str">
            <v>Mic</v>
          </cell>
          <cell r="H1241" t="str">
            <v>Mic</v>
          </cell>
          <cell r="I1241">
            <v>750.58</v>
          </cell>
          <cell r="J1241">
            <v>0.16999733079122981</v>
          </cell>
          <cell r="K1241">
            <v>1049</v>
          </cell>
          <cell r="L1241" t="str">
            <v>Coppel</v>
          </cell>
          <cell r="M1241" t="str">
            <v>Discontinued</v>
          </cell>
          <cell r="N1241" t="str">
            <v>15592-M</v>
          </cell>
        </row>
        <row r="1242">
          <cell r="A1242" t="str">
            <v>Hypergear</v>
          </cell>
          <cell r="B1242">
            <v>42971031</v>
          </cell>
          <cell r="C1242">
            <v>15437</v>
          </cell>
          <cell r="D1242" t="str">
            <v>633755154379</v>
          </cell>
          <cell r="E1242" t="str">
            <v xml:space="preserve">HyperGear SnapShot Wireless Selfie Stick + Tripod Black
</v>
          </cell>
          <cell r="F1242" t="str">
            <v>Hardware</v>
          </cell>
          <cell r="G1242" t="str">
            <v>Tripod</v>
          </cell>
          <cell r="H1242" t="str">
            <v>Selfie + Tripod</v>
          </cell>
          <cell r="I1242">
            <v>521.61206896551721</v>
          </cell>
          <cell r="J1242">
            <v>0.17000000000000004</v>
          </cell>
          <cell r="K1242">
            <v>729</v>
          </cell>
          <cell r="L1242" t="str">
            <v>Coppel</v>
          </cell>
          <cell r="M1242" t="str">
            <v>Discontinued</v>
          </cell>
          <cell r="N1242" t="str">
            <v>15437-M</v>
          </cell>
        </row>
        <row r="1243">
          <cell r="A1243" t="str">
            <v>Mophie</v>
          </cell>
          <cell r="B1243">
            <v>42751224</v>
          </cell>
          <cell r="C1243">
            <v>401102246</v>
          </cell>
          <cell r="D1243" t="str">
            <v>848467079111</v>
          </cell>
          <cell r="E1243" t="str">
            <v>Mophie POWERSTATION (5000 mAh) with Lightning Connector - Black</v>
          </cell>
          <cell r="F1243" t="str">
            <v>Charger</v>
          </cell>
          <cell r="G1243" t="str">
            <v>Power Bank</v>
          </cell>
          <cell r="H1243" t="str">
            <v>5,000 mAh</v>
          </cell>
          <cell r="I1243">
            <v>443.05</v>
          </cell>
          <cell r="J1243">
            <v>0.14200667779632725</v>
          </cell>
          <cell r="K1243">
            <v>599</v>
          </cell>
          <cell r="L1243" t="str">
            <v>Coppel</v>
          </cell>
          <cell r="M1243" t="str">
            <v>Discontinued</v>
          </cell>
          <cell r="N1243" t="str">
            <v>401102246-M</v>
          </cell>
        </row>
        <row r="1244">
          <cell r="A1244" t="str">
            <v>Mophie</v>
          </cell>
          <cell r="B1244">
            <v>42751223</v>
          </cell>
          <cell r="C1244">
            <v>401101662</v>
          </cell>
          <cell r="D1244" t="str">
            <v>848467073980</v>
          </cell>
          <cell r="E1244" t="str">
            <v>Mophie POWERSTATION PLUS (6,000mAh) with Built-in Micro USB &amp; Lightning Cable + Extra USB-A Charging Port - Black</v>
          </cell>
          <cell r="F1244" t="str">
            <v>Charger</v>
          </cell>
          <cell r="G1244" t="str">
            <v>Power Bank</v>
          </cell>
          <cell r="H1244" t="str">
            <v>6,000 mAh</v>
          </cell>
          <cell r="I1244">
            <v>590.98</v>
          </cell>
          <cell r="J1244">
            <v>0.14200650813516902</v>
          </cell>
          <cell r="K1244">
            <v>799</v>
          </cell>
          <cell r="L1244" t="str">
            <v>Coppel</v>
          </cell>
          <cell r="M1244" t="str">
            <v>Discontinued</v>
          </cell>
          <cell r="N1244" t="str">
            <v>401101662-M</v>
          </cell>
        </row>
        <row r="1245">
          <cell r="A1245" t="str">
            <v>Naztech</v>
          </cell>
          <cell r="B1245">
            <v>42701008</v>
          </cell>
          <cell r="C1245">
            <v>15593</v>
          </cell>
          <cell r="D1245" t="str">
            <v>633755155932</v>
          </cell>
          <cell r="E1245" t="str">
            <v>Naztech MaxDrive7 Universal USB-C Adapter Hub Space Grey</v>
          </cell>
          <cell r="F1245" t="str">
            <v>Cables</v>
          </cell>
          <cell r="G1245" t="str">
            <v>Hub</v>
          </cell>
          <cell r="H1245" t="str">
            <v>ALL IN ONE</v>
          </cell>
          <cell r="I1245">
            <v>1358.77</v>
          </cell>
          <cell r="J1245">
            <v>0.16999831490258033</v>
          </cell>
          <cell r="K1245">
            <v>1899</v>
          </cell>
          <cell r="L1245" t="str">
            <v>Coppel</v>
          </cell>
          <cell r="M1245" t="str">
            <v>Discontinued</v>
          </cell>
          <cell r="N1245" t="str">
            <v>15593-M</v>
          </cell>
        </row>
        <row r="1246">
          <cell r="A1246" t="str">
            <v>Naztech</v>
          </cell>
          <cell r="B1246">
            <v>43101251</v>
          </cell>
          <cell r="C1246">
            <v>15496</v>
          </cell>
          <cell r="D1246" t="str">
            <v>633755154966</v>
          </cell>
          <cell r="E1246" t="str">
            <v>Naztech Titanium USB to MFi Lightning Braided Cable 6ft White</v>
          </cell>
          <cell r="F1246" t="str">
            <v>Cables</v>
          </cell>
          <cell r="G1246" t="str">
            <v>Lightning</v>
          </cell>
          <cell r="H1246" t="str">
            <v>6 ft</v>
          </cell>
          <cell r="I1246">
            <v>535.92241379310349</v>
          </cell>
          <cell r="J1246">
            <v>0.17000000000000004</v>
          </cell>
          <cell r="K1246">
            <v>749</v>
          </cell>
          <cell r="L1246" t="str">
            <v>Coppel</v>
          </cell>
          <cell r="M1246" t="str">
            <v>Discontinued</v>
          </cell>
          <cell r="N1246" t="str">
            <v>15496-M</v>
          </cell>
        </row>
        <row r="1247">
          <cell r="A1247" t="str">
            <v>Naztech</v>
          </cell>
          <cell r="B1247">
            <v>43101184</v>
          </cell>
          <cell r="C1247" t="str">
            <v>QTYPECA3FT</v>
          </cell>
          <cell r="D1247" t="str">
            <v>846537082030</v>
          </cell>
          <cell r="E1247" t="str">
            <v>Quikcell USB-A to USB-C cable 3 ft. 3A current; PVC+Nylon</v>
          </cell>
          <cell r="F1247" t="str">
            <v>Cables</v>
          </cell>
          <cell r="G1247" t="str">
            <v>Type C</v>
          </cell>
          <cell r="H1247" t="str">
            <v>3ft</v>
          </cell>
          <cell r="I1247">
            <v>184.6</v>
          </cell>
          <cell r="J1247">
            <v>0.14001606425702828</v>
          </cell>
          <cell r="K1247">
            <v>249</v>
          </cell>
          <cell r="L1247" t="str">
            <v>Coppel</v>
          </cell>
          <cell r="M1247" t="str">
            <v>Discontinued</v>
          </cell>
          <cell r="N1247" t="str">
            <v>QTYPECA3FT-M</v>
          </cell>
        </row>
        <row r="1248">
          <cell r="A1248" t="str">
            <v>Naztech</v>
          </cell>
          <cell r="B1248">
            <v>43101248</v>
          </cell>
          <cell r="C1248">
            <v>15498</v>
          </cell>
          <cell r="D1248" t="str">
            <v>633755154980</v>
          </cell>
          <cell r="E1248" t="str">
            <v>Naztech Titanium USB-C to Lightning Braided Cable 6ft White</v>
          </cell>
          <cell r="F1248" t="str">
            <v>Cables</v>
          </cell>
          <cell r="G1248" t="str">
            <v>Type C - Type C</v>
          </cell>
          <cell r="H1248" t="str">
            <v>6 ft</v>
          </cell>
          <cell r="I1248">
            <v>571.69827586206895</v>
          </cell>
          <cell r="J1248">
            <v>0.17000000000000004</v>
          </cell>
          <cell r="K1248">
            <v>799</v>
          </cell>
          <cell r="L1248" t="str">
            <v>Coppel</v>
          </cell>
          <cell r="M1248" t="str">
            <v>Discontinued</v>
          </cell>
          <cell r="N1248" t="str">
            <v>15498-M</v>
          </cell>
        </row>
        <row r="1249">
          <cell r="A1249" t="str">
            <v>Naztech</v>
          </cell>
          <cell r="B1249">
            <v>43101250</v>
          </cell>
          <cell r="C1249">
            <v>15497</v>
          </cell>
          <cell r="D1249" t="str">
            <v>633755154973</v>
          </cell>
          <cell r="E1249" t="str">
            <v>Naztech Titanium USB-C to Lightning Braided Cable 6ft Black</v>
          </cell>
          <cell r="F1249" t="str">
            <v>Cables</v>
          </cell>
          <cell r="G1249" t="str">
            <v>Type C - Type C</v>
          </cell>
          <cell r="H1249" t="str">
            <v>6 ft</v>
          </cell>
          <cell r="I1249">
            <v>571.69827586206895</v>
          </cell>
          <cell r="J1249">
            <v>0.17000000000000004</v>
          </cell>
          <cell r="K1249">
            <v>799</v>
          </cell>
          <cell r="L1249" t="str">
            <v>Coppel</v>
          </cell>
          <cell r="M1249" t="str">
            <v>Discontinued</v>
          </cell>
          <cell r="N1249" t="str">
            <v>15497-M</v>
          </cell>
        </row>
        <row r="1250">
          <cell r="A1250" t="str">
            <v>Quikcell</v>
          </cell>
          <cell r="B1250">
            <v>42871004</v>
          </cell>
          <cell r="C1250" t="str">
            <v>CTPRO2-BLK</v>
          </cell>
          <cell r="D1250" t="str">
            <v>846537063060</v>
          </cell>
          <cell r="E1250" t="str">
            <v>Quikcell Cross Trainer Pro II Sports Stereo Bluetooth Earphones - Black</v>
          </cell>
          <cell r="F1250" t="str">
            <v>Audio</v>
          </cell>
          <cell r="G1250" t="str">
            <v>HEADPHONE WIRELESS</v>
          </cell>
          <cell r="H1250" t="str">
            <v>In Ear</v>
          </cell>
          <cell r="I1250">
            <v>359.19</v>
          </cell>
          <cell r="J1250">
            <v>0.16500921843687377</v>
          </cell>
          <cell r="K1250">
            <v>499</v>
          </cell>
          <cell r="L1250" t="str">
            <v>Coppel</v>
          </cell>
          <cell r="M1250" t="str">
            <v>Discontinued</v>
          </cell>
          <cell r="N1250" t="str">
            <v>CTPRO2-BLK-M</v>
          </cell>
        </row>
        <row r="1251">
          <cell r="A1251" t="str">
            <v>Quikcell</v>
          </cell>
          <cell r="B1251">
            <v>7731045</v>
          </cell>
          <cell r="C1251" t="str">
            <v>CTPRO2-WHT</v>
          </cell>
          <cell r="D1251" t="str">
            <v>846537063077</v>
          </cell>
          <cell r="E1251" t="str">
            <v>Quikcell Cross Trainer Pro II Wireless Sport Headphones - White</v>
          </cell>
          <cell r="F1251" t="str">
            <v>Audio</v>
          </cell>
          <cell r="G1251" t="str">
            <v>HEADPHONE WIRELESS</v>
          </cell>
          <cell r="H1251" t="str">
            <v>In Ear</v>
          </cell>
          <cell r="I1251">
            <v>357.04</v>
          </cell>
          <cell r="J1251">
            <v>0.17000721442885769</v>
          </cell>
          <cell r="K1251">
            <v>499</v>
          </cell>
          <cell r="L1251" t="str">
            <v>Coppel</v>
          </cell>
          <cell r="M1251" t="str">
            <v>Discontinued</v>
          </cell>
          <cell r="N1251" t="str">
            <v>CTPRO2-WHT-M</v>
          </cell>
        </row>
        <row r="1252">
          <cell r="A1252" t="str">
            <v>Quikcell</v>
          </cell>
          <cell r="B1252">
            <v>42871002</v>
          </cell>
          <cell r="C1252" t="str">
            <v>QAIR-BUDS</v>
          </cell>
          <cell r="D1252" t="str">
            <v>846537068881</v>
          </cell>
          <cell r="E1252" t="str">
            <v>Quikcell QAIR BUDS True Wireless Earbuds with Charging Case - Black</v>
          </cell>
          <cell r="F1252" t="str">
            <v>Audio</v>
          </cell>
          <cell r="G1252" t="str">
            <v>Headphones Wireless</v>
          </cell>
          <cell r="H1252" t="str">
            <v>QAir</v>
          </cell>
          <cell r="I1252">
            <v>714.8</v>
          </cell>
          <cell r="J1252">
            <v>0.17000200200200211</v>
          </cell>
          <cell r="K1252">
            <v>999</v>
          </cell>
          <cell r="L1252" t="str">
            <v>Coppel</v>
          </cell>
          <cell r="M1252" t="str">
            <v>Discontinued</v>
          </cell>
          <cell r="N1252" t="str">
            <v>QAIR-BUDS-M</v>
          </cell>
        </row>
        <row r="1253">
          <cell r="A1253" t="str">
            <v>Quikcell</v>
          </cell>
          <cell r="B1253">
            <v>7731050</v>
          </cell>
          <cell r="C1253" t="str">
            <v>QAIR-BUDS-WHT</v>
          </cell>
          <cell r="D1253" t="str">
            <v>846537075582</v>
          </cell>
          <cell r="E1253" t="str">
            <v>Quikcell QAIR BUDS True Wireless Earbuds with Charging Case - White</v>
          </cell>
          <cell r="F1253" t="str">
            <v>Audio</v>
          </cell>
          <cell r="G1253" t="str">
            <v>Headphones Wireless</v>
          </cell>
          <cell r="H1253" t="str">
            <v>QAir</v>
          </cell>
          <cell r="I1253">
            <v>738.92</v>
          </cell>
          <cell r="J1253">
            <v>0.14199479479479493</v>
          </cell>
          <cell r="K1253">
            <v>999</v>
          </cell>
          <cell r="L1253" t="str">
            <v>Coppel</v>
          </cell>
          <cell r="M1253" t="str">
            <v>Discontinued</v>
          </cell>
          <cell r="N1253" t="str">
            <v>QAIR-BUDS-WHT-M</v>
          </cell>
        </row>
        <row r="1254">
          <cell r="A1254" t="str">
            <v>Quikcell</v>
          </cell>
          <cell r="B1254">
            <v>43101018</v>
          </cell>
          <cell r="C1254" t="str">
            <v>QLIGHTA6FT</v>
          </cell>
          <cell r="D1254" t="str">
            <v>846537077081</v>
          </cell>
          <cell r="E1254" t="str">
            <v>Quikcell CHARGE &amp; SYNC CABLE MFi Lightning to USB-A - 6ft - Black</v>
          </cell>
          <cell r="F1254" t="str">
            <v>Cables</v>
          </cell>
          <cell r="G1254" t="str">
            <v>Lightning</v>
          </cell>
          <cell r="H1254" t="str">
            <v>6 ft</v>
          </cell>
          <cell r="I1254">
            <v>369.09</v>
          </cell>
          <cell r="J1254">
            <v>0.14199519038076158</v>
          </cell>
          <cell r="K1254">
            <v>499</v>
          </cell>
          <cell r="L1254" t="str">
            <v>Coppel</v>
          </cell>
          <cell r="M1254" t="str">
            <v>Discontinued</v>
          </cell>
          <cell r="N1254" t="str">
            <v>QLIGHTA6FT-M</v>
          </cell>
        </row>
        <row r="1255">
          <cell r="A1255" t="str">
            <v>Quikcell</v>
          </cell>
          <cell r="B1255">
            <v>7781165</v>
          </cell>
          <cell r="C1255" t="str">
            <v>QLIGHTC6FT</v>
          </cell>
          <cell r="D1255" t="str">
            <v>846537077104</v>
          </cell>
          <cell r="E1255" t="str">
            <v>Quikcell CHARGE &amp; SYNC CABLE MFi Lightning to USB-C - 6ft - Black</v>
          </cell>
          <cell r="F1255" t="str">
            <v>Cables</v>
          </cell>
          <cell r="G1255" t="str">
            <v>Lightning - Type C</v>
          </cell>
          <cell r="H1255" t="str">
            <v>6 ft</v>
          </cell>
          <cell r="I1255">
            <v>332.11</v>
          </cell>
          <cell r="J1255">
            <v>0.14198752783964375</v>
          </cell>
          <cell r="K1255">
            <v>449</v>
          </cell>
          <cell r="L1255" t="str">
            <v>Coppel</v>
          </cell>
          <cell r="M1255" t="str">
            <v>Discontinued</v>
          </cell>
          <cell r="N1255" t="str">
            <v>QLIGHTC6FT-M</v>
          </cell>
        </row>
        <row r="1256">
          <cell r="A1256" t="str">
            <v>Quikcell</v>
          </cell>
          <cell r="B1256">
            <v>7781163</v>
          </cell>
          <cell r="C1256" t="str">
            <v>QTYPECA6FT</v>
          </cell>
          <cell r="D1256" t="str">
            <v>846537077043</v>
          </cell>
          <cell r="E1256" t="str">
            <v>Quikcell CHARGE &amp; SYNC CABLE USB-A to USB-C - 6 ft - Black</v>
          </cell>
          <cell r="F1256" t="str">
            <v>Cables</v>
          </cell>
          <cell r="G1256" t="str">
            <v>Type C</v>
          </cell>
          <cell r="H1256" t="str">
            <v>6 ft</v>
          </cell>
          <cell r="I1256">
            <v>221.16</v>
          </cell>
          <cell r="J1256">
            <v>0.14198795986622081</v>
          </cell>
          <cell r="K1256">
            <v>299</v>
          </cell>
          <cell r="L1256" t="str">
            <v>Coppel</v>
          </cell>
          <cell r="M1256" t="str">
            <v>Discontinued</v>
          </cell>
          <cell r="N1256" t="str">
            <v>QTYPECA6FT-M</v>
          </cell>
        </row>
        <row r="1257">
          <cell r="A1257" t="str">
            <v>Quikcell</v>
          </cell>
          <cell r="B1257">
            <v>43101183</v>
          </cell>
          <cell r="C1257" t="str">
            <v>QTYPECC3FT</v>
          </cell>
          <cell r="D1257" t="str">
            <v>846537082047</v>
          </cell>
          <cell r="E1257" t="str">
            <v>Quikcell USB-C to USB-C cable 3 ft. 3A current; PVC+Nylon</v>
          </cell>
          <cell r="F1257" t="str">
            <v>Cables</v>
          </cell>
          <cell r="G1257" t="str">
            <v>Type C - Type C</v>
          </cell>
          <cell r="H1257" t="str">
            <v>3 ft</v>
          </cell>
          <cell r="I1257">
            <v>258.74</v>
          </cell>
          <cell r="J1257">
            <v>0.14000458452722064</v>
          </cell>
          <cell r="K1257">
            <v>349</v>
          </cell>
          <cell r="L1257" t="str">
            <v>Coppel</v>
          </cell>
          <cell r="M1257" t="str">
            <v>Discontinued</v>
          </cell>
          <cell r="N1257" t="str">
            <v>QTYPECC3FT-M</v>
          </cell>
        </row>
        <row r="1258">
          <cell r="A1258" t="str">
            <v>Quikcell</v>
          </cell>
          <cell r="B1258">
            <v>7781164</v>
          </cell>
          <cell r="C1258" t="str">
            <v>QTYPECC6FT</v>
          </cell>
          <cell r="D1258" t="str">
            <v>846537077067</v>
          </cell>
          <cell r="E1258" t="str">
            <v>Quikcell CHARGE &amp; SYNC CABLE USB-C to USB-C - 6 ft - Black</v>
          </cell>
          <cell r="F1258" t="str">
            <v>Cables</v>
          </cell>
          <cell r="G1258" t="str">
            <v>Type C - Type C</v>
          </cell>
          <cell r="H1258" t="str">
            <v>6 ft</v>
          </cell>
          <cell r="I1258">
            <v>258.14</v>
          </cell>
          <cell r="J1258">
            <v>0.141998853868195</v>
          </cell>
          <cell r="K1258">
            <v>349</v>
          </cell>
          <cell r="L1258" t="str">
            <v>Coppel</v>
          </cell>
          <cell r="M1258" t="str">
            <v>Discontinued</v>
          </cell>
          <cell r="N1258" t="str">
            <v>QTYPECC6FT-M</v>
          </cell>
        </row>
        <row r="1259">
          <cell r="A1259" t="str">
            <v>Quikcell</v>
          </cell>
          <cell r="B1259">
            <v>43901337</v>
          </cell>
          <cell r="C1259" t="str">
            <v>TIN2059-M</v>
          </cell>
          <cell r="D1259" t="str">
            <v>846537083549</v>
          </cell>
          <cell r="E1259" t="str">
            <v>Quikcell iPhone 13 ICON TINT Transparent Protective Case - Ice</v>
          </cell>
          <cell r="F1259" t="str">
            <v>Cases iPhone</v>
          </cell>
          <cell r="G1259" t="str">
            <v>iPhone 13</v>
          </cell>
          <cell r="H1259" t="str">
            <v>iPhone 13</v>
          </cell>
          <cell r="I1259">
            <v>443.05</v>
          </cell>
          <cell r="J1259">
            <v>0.14200667779632725</v>
          </cell>
          <cell r="K1259">
            <v>599</v>
          </cell>
          <cell r="L1259" t="str">
            <v>Coppel</v>
          </cell>
          <cell r="M1259" t="str">
            <v>Discontinued</v>
          </cell>
          <cell r="N1259" t="str">
            <v>TIN2059-M</v>
          </cell>
        </row>
        <row r="1260">
          <cell r="A1260" t="str">
            <v>Quikcell</v>
          </cell>
          <cell r="B1260">
            <v>43901335</v>
          </cell>
          <cell r="C1260" t="str">
            <v>TIN2058-M</v>
          </cell>
          <cell r="D1260" t="str">
            <v>846537083532</v>
          </cell>
          <cell r="E1260" t="str">
            <v>Quikcell iPhone 13 ICON TINT Transparent Protective Case - Smoke</v>
          </cell>
          <cell r="F1260" t="str">
            <v>Cases iPhone</v>
          </cell>
          <cell r="G1260" t="str">
            <v>iPhone 13</v>
          </cell>
          <cell r="H1260" t="str">
            <v>iPhone 13</v>
          </cell>
          <cell r="I1260">
            <v>443.05</v>
          </cell>
          <cell r="J1260">
            <v>0.14200667779632725</v>
          </cell>
          <cell r="K1260">
            <v>599</v>
          </cell>
          <cell r="L1260" t="str">
            <v>Coppel</v>
          </cell>
          <cell r="M1260" t="str">
            <v>Discontinued</v>
          </cell>
          <cell r="N1260" t="str">
            <v>TIN2058-M</v>
          </cell>
        </row>
        <row r="1261">
          <cell r="A1261" t="str">
            <v>Quikcell</v>
          </cell>
          <cell r="B1261">
            <v>43901333</v>
          </cell>
          <cell r="C1261" t="str">
            <v>TIN2057-M</v>
          </cell>
          <cell r="D1261" t="str">
            <v>846537083426</v>
          </cell>
          <cell r="E1261" t="str">
            <v>Quikcell iPhone 13 mini ICON TINT Transparent Protective Case - Ice</v>
          </cell>
          <cell r="F1261" t="str">
            <v>Cases iPhone</v>
          </cell>
          <cell r="G1261" t="str">
            <v>iPhone 13</v>
          </cell>
          <cell r="H1261" t="str">
            <v>iPhone 13 mini</v>
          </cell>
          <cell r="I1261">
            <v>443.05</v>
          </cell>
          <cell r="J1261">
            <v>0.14200667779632725</v>
          </cell>
          <cell r="K1261">
            <v>599</v>
          </cell>
          <cell r="L1261" t="str">
            <v>Coppel</v>
          </cell>
          <cell r="M1261" t="str">
            <v>Discontinued</v>
          </cell>
          <cell r="N1261" t="str">
            <v>TIN2057-M</v>
          </cell>
        </row>
        <row r="1262">
          <cell r="A1262" t="str">
            <v>Quikcell</v>
          </cell>
          <cell r="B1262">
            <v>43901332</v>
          </cell>
          <cell r="C1262" t="str">
            <v>TIN2068-M</v>
          </cell>
          <cell r="D1262" t="str">
            <v>846537084072</v>
          </cell>
          <cell r="E1262" t="str">
            <v>Quikcell iPhone 13 Pro ICON TINT Transparent Protective Case - Smoke</v>
          </cell>
          <cell r="F1262" t="str">
            <v>Cases iPhone</v>
          </cell>
          <cell r="G1262" t="str">
            <v>iPhone 13</v>
          </cell>
          <cell r="H1262" t="str">
            <v>iPhone 13 Pro</v>
          </cell>
          <cell r="I1262">
            <v>443.05</v>
          </cell>
          <cell r="J1262">
            <v>0.14200667779632725</v>
          </cell>
          <cell r="K1262">
            <v>599</v>
          </cell>
          <cell r="L1262" t="str">
            <v>Coppel</v>
          </cell>
          <cell r="M1262" t="str">
            <v>Discontinued</v>
          </cell>
          <cell r="N1262" t="str">
            <v>TIN2068-M</v>
          </cell>
        </row>
        <row r="1263">
          <cell r="A1263" t="str">
            <v>Quikcell</v>
          </cell>
          <cell r="B1263">
            <v>43901339</v>
          </cell>
          <cell r="C1263" t="str">
            <v>TIN2069-M</v>
          </cell>
          <cell r="D1263" t="str">
            <v>846537084089</v>
          </cell>
          <cell r="E1263" t="str">
            <v>Quikcell iPhone 13 Pro ICON TINT Transparent Protective Case - Ice</v>
          </cell>
          <cell r="F1263" t="str">
            <v>Cases iPhone</v>
          </cell>
          <cell r="G1263" t="str">
            <v>iPhone 13</v>
          </cell>
          <cell r="H1263" t="str">
            <v>iPhone 13 Pro</v>
          </cell>
          <cell r="I1263">
            <v>443.05</v>
          </cell>
          <cell r="J1263">
            <v>0.14200667779632725</v>
          </cell>
          <cell r="K1263">
            <v>599</v>
          </cell>
          <cell r="L1263" t="str">
            <v>Coppel</v>
          </cell>
          <cell r="M1263" t="str">
            <v>Discontinued</v>
          </cell>
          <cell r="N1263" t="str">
            <v>TIN2069-M</v>
          </cell>
        </row>
        <row r="1264">
          <cell r="A1264" t="str">
            <v>Quikcell</v>
          </cell>
          <cell r="B1264">
            <v>43901334</v>
          </cell>
          <cell r="C1264" t="str">
            <v>TIN2061-M</v>
          </cell>
          <cell r="D1264" t="str">
            <v>846537083679</v>
          </cell>
          <cell r="E1264" t="str">
            <v>Quikcell iPhone 13 Pro Max ICON TINT Transparent Protective Case - Ice</v>
          </cell>
          <cell r="F1264" t="str">
            <v>Cases iPhone</v>
          </cell>
          <cell r="G1264" t="str">
            <v>iPhone 13</v>
          </cell>
          <cell r="H1264" t="str">
            <v>iPhone 13 Pro Max</v>
          </cell>
          <cell r="I1264">
            <v>443.05</v>
          </cell>
          <cell r="J1264">
            <v>0.14200667779632725</v>
          </cell>
          <cell r="K1264">
            <v>599</v>
          </cell>
          <cell r="L1264" t="str">
            <v>Coppel</v>
          </cell>
          <cell r="M1264" t="str">
            <v>Discontinued</v>
          </cell>
          <cell r="N1264" t="str">
            <v>TIN2061-M</v>
          </cell>
        </row>
        <row r="1265">
          <cell r="A1265" t="str">
            <v>Quikcell</v>
          </cell>
          <cell r="B1265">
            <v>43901336</v>
          </cell>
          <cell r="C1265" t="str">
            <v>TIN2060-M</v>
          </cell>
          <cell r="D1265" t="str">
            <v>846537083662</v>
          </cell>
          <cell r="E1265" t="str">
            <v>Quikcell iPhone 13 Pro Max ICON TINT Transparent Protective Case - Smoke</v>
          </cell>
          <cell r="F1265" t="str">
            <v>Cases iPhone</v>
          </cell>
          <cell r="G1265" t="str">
            <v>iPhone 13</v>
          </cell>
          <cell r="H1265" t="str">
            <v>iPhone 13 Pro Max</v>
          </cell>
          <cell r="I1265">
            <v>443.05</v>
          </cell>
          <cell r="J1265">
            <v>0.14200667779632725</v>
          </cell>
          <cell r="K1265">
            <v>599</v>
          </cell>
          <cell r="L1265" t="str">
            <v>Coppel</v>
          </cell>
          <cell r="M1265" t="str">
            <v>Discontinued</v>
          </cell>
          <cell r="N1265" t="str">
            <v>TIN2060-M</v>
          </cell>
        </row>
        <row r="1266">
          <cell r="A1266" t="str">
            <v>Quikcell</v>
          </cell>
          <cell r="B1266">
            <v>43901917</v>
          </cell>
          <cell r="C1266" t="str">
            <v>LPOUCH</v>
          </cell>
          <cell r="D1266" t="str">
            <v>846537083013</v>
          </cell>
          <cell r="E1266" t="str">
            <v>Quikcell SLIM Universal Large Phone Pouch - Carbon Black</v>
          </cell>
          <cell r="F1266" t="str">
            <v>Cases Universal</v>
          </cell>
          <cell r="G1266" t="str">
            <v>Universal</v>
          </cell>
          <cell r="H1266" t="str">
            <v>Phone</v>
          </cell>
          <cell r="I1266">
            <v>443.05</v>
          </cell>
          <cell r="J1266">
            <v>0.14200667779632725</v>
          </cell>
          <cell r="K1266">
            <v>599</v>
          </cell>
          <cell r="L1266" t="str">
            <v>Coppel</v>
          </cell>
          <cell r="M1266" t="str">
            <v>Discontinued</v>
          </cell>
          <cell r="N1266" t="str">
            <v>LPOUCH-M</v>
          </cell>
        </row>
        <row r="1267">
          <cell r="A1267" t="str">
            <v>Quikcell</v>
          </cell>
          <cell r="B1267">
            <v>43908157</v>
          </cell>
          <cell r="C1267" t="str">
            <v>LPOUCH</v>
          </cell>
          <cell r="D1267" t="str">
            <v>846537083013</v>
          </cell>
          <cell r="E1267" t="str">
            <v>Quikcell SLIM Universal Large Phone Pouch - Carbon Black</v>
          </cell>
          <cell r="F1267" t="str">
            <v>Cases Universal</v>
          </cell>
          <cell r="G1267" t="str">
            <v>Universal</v>
          </cell>
          <cell r="H1267" t="str">
            <v>Phone</v>
          </cell>
          <cell r="I1267">
            <v>428.59</v>
          </cell>
          <cell r="J1267">
            <v>0.17000934891485819</v>
          </cell>
          <cell r="K1267">
            <v>599</v>
          </cell>
          <cell r="L1267" t="str">
            <v>Coppel</v>
          </cell>
          <cell r="M1267" t="str">
            <v>Discontinued</v>
          </cell>
          <cell r="N1267" t="str">
            <v>LPOUCH-M</v>
          </cell>
        </row>
        <row r="1268">
          <cell r="A1268" t="str">
            <v>Quikcell</v>
          </cell>
          <cell r="B1268">
            <v>40821001</v>
          </cell>
          <cell r="C1268" t="str">
            <v>MFOLIOTAB</v>
          </cell>
          <cell r="D1268" t="str">
            <v>846537082986</v>
          </cell>
          <cell r="E1268" t="str">
            <v>Quikcell FLEX TAB Universal 7-8" Tablet Folio Case  - Carbon Black</v>
          </cell>
          <cell r="F1268" t="str">
            <v>Cases Universal</v>
          </cell>
          <cell r="G1268" t="str">
            <v>Universal</v>
          </cell>
          <cell r="H1268" t="str">
            <v>Tablet</v>
          </cell>
          <cell r="I1268">
            <v>443.05</v>
          </cell>
          <cell r="J1268">
            <v>0.14200667779632725</v>
          </cell>
          <cell r="K1268">
            <v>599</v>
          </cell>
          <cell r="L1268" t="str">
            <v>Coppel</v>
          </cell>
          <cell r="M1268" t="str">
            <v>Discontinued</v>
          </cell>
          <cell r="N1268" t="str">
            <v>MFOLIOTAB-M</v>
          </cell>
        </row>
        <row r="1269">
          <cell r="A1269" t="str">
            <v>Quikcell</v>
          </cell>
          <cell r="B1269">
            <v>43908292</v>
          </cell>
          <cell r="C1269" t="str">
            <v>MFOLIOTAB</v>
          </cell>
          <cell r="D1269" t="str">
            <v>846537082986</v>
          </cell>
          <cell r="E1269" t="str">
            <v>Quikcell FLEX TAB Universal 7-8" Tablet Folio Case  - Carbon Black</v>
          </cell>
          <cell r="F1269" t="str">
            <v>Cases Universal</v>
          </cell>
          <cell r="G1269" t="str">
            <v>Universal</v>
          </cell>
          <cell r="H1269" t="str">
            <v>Tablet</v>
          </cell>
          <cell r="I1269">
            <v>428.59</v>
          </cell>
          <cell r="J1269">
            <v>0.17000934891485819</v>
          </cell>
          <cell r="K1269">
            <v>599</v>
          </cell>
          <cell r="L1269" t="str">
            <v>Coppel</v>
          </cell>
          <cell r="M1269" t="str">
            <v>Discontinued</v>
          </cell>
          <cell r="N1269" t="str">
            <v>MFOLIOTAB-M</v>
          </cell>
        </row>
        <row r="1270">
          <cell r="A1270" t="str">
            <v>Quikcell</v>
          </cell>
          <cell r="B1270">
            <v>7763888</v>
          </cell>
          <cell r="C1270" t="str">
            <v>QFL36-BLK</v>
          </cell>
          <cell r="D1270" t="str">
            <v>846537073595</v>
          </cell>
          <cell r="E1270" t="str">
            <v>QuikCell Universal Folios- Black</v>
          </cell>
          <cell r="F1270" t="str">
            <v>Cases Universal</v>
          </cell>
          <cell r="G1270" t="str">
            <v>Universal</v>
          </cell>
          <cell r="H1270" t="str">
            <v>Universal</v>
          </cell>
          <cell r="I1270">
            <v>323.2</v>
          </cell>
          <cell r="J1270">
            <v>0.16500668151447662</v>
          </cell>
          <cell r="K1270">
            <v>449</v>
          </cell>
          <cell r="L1270" t="str">
            <v>Coppel</v>
          </cell>
          <cell r="M1270" t="str">
            <v>Discontinued</v>
          </cell>
          <cell r="N1270" t="str">
            <v>QFL36-BLK-M</v>
          </cell>
        </row>
        <row r="1271">
          <cell r="A1271" t="str">
            <v>Quikcell</v>
          </cell>
          <cell r="B1271">
            <v>7801015</v>
          </cell>
          <cell r="C1271" t="str">
            <v>QCVPA2001</v>
          </cell>
          <cell r="D1271" t="str">
            <v>846537076985</v>
          </cell>
          <cell r="E1271" t="str">
            <v>Quikcell DUAL PORT CAR CHARGER  2 USB A x 12W - 24W</v>
          </cell>
          <cell r="F1271" t="str">
            <v>Charger</v>
          </cell>
          <cell r="G1271" t="str">
            <v>Car Charger</v>
          </cell>
          <cell r="H1271" t="str">
            <v>24W</v>
          </cell>
          <cell r="I1271">
            <v>258.14</v>
          </cell>
          <cell r="J1271">
            <v>0.141998853868195</v>
          </cell>
          <cell r="K1271">
            <v>349</v>
          </cell>
          <cell r="L1271" t="str">
            <v>Coppel</v>
          </cell>
          <cell r="M1271" t="str">
            <v>Discontinued</v>
          </cell>
          <cell r="N1271" t="str">
            <v>QCVPA2001-M</v>
          </cell>
        </row>
        <row r="1272">
          <cell r="A1272" t="str">
            <v>Quikcell</v>
          </cell>
          <cell r="B1272">
            <v>7801016</v>
          </cell>
          <cell r="C1272" t="str">
            <v>QCVPA2002</v>
          </cell>
          <cell r="D1272" t="str">
            <v>846537076992</v>
          </cell>
          <cell r="E1272" t="str">
            <v>Quikcell DUAL PORT CAR CHARGER  1 USB A 12W + USB C PD 20W - 32W</v>
          </cell>
          <cell r="F1272" t="str">
            <v>Charger</v>
          </cell>
          <cell r="G1272" t="str">
            <v>Car Charger</v>
          </cell>
          <cell r="H1272" t="str">
            <v>32 W</v>
          </cell>
          <cell r="I1272">
            <v>332.11</v>
          </cell>
          <cell r="J1272">
            <v>0.14198752783964375</v>
          </cell>
          <cell r="K1272">
            <v>449</v>
          </cell>
          <cell r="L1272" t="str">
            <v>Coppel</v>
          </cell>
          <cell r="M1272" t="str">
            <v>Discontinued</v>
          </cell>
          <cell r="N1272" t="str">
            <v>QCVPA2002-M</v>
          </cell>
        </row>
        <row r="1273">
          <cell r="A1273" t="str">
            <v>Quikcell</v>
          </cell>
          <cell r="B1273">
            <v>7741086</v>
          </cell>
          <cell r="C1273" t="str">
            <v>QC-PWRBANK10K</v>
          </cell>
          <cell r="D1273" t="str">
            <v>846537073618</v>
          </cell>
          <cell r="E1273" t="str">
            <v>Quikcell POWERFUEL WIRELESS 10K mAh Powerbank - Black</v>
          </cell>
          <cell r="F1273" t="str">
            <v>Charger</v>
          </cell>
          <cell r="G1273" t="str">
            <v>Power Bank</v>
          </cell>
          <cell r="H1273" t="str">
            <v>10,000 mAh</v>
          </cell>
          <cell r="I1273">
            <v>886.85</v>
          </cell>
          <cell r="J1273">
            <v>0.14199666388657228</v>
          </cell>
          <cell r="K1273">
            <v>1199</v>
          </cell>
          <cell r="L1273" t="str">
            <v>Coppel</v>
          </cell>
          <cell r="M1273" t="str">
            <v>Discontinued</v>
          </cell>
          <cell r="N1273" t="str">
            <v>QC-PWRBANK10K-M</v>
          </cell>
        </row>
        <row r="1274">
          <cell r="A1274" t="str">
            <v>Quikcell</v>
          </cell>
          <cell r="B1274">
            <v>7741087</v>
          </cell>
          <cell r="C1274" t="str">
            <v>QC-PWRBANK6K</v>
          </cell>
          <cell r="D1274" t="str">
            <v>846537073601</v>
          </cell>
          <cell r="E1274" t="str">
            <v>Quikcell POWERFUEL 6K mAh Powerbank - Black</v>
          </cell>
          <cell r="F1274" t="str">
            <v>Charger</v>
          </cell>
          <cell r="G1274" t="str">
            <v>Power Bank</v>
          </cell>
          <cell r="H1274" t="str">
            <v>6,000 mAh</v>
          </cell>
          <cell r="I1274">
            <v>369.09</v>
          </cell>
          <cell r="J1274">
            <v>0.14199519038076158</v>
          </cell>
          <cell r="K1274">
            <v>499</v>
          </cell>
          <cell r="L1274" t="str">
            <v>Coppel</v>
          </cell>
          <cell r="M1274" t="str">
            <v>Discontinued</v>
          </cell>
          <cell r="N1274" t="str">
            <v>QC-PWRBANK6K-M</v>
          </cell>
        </row>
        <row r="1275">
          <cell r="A1275" t="str">
            <v>Quikcell</v>
          </cell>
          <cell r="B1275">
            <v>7771115</v>
          </cell>
          <cell r="C1275" t="str">
            <v>QTRC2001</v>
          </cell>
          <cell r="D1275" t="str">
            <v>846537077005</v>
          </cell>
          <cell r="E1275" t="str">
            <v>Quikcell DUAL PORT WALL CHARGER  2 USB A x 12W - 24W</v>
          </cell>
          <cell r="F1275" t="str">
            <v>Charger</v>
          </cell>
          <cell r="G1275" t="str">
            <v>Wall charger</v>
          </cell>
          <cell r="H1275" t="str">
            <v>24 W</v>
          </cell>
          <cell r="I1275">
            <v>369.09</v>
          </cell>
          <cell r="J1275">
            <v>0.14199519038076158</v>
          </cell>
          <cell r="K1275">
            <v>499</v>
          </cell>
          <cell r="L1275" t="str">
            <v>Coppel</v>
          </cell>
          <cell r="M1275" t="str">
            <v>Discontinued</v>
          </cell>
          <cell r="N1275" t="str">
            <v>QTRC2001-M</v>
          </cell>
        </row>
        <row r="1276">
          <cell r="A1276" t="str">
            <v>Quikcell</v>
          </cell>
          <cell r="B1276">
            <v>42791150</v>
          </cell>
          <cell r="C1276" t="str">
            <v>QTRC2009</v>
          </cell>
          <cell r="D1276" t="str">
            <v>846537085529</v>
          </cell>
          <cell r="E1276" t="str">
            <v>Quikcell PD 25W single port USB-C output</v>
          </cell>
          <cell r="F1276" t="str">
            <v>Charger</v>
          </cell>
          <cell r="G1276" t="str">
            <v>Wall charger</v>
          </cell>
          <cell r="H1276" t="str">
            <v>25W</v>
          </cell>
          <cell r="I1276">
            <v>321.27</v>
          </cell>
          <cell r="J1276">
            <v>0.16999287305122501</v>
          </cell>
          <cell r="K1276">
            <v>449</v>
          </cell>
          <cell r="L1276" t="str">
            <v>Coppel</v>
          </cell>
          <cell r="M1276" t="str">
            <v>Discontinued</v>
          </cell>
          <cell r="N1276" t="str">
            <v>QTRC2009-M</v>
          </cell>
        </row>
        <row r="1277">
          <cell r="A1277" t="str">
            <v>Quikcell</v>
          </cell>
          <cell r="B1277">
            <v>7771113</v>
          </cell>
          <cell r="C1277" t="str">
            <v>QTRC2002</v>
          </cell>
          <cell r="D1277" t="str">
            <v>846537077012</v>
          </cell>
          <cell r="E1277" t="str">
            <v>Quikcell DUAL PORT WALL CHARGER 1 USB A 12W + USB C PD 20W - 32W</v>
          </cell>
          <cell r="F1277" t="str">
            <v>Charger</v>
          </cell>
          <cell r="G1277" t="str">
            <v>Wall charger</v>
          </cell>
          <cell r="H1277" t="str">
            <v>32 W</v>
          </cell>
          <cell r="I1277">
            <v>443.05</v>
          </cell>
          <cell r="J1277">
            <v>0.14200667779632725</v>
          </cell>
          <cell r="K1277">
            <v>599</v>
          </cell>
          <cell r="L1277" t="str">
            <v>Coppel</v>
          </cell>
          <cell r="M1277" t="str">
            <v>Discontinued</v>
          </cell>
          <cell r="N1277" t="str">
            <v>QTRC2002-M</v>
          </cell>
        </row>
        <row r="1278">
          <cell r="A1278" t="str">
            <v>Quikcell</v>
          </cell>
          <cell r="B1278">
            <v>7771114</v>
          </cell>
          <cell r="C1278" t="str">
            <v>QC-PWRBASE2-BLK</v>
          </cell>
          <cell r="D1278" t="str">
            <v>846537053184</v>
          </cell>
          <cell r="E1278" t="str">
            <v>Quikcell POWERBASE 2 Wireless Charging Pad - 10W</v>
          </cell>
          <cell r="F1278" t="str">
            <v>Charger</v>
          </cell>
          <cell r="G1278" t="str">
            <v>Wireless</v>
          </cell>
          <cell r="H1278" t="str">
            <v>10 W</v>
          </cell>
          <cell r="I1278">
            <v>590.98</v>
          </cell>
          <cell r="J1278">
            <v>0.14200650813516902</v>
          </cell>
          <cell r="K1278">
            <v>799</v>
          </cell>
          <cell r="L1278" t="str">
            <v>Coppel</v>
          </cell>
          <cell r="M1278" t="str">
            <v>Discontinued</v>
          </cell>
          <cell r="N1278" t="str">
            <v>QC-PWRBASE2-BLK-M</v>
          </cell>
        </row>
        <row r="1279">
          <cell r="A1279" t="str">
            <v>Quikcell</v>
          </cell>
          <cell r="B1279">
            <v>42971003</v>
          </cell>
          <cell r="C1279" t="str">
            <v>QC-TRIO</v>
          </cell>
          <cell r="D1279" t="str">
            <v>846537072215</v>
          </cell>
          <cell r="E1279" t="str">
            <v>Quikcell TRIO 3 in 1 Wireless Charging Pad - White</v>
          </cell>
          <cell r="F1279" t="str">
            <v>Charger</v>
          </cell>
          <cell r="G1279" t="str">
            <v>Wireless</v>
          </cell>
          <cell r="H1279" t="str">
            <v>10 W</v>
          </cell>
          <cell r="I1279">
            <v>1256.67</v>
          </cell>
          <cell r="J1279">
            <v>0.14200282519128893</v>
          </cell>
          <cell r="K1279">
            <v>1699</v>
          </cell>
          <cell r="L1279" t="str">
            <v>Coppel</v>
          </cell>
          <cell r="M1279" t="str">
            <v>Discontinued</v>
          </cell>
          <cell r="N1279" t="str">
            <v>QC-TRIO-M</v>
          </cell>
        </row>
        <row r="1280">
          <cell r="A1280" t="str">
            <v>Quikcell</v>
          </cell>
          <cell r="B1280">
            <v>42831009</v>
          </cell>
          <cell r="C1280" t="str">
            <v>PWERFLIP-BLK</v>
          </cell>
          <cell r="D1280" t="str">
            <v>846537080722</v>
          </cell>
          <cell r="E1280" t="str">
            <v>Quikcell POWERFLIP 15W wireless 2-in-1 charger</v>
          </cell>
          <cell r="F1280" t="str">
            <v>Charger</v>
          </cell>
          <cell r="G1280" t="str">
            <v>Wireless</v>
          </cell>
          <cell r="H1280" t="str">
            <v>15 W</v>
          </cell>
          <cell r="I1280">
            <v>886.85</v>
          </cell>
          <cell r="J1280">
            <v>0.14199666388657228</v>
          </cell>
          <cell r="K1280">
            <v>1199</v>
          </cell>
          <cell r="L1280" t="str">
            <v>Coppel</v>
          </cell>
          <cell r="M1280" t="str">
            <v>Discontinued</v>
          </cell>
          <cell r="N1280" t="str">
            <v>PWERFLIP-BLK-M</v>
          </cell>
        </row>
        <row r="1281">
          <cell r="A1281" t="str">
            <v>Quikcell</v>
          </cell>
          <cell r="B1281">
            <v>42991003</v>
          </cell>
          <cell r="C1281" t="str">
            <v>DRIVEDOCK-C</v>
          </cell>
          <cell r="D1281" t="str">
            <v>846537082672</v>
          </cell>
          <cell r="E1281" t="str">
            <v>Quikcell Mount+Suction+Vent 2 in 1 air vent Dashboad Car Mount Charge</v>
          </cell>
          <cell r="F1281" t="str">
            <v>Hardware</v>
          </cell>
          <cell r="G1281" t="str">
            <v>Car Mount</v>
          </cell>
          <cell r="H1281" t="str">
            <v>Car Mount</v>
          </cell>
          <cell r="I1281">
            <v>590.98</v>
          </cell>
          <cell r="J1281">
            <v>0.14200650813516902</v>
          </cell>
          <cell r="K1281">
            <v>799</v>
          </cell>
          <cell r="L1281" t="str">
            <v>Coppel</v>
          </cell>
          <cell r="M1281" t="str">
            <v>Discontinued</v>
          </cell>
          <cell r="N1281" t="str">
            <v>DRIVEDOCK-C-M</v>
          </cell>
        </row>
        <row r="1282">
          <cell r="A1282" t="str">
            <v>Quikcell</v>
          </cell>
          <cell r="B1282">
            <v>42991002</v>
          </cell>
          <cell r="C1282" t="str">
            <v>DRIVEDOCK</v>
          </cell>
          <cell r="D1282" t="str">
            <v>846537082122</v>
          </cell>
          <cell r="E1282" t="str">
            <v>Quikcell Mount+Suction+Vent 2 in 1 air vent Dashboad Car Mount</v>
          </cell>
          <cell r="F1282" t="str">
            <v>Hardware</v>
          </cell>
          <cell r="G1282" t="str">
            <v>Car Mount</v>
          </cell>
          <cell r="H1282" t="str">
            <v>Car Mount</v>
          </cell>
          <cell r="I1282">
            <v>295.12</v>
          </cell>
          <cell r="J1282">
            <v>0.14200701754385958</v>
          </cell>
          <cell r="K1282">
            <v>399</v>
          </cell>
          <cell r="L1282" t="str">
            <v>Coppel</v>
          </cell>
          <cell r="M1282" t="str">
            <v>Discontinued</v>
          </cell>
          <cell r="N1282" t="str">
            <v>DRIVEDOCK-M</v>
          </cell>
        </row>
        <row r="1283">
          <cell r="A1283" t="str">
            <v>Quikcell</v>
          </cell>
          <cell r="B1283">
            <v>42771005</v>
          </cell>
          <cell r="C1283" t="str">
            <v>GP-IP21S-M</v>
          </cell>
          <cell r="D1283" t="str">
            <v>846537083464</v>
          </cell>
          <cell r="E1283" t="str">
            <v>Quikcell Goof Proof Tempered Glass for iPhone 13 mini</v>
          </cell>
          <cell r="F1283" t="str">
            <v>Micas</v>
          </cell>
          <cell r="G1283" t="str">
            <v>iPhone 13</v>
          </cell>
          <cell r="H1283" t="str">
            <v>iPhone 13 mini</v>
          </cell>
          <cell r="I1283">
            <v>443.05</v>
          </cell>
          <cell r="J1283">
            <v>0.14200667779632725</v>
          </cell>
          <cell r="K1283">
            <v>599</v>
          </cell>
          <cell r="L1283" t="str">
            <v>Coppel</v>
          </cell>
          <cell r="M1283" t="str">
            <v>Discontinued</v>
          </cell>
          <cell r="N1283" t="str">
            <v>GP-IP21S-M</v>
          </cell>
        </row>
        <row r="1284">
          <cell r="A1284" t="str">
            <v>Quikcell</v>
          </cell>
          <cell r="B1284">
            <v>42771004</v>
          </cell>
          <cell r="C1284" t="str">
            <v>GP-IP21L-M</v>
          </cell>
          <cell r="D1284" t="str">
            <v>846537083716</v>
          </cell>
          <cell r="E1284" t="str">
            <v>Quikcell Goof Proof Tempered Glass for iPhone 13 Pro Max</v>
          </cell>
          <cell r="F1284" t="str">
            <v>Micas</v>
          </cell>
          <cell r="G1284" t="str">
            <v>iPhone 13</v>
          </cell>
          <cell r="H1284" t="str">
            <v>iPhone 13 Pro Max</v>
          </cell>
          <cell r="I1284">
            <v>443.05</v>
          </cell>
          <cell r="J1284">
            <v>0.14200667779632725</v>
          </cell>
          <cell r="K1284">
            <v>599</v>
          </cell>
          <cell r="L1284" t="str">
            <v>Coppel</v>
          </cell>
          <cell r="M1284" t="str">
            <v>Discontinued</v>
          </cell>
          <cell r="N1284" t="str">
            <v>GP-IP21L-M</v>
          </cell>
        </row>
        <row r="1285">
          <cell r="A1285" t="str">
            <v>Quikcell</v>
          </cell>
          <cell r="B1285">
            <v>42771003</v>
          </cell>
          <cell r="C1285" t="str">
            <v>GP-IP21M-M</v>
          </cell>
          <cell r="D1285" t="str">
            <v>846537083587</v>
          </cell>
          <cell r="E1285" t="str">
            <v>Quikcell Goof Proof Tempered Glass for iPhone 13/13 Pro</v>
          </cell>
          <cell r="F1285" t="str">
            <v>Micas</v>
          </cell>
          <cell r="G1285" t="str">
            <v>iPhone 13</v>
          </cell>
          <cell r="H1285" t="str">
            <v>iPhone 13/13 Pro</v>
          </cell>
          <cell r="I1285">
            <v>443.05</v>
          </cell>
          <cell r="J1285">
            <v>0.14200667779632725</v>
          </cell>
          <cell r="K1285">
            <v>599</v>
          </cell>
          <cell r="L1285" t="str">
            <v>Coppel</v>
          </cell>
          <cell r="M1285" t="str">
            <v>Discontinued</v>
          </cell>
          <cell r="N1285" t="str">
            <v>GP-IP21M-M</v>
          </cell>
        </row>
        <row r="1286">
          <cell r="A1286" t="str">
            <v>Quikcell</v>
          </cell>
          <cell r="B1286">
            <v>40851001</v>
          </cell>
          <cell r="C1286" t="str">
            <v>LIQUIDGTAB</v>
          </cell>
          <cell r="D1286" t="str">
            <v>846537083037</v>
          </cell>
          <cell r="E1286" t="str">
            <v>Quikcell ULTRA TABLET Liquid Glass Screen Protector</v>
          </cell>
          <cell r="F1286" t="str">
            <v>Micas</v>
          </cell>
          <cell r="G1286" t="str">
            <v>UNIVERSAL</v>
          </cell>
          <cell r="H1286" t="str">
            <v>Tablet</v>
          </cell>
          <cell r="I1286">
            <v>517.02</v>
          </cell>
          <cell r="J1286">
            <v>0.14199828326180275</v>
          </cell>
          <cell r="K1286">
            <v>699</v>
          </cell>
          <cell r="L1286" t="str">
            <v>Coppel</v>
          </cell>
          <cell r="M1286" t="str">
            <v>Discontinued</v>
          </cell>
          <cell r="N1286" t="str">
            <v>LIQUIDGTAB-M</v>
          </cell>
        </row>
        <row r="1287">
          <cell r="A1287" t="str">
            <v>Quikcell</v>
          </cell>
          <cell r="B1287">
            <v>42771008</v>
          </cell>
          <cell r="C1287" t="str">
            <v>QC-LIQUIDG</v>
          </cell>
          <cell r="D1287" t="str">
            <v>846537071317</v>
          </cell>
          <cell r="E1287" t="str">
            <v>Quikcell Ultra LIQUID GLASS Screen Protector</v>
          </cell>
          <cell r="F1287" t="str">
            <v>Micas</v>
          </cell>
          <cell r="G1287" t="str">
            <v>UNIVERSAL</v>
          </cell>
          <cell r="H1287" t="str">
            <v>Universal</v>
          </cell>
          <cell r="I1287">
            <v>369.09</v>
          </cell>
          <cell r="J1287">
            <v>0.14199519038076158</v>
          </cell>
          <cell r="K1287">
            <v>499</v>
          </cell>
          <cell r="L1287" t="str">
            <v>Coppel</v>
          </cell>
          <cell r="M1287" t="str">
            <v>Discontinued</v>
          </cell>
          <cell r="N1287" t="str">
            <v>QC-LIQUIDG-M</v>
          </cell>
        </row>
        <row r="1288">
          <cell r="A1288" t="str">
            <v>Quikcell</v>
          </cell>
          <cell r="B1288">
            <v>32010407</v>
          </cell>
          <cell r="C1288" t="str">
            <v>CTPRO2-BLK</v>
          </cell>
          <cell r="D1288" t="str">
            <v>846537071317</v>
          </cell>
          <cell r="E1288" t="str">
            <v>Quikcell Cross Trainer Pro II Sports Stereo Bluetooth Earphones - Black</v>
          </cell>
          <cell r="F1288" t="str">
            <v>Audio</v>
          </cell>
          <cell r="G1288" t="str">
            <v>HEADPHONE WIRELESS</v>
          </cell>
          <cell r="H1288" t="str">
            <v>In Ear</v>
          </cell>
          <cell r="I1288">
            <v>369.09</v>
          </cell>
          <cell r="J1288">
            <v>0.14199519038076158</v>
          </cell>
          <cell r="K1288">
            <v>499</v>
          </cell>
          <cell r="L1288" t="str">
            <v>Elektra</v>
          </cell>
          <cell r="M1288" t="str">
            <v>Discontinued</v>
          </cell>
          <cell r="N1288" t="str">
            <v>CTPRO2-BLK-M</v>
          </cell>
        </row>
        <row r="1289">
          <cell r="A1289" t="str">
            <v>Quikcell</v>
          </cell>
          <cell r="B1289">
            <v>32010406</v>
          </cell>
          <cell r="C1289" t="str">
            <v>QAIR-BUDS</v>
          </cell>
          <cell r="D1289" t="str">
            <v>846537063060</v>
          </cell>
          <cell r="E1289" t="str">
            <v>Quikcell QAIR BUDS True Wireless Earbuds with Charging Case - Black</v>
          </cell>
          <cell r="F1289" t="str">
            <v>Audio</v>
          </cell>
          <cell r="G1289" t="str">
            <v>Headphones Wireless</v>
          </cell>
          <cell r="H1289" t="str">
            <v>QAir</v>
          </cell>
          <cell r="I1289">
            <v>245.2</v>
          </cell>
          <cell r="J1289">
            <v>0.42999599198396798</v>
          </cell>
          <cell r="K1289">
            <v>499</v>
          </cell>
          <cell r="L1289" t="str">
            <v>Elektra</v>
          </cell>
          <cell r="M1289" t="str">
            <v>Discontinued</v>
          </cell>
          <cell r="N1289" t="str">
            <v>QAIR-BUDS-M</v>
          </cell>
        </row>
        <row r="1290">
          <cell r="A1290" t="str">
            <v>Quikcell</v>
          </cell>
          <cell r="B1290">
            <v>852810</v>
          </cell>
          <cell r="C1290" t="str">
            <v>QTYPECA6FT</v>
          </cell>
          <cell r="D1290" t="str">
            <v>846537068881</v>
          </cell>
          <cell r="E1290" t="str">
            <v>Quikcell CHARGE &amp; SYNC CABLE USB-A to USB-C - 6 ft - Black</v>
          </cell>
          <cell r="F1290" t="str">
            <v>Cables</v>
          </cell>
          <cell r="G1290" t="str">
            <v>Type C</v>
          </cell>
          <cell r="H1290" t="str">
            <v>6 ft</v>
          </cell>
          <cell r="I1290">
            <v>490.89</v>
          </cell>
          <cell r="J1290">
            <v>0.4299975975975977</v>
          </cell>
          <cell r="K1290">
            <v>999</v>
          </cell>
          <cell r="L1290" t="str">
            <v>Elektra</v>
          </cell>
          <cell r="M1290" t="str">
            <v>Discontinued</v>
          </cell>
          <cell r="N1290" t="str">
            <v>QTYPECA6FT-M</v>
          </cell>
        </row>
        <row r="1291">
          <cell r="A1291" t="str">
            <v>Quikcell</v>
          </cell>
          <cell r="B1291">
            <v>852811</v>
          </cell>
          <cell r="C1291" t="str">
            <v>QTRC2001</v>
          </cell>
          <cell r="D1291" t="str">
            <v>846537077043</v>
          </cell>
          <cell r="E1291" t="str">
            <v>Quikcell DUAL PORT WALL CHARGER  2 USB A x 12W - 24W</v>
          </cell>
          <cell r="F1291" t="str">
            <v>Charger</v>
          </cell>
          <cell r="G1291" t="str">
            <v>Wall charger</v>
          </cell>
          <cell r="H1291" t="str">
            <v>24 W</v>
          </cell>
          <cell r="I1291">
            <v>146.91999999999999</v>
          </cell>
          <cell r="J1291">
            <v>0.43000936454849503</v>
          </cell>
          <cell r="K1291">
            <v>299</v>
          </cell>
          <cell r="L1291" t="str">
            <v>Elektra</v>
          </cell>
          <cell r="M1291" t="str">
            <v>Discontinued</v>
          </cell>
          <cell r="N1291" t="str">
            <v>QTRC2001-M</v>
          </cell>
        </row>
        <row r="1292">
          <cell r="A1292" t="str">
            <v>Quikcell</v>
          </cell>
          <cell r="B1292">
            <v>852812</v>
          </cell>
          <cell r="C1292" t="str">
            <v>QTRC2002</v>
          </cell>
          <cell r="D1292" t="str">
            <v>846537077005</v>
          </cell>
          <cell r="E1292" t="str">
            <v>Quikcell DUAL PORT WALL CHARGER 1 USB A 12W + USB C PD 20W - 32W</v>
          </cell>
          <cell r="F1292" t="str">
            <v>Charger</v>
          </cell>
          <cell r="G1292" t="str">
            <v>Wall charger</v>
          </cell>
          <cell r="H1292" t="str">
            <v>32 W</v>
          </cell>
          <cell r="I1292">
            <v>245.2</v>
          </cell>
          <cell r="J1292">
            <v>0.42999599198396798</v>
          </cell>
          <cell r="K1292">
            <v>499</v>
          </cell>
          <cell r="L1292" t="str">
            <v>Elektra</v>
          </cell>
          <cell r="M1292" t="str">
            <v>Discontinued</v>
          </cell>
          <cell r="N1292" t="str">
            <v>QTRC2002-M</v>
          </cell>
        </row>
        <row r="1293">
          <cell r="A1293" t="str">
            <v>Quikcell</v>
          </cell>
          <cell r="B1293">
            <v>852809</v>
          </cell>
          <cell r="C1293" t="str">
            <v>QC-LIQUIDG</v>
          </cell>
          <cell r="D1293" t="str">
            <v>846537077012</v>
          </cell>
          <cell r="E1293" t="str">
            <v>Quikcell Ultra LIQUID GLASS Screen Protector</v>
          </cell>
          <cell r="F1293" t="str">
            <v>Micas</v>
          </cell>
          <cell r="G1293" t="str">
            <v>UNIVERSAL</v>
          </cell>
          <cell r="H1293" t="str">
            <v>Universal</v>
          </cell>
          <cell r="I1293">
            <v>294.33999999999997</v>
          </cell>
          <cell r="J1293">
            <v>0.42999265442404022</v>
          </cell>
          <cell r="K1293">
            <v>599</v>
          </cell>
          <cell r="L1293" t="str">
            <v>Elektra</v>
          </cell>
          <cell r="M1293" t="str">
            <v>Discontinued</v>
          </cell>
          <cell r="N1293" t="str">
            <v>QC-LIQUIDG-M</v>
          </cell>
        </row>
        <row r="1294">
          <cell r="A1294" t="str">
            <v>Cubitt</v>
          </cell>
          <cell r="B1294">
            <v>141604451</v>
          </cell>
          <cell r="C1294" t="str">
            <v>CT-SCALE</v>
          </cell>
          <cell r="D1294" t="str">
            <v>725330927543</v>
          </cell>
          <cell r="E1294" t="str">
            <v>Cubitt Scale Obsidian Black</v>
          </cell>
          <cell r="F1294" t="str">
            <v>Wearable</v>
          </cell>
          <cell r="G1294" t="str">
            <v>Scale</v>
          </cell>
          <cell r="H1294" t="str">
            <v>CT-SCALE</v>
          </cell>
          <cell r="I1294">
            <v>387</v>
          </cell>
          <cell r="J1294">
            <v>0.55063063063063067</v>
          </cell>
          <cell r="K1294">
            <v>999</v>
          </cell>
          <cell r="L1294" t="str">
            <v>GNC</v>
          </cell>
          <cell r="M1294" t="str">
            <v>Active</v>
          </cell>
          <cell r="N1294" t="str">
            <v>CT-SCALE</v>
          </cell>
        </row>
        <row r="1295">
          <cell r="A1295" t="str">
            <v>Cubitt</v>
          </cell>
          <cell r="B1295">
            <v>141604452</v>
          </cell>
          <cell r="C1295" t="str">
            <v>CTK-1</v>
          </cell>
          <cell r="D1295" t="str">
            <v>719284923645</v>
          </cell>
          <cell r="E1295" t="str">
            <v>Cubitt Scale Mini Obsidian Black</v>
          </cell>
          <cell r="F1295" t="str">
            <v>Wearable</v>
          </cell>
          <cell r="G1295" t="str">
            <v>Scale</v>
          </cell>
          <cell r="H1295" t="str">
            <v>CTK</v>
          </cell>
          <cell r="I1295">
            <v>310</v>
          </cell>
          <cell r="J1295">
            <v>0.54993742177722149</v>
          </cell>
          <cell r="K1295">
            <v>799</v>
          </cell>
          <cell r="L1295" t="str">
            <v>GNC</v>
          </cell>
          <cell r="M1295" t="str">
            <v>Active</v>
          </cell>
          <cell r="N1295" t="str">
            <v>CTK-1</v>
          </cell>
        </row>
        <row r="1296">
          <cell r="A1296" t="str">
            <v>Cubitt</v>
          </cell>
          <cell r="B1296">
            <v>1125174023</v>
          </cell>
          <cell r="C1296" t="str">
            <v>CT-SCALE7</v>
          </cell>
          <cell r="D1296" t="str">
            <v>715834798534</v>
          </cell>
          <cell r="E1296" t="str">
            <v>Cubitt Scale Alpine White</v>
          </cell>
          <cell r="F1296" t="str">
            <v>Wearable</v>
          </cell>
          <cell r="G1296" t="str">
            <v>Scale</v>
          </cell>
          <cell r="H1296" t="str">
            <v>CT-SCALE</v>
          </cell>
          <cell r="I1296">
            <v>628.67999999999995</v>
          </cell>
          <cell r="J1296">
            <v>0.2700012012012013</v>
          </cell>
          <cell r="K1296">
            <v>999</v>
          </cell>
          <cell r="L1296" t="str">
            <v>Liverpool</v>
          </cell>
          <cell r="M1296" t="str">
            <v>Discontinued</v>
          </cell>
          <cell r="N1296" t="str">
            <v>CT-SCALE7</v>
          </cell>
        </row>
        <row r="1297">
          <cell r="A1297" t="str">
            <v>Cubitt</v>
          </cell>
          <cell r="B1297">
            <v>1125173418</v>
          </cell>
          <cell r="C1297" t="str">
            <v>CT-SCALE</v>
          </cell>
          <cell r="D1297" t="str">
            <v>725330927543</v>
          </cell>
          <cell r="E1297" t="str">
            <v>Cubitt Scale Obsidian Black</v>
          </cell>
          <cell r="F1297" t="str">
            <v>Wearable</v>
          </cell>
          <cell r="G1297" t="str">
            <v>Scale</v>
          </cell>
          <cell r="H1297" t="str">
            <v>CT-SCALE</v>
          </cell>
          <cell r="I1297">
            <v>628.67999999999995</v>
          </cell>
          <cell r="J1297">
            <v>0.2700012012012013</v>
          </cell>
          <cell r="K1297">
            <v>999</v>
          </cell>
          <cell r="L1297" t="str">
            <v>Liverpool</v>
          </cell>
          <cell r="M1297" t="str">
            <v>Discontinued</v>
          </cell>
          <cell r="N1297" t="str">
            <v>CT-SCALE</v>
          </cell>
        </row>
        <row r="1298">
          <cell r="A1298" t="str">
            <v>Cubitt</v>
          </cell>
          <cell r="B1298">
            <v>1125271134</v>
          </cell>
          <cell r="C1298" t="str">
            <v>CTK-7</v>
          </cell>
          <cell r="D1298" t="str">
            <v>719284923652</v>
          </cell>
          <cell r="E1298" t="str">
            <v>Cubitt Scale Mini Alpine White</v>
          </cell>
          <cell r="F1298" t="str">
            <v>Wearable</v>
          </cell>
          <cell r="G1298" t="str">
            <v>Scale</v>
          </cell>
          <cell r="H1298" t="str">
            <v>CTK</v>
          </cell>
          <cell r="I1298">
            <v>502.82</v>
          </cell>
          <cell r="J1298">
            <v>0.26999849812265342</v>
          </cell>
          <cell r="K1298">
            <v>799</v>
          </cell>
          <cell r="L1298" t="str">
            <v>Liverpool</v>
          </cell>
          <cell r="M1298" t="str">
            <v>Discontinued</v>
          </cell>
          <cell r="N1298" t="str">
            <v>CTK-7</v>
          </cell>
        </row>
        <row r="1299">
          <cell r="A1299" t="str">
            <v>Cubitt</v>
          </cell>
          <cell r="B1299">
            <v>1124935284</v>
          </cell>
          <cell r="C1299" t="str">
            <v>CT1S2-11</v>
          </cell>
          <cell r="D1299" t="str">
            <v>719284923812</v>
          </cell>
          <cell r="E1299" t="str">
            <v>Cubitt CT1 Black</v>
          </cell>
          <cell r="F1299" t="str">
            <v>Wearable</v>
          </cell>
          <cell r="G1299" t="str">
            <v>Smartwatch</v>
          </cell>
          <cell r="H1299" t="str">
            <v>CT1S2</v>
          </cell>
          <cell r="I1299">
            <v>943.34</v>
          </cell>
          <cell r="J1299">
            <v>0.26999706470980656</v>
          </cell>
          <cell r="K1299">
            <v>1499</v>
          </cell>
          <cell r="L1299" t="str">
            <v>Liverpool</v>
          </cell>
          <cell r="M1299" t="str">
            <v>Discontinued</v>
          </cell>
          <cell r="N1299" t="str">
            <v>CT1S2-11</v>
          </cell>
        </row>
        <row r="1300">
          <cell r="A1300" t="str">
            <v>Cubitt</v>
          </cell>
          <cell r="B1300">
            <v>1124888359</v>
          </cell>
          <cell r="C1300" t="str">
            <v>CT2P2-11</v>
          </cell>
          <cell r="D1300" t="str">
            <v>719284924284</v>
          </cell>
          <cell r="E1300" t="str">
            <v>Cubitt CT2P Obsidian Black</v>
          </cell>
          <cell r="F1300" t="str">
            <v>Wearable</v>
          </cell>
          <cell r="G1300" t="str">
            <v>Smartwatch</v>
          </cell>
          <cell r="H1300" t="str">
            <v>CT2P2</v>
          </cell>
          <cell r="I1300">
            <v>1509.72</v>
          </cell>
          <cell r="J1300">
            <v>0.26999783243017927</v>
          </cell>
          <cell r="K1300">
            <v>2399</v>
          </cell>
          <cell r="L1300" t="str">
            <v>Liverpool</v>
          </cell>
          <cell r="M1300" t="str">
            <v>Discontinued</v>
          </cell>
          <cell r="N1300" t="str">
            <v>CT2P2-11</v>
          </cell>
        </row>
        <row r="1301">
          <cell r="A1301" t="str">
            <v>Cubitt</v>
          </cell>
          <cell r="B1301">
            <v>1124888375</v>
          </cell>
          <cell r="C1301" t="str">
            <v>CT4G-11</v>
          </cell>
          <cell r="D1301" t="str">
            <v>719284923928</v>
          </cell>
          <cell r="E1301" t="str">
            <v>Cubitt CT4P Black</v>
          </cell>
          <cell r="F1301" t="str">
            <v>Wearable</v>
          </cell>
          <cell r="G1301" t="str">
            <v>Smartwatch</v>
          </cell>
          <cell r="H1301" t="str">
            <v>CT4GPS</v>
          </cell>
          <cell r="I1301">
            <v>1887.3</v>
          </cell>
          <cell r="J1301">
            <v>0.27000066688896318</v>
          </cell>
          <cell r="K1301">
            <v>2999</v>
          </cell>
          <cell r="L1301" t="str">
            <v>Liverpool</v>
          </cell>
          <cell r="M1301" t="str">
            <v>Discontinued</v>
          </cell>
          <cell r="N1301" t="str">
            <v>CT4G-11</v>
          </cell>
        </row>
        <row r="1302">
          <cell r="A1302" t="str">
            <v>Cubitt</v>
          </cell>
          <cell r="B1302">
            <v>1124888383</v>
          </cell>
          <cell r="C1302" t="str">
            <v>CTJR-1</v>
          </cell>
          <cell r="D1302" t="str">
            <v>719284924109</v>
          </cell>
          <cell r="E1302" t="str">
            <v>Cubitt Jr Kids Black</v>
          </cell>
          <cell r="F1302" t="str">
            <v>Wearable</v>
          </cell>
          <cell r="G1302" t="str">
            <v>Smartwatch</v>
          </cell>
          <cell r="H1302" t="str">
            <v>CTJR</v>
          </cell>
          <cell r="I1302">
            <v>1006.27</v>
          </cell>
          <cell r="J1302">
            <v>0.26999799874921837</v>
          </cell>
          <cell r="K1302">
            <v>1599</v>
          </cell>
          <cell r="L1302" t="str">
            <v>Liverpool</v>
          </cell>
          <cell r="M1302" t="str">
            <v>Discontinued</v>
          </cell>
          <cell r="N1302" t="str">
            <v>CTJR-1</v>
          </cell>
        </row>
        <row r="1303">
          <cell r="A1303" t="str">
            <v>Hypergear</v>
          </cell>
          <cell r="B1303">
            <v>1122641453</v>
          </cell>
          <cell r="C1303">
            <v>15559</v>
          </cell>
          <cell r="D1303" t="str">
            <v>633755155598</v>
          </cell>
          <cell r="E1303" t="str">
            <v>7-in-1 Complete Tech Cleaning Kit</v>
          </cell>
          <cell r="F1303" t="str">
            <v>Accesories</v>
          </cell>
          <cell r="G1303" t="str">
            <v>Clean</v>
          </cell>
          <cell r="H1303" t="str">
            <v>7-1</v>
          </cell>
          <cell r="I1303">
            <v>376.96</v>
          </cell>
          <cell r="J1303">
            <v>0.26999398998330559</v>
          </cell>
          <cell r="K1303">
            <v>599</v>
          </cell>
          <cell r="L1303" t="str">
            <v>Liverpool</v>
          </cell>
          <cell r="M1303" t="str">
            <v>Discontinued</v>
          </cell>
          <cell r="N1303" t="str">
            <v>15559-M</v>
          </cell>
        </row>
        <row r="1304">
          <cell r="A1304" t="str">
            <v>Hypergear</v>
          </cell>
          <cell r="B1304">
            <v>1124895380</v>
          </cell>
          <cell r="C1304">
            <v>15352</v>
          </cell>
          <cell r="D1304" t="str">
            <v>633755153525</v>
          </cell>
          <cell r="E1304" t="str">
            <v>Naztech Xpods Pro TWS with Wireless Charging Case Red</v>
          </cell>
          <cell r="F1304" t="str">
            <v>Audio</v>
          </cell>
          <cell r="G1304" t="str">
            <v>Headphones</v>
          </cell>
          <cell r="H1304" t="str">
            <v>In Ear</v>
          </cell>
          <cell r="I1304">
            <v>1100.6600000000001</v>
          </cell>
          <cell r="J1304">
            <v>0.2700025157232705</v>
          </cell>
          <cell r="K1304">
            <v>1749</v>
          </cell>
          <cell r="L1304" t="str">
            <v>Liverpool</v>
          </cell>
          <cell r="M1304" t="str">
            <v>Discontinued</v>
          </cell>
          <cell r="N1304" t="str">
            <v>15352-M</v>
          </cell>
        </row>
        <row r="1305">
          <cell r="A1305" t="str">
            <v>Hypergear</v>
          </cell>
          <cell r="B1305">
            <v>1124895398</v>
          </cell>
          <cell r="C1305">
            <v>15432</v>
          </cell>
          <cell r="D1305" t="str">
            <v>633755154324</v>
          </cell>
          <cell r="E1305" t="str">
            <v xml:space="preserve">Naztech Xpods Pro TWS with Wireless Charging Case Blue
</v>
          </cell>
          <cell r="F1305" t="str">
            <v>Audio</v>
          </cell>
          <cell r="G1305" t="str">
            <v>Headphones</v>
          </cell>
          <cell r="H1305" t="str">
            <v>In Ear</v>
          </cell>
          <cell r="I1305">
            <v>1100.6600000000001</v>
          </cell>
          <cell r="J1305">
            <v>0.2700025157232705</v>
          </cell>
          <cell r="K1305">
            <v>1749</v>
          </cell>
          <cell r="L1305" t="str">
            <v>Liverpool</v>
          </cell>
          <cell r="M1305" t="str">
            <v>Discontinued</v>
          </cell>
          <cell r="N1305" t="str">
            <v>15432-M</v>
          </cell>
        </row>
        <row r="1306">
          <cell r="A1306" t="str">
            <v>Hypergear</v>
          </cell>
          <cell r="B1306">
            <v>1124895401</v>
          </cell>
          <cell r="C1306">
            <v>15350</v>
          </cell>
          <cell r="D1306" t="str">
            <v>633755153501</v>
          </cell>
          <cell r="E1306" t="str">
            <v>Naztech Xpods Pro TWS with Wireless Charging Case White</v>
          </cell>
          <cell r="F1306" t="str">
            <v>Audio</v>
          </cell>
          <cell r="G1306" t="str">
            <v>Headphones</v>
          </cell>
          <cell r="H1306" t="str">
            <v>In Ear</v>
          </cell>
          <cell r="I1306">
            <v>1100.6600000000001</v>
          </cell>
          <cell r="J1306">
            <v>0.2700025157232705</v>
          </cell>
          <cell r="K1306">
            <v>1749</v>
          </cell>
          <cell r="L1306" t="str">
            <v>Liverpool</v>
          </cell>
          <cell r="M1306" t="str">
            <v>Discontinued</v>
          </cell>
          <cell r="N1306" t="str">
            <v>15350-M</v>
          </cell>
        </row>
        <row r="1307">
          <cell r="A1307" t="str">
            <v>Hypergear</v>
          </cell>
          <cell r="B1307">
            <v>1125057604</v>
          </cell>
          <cell r="C1307">
            <v>15351</v>
          </cell>
          <cell r="D1307" t="str">
            <v>633755153518</v>
          </cell>
          <cell r="E1307" t="str">
            <v xml:space="preserve">Naztech Xpods Pro TWS with Wireless Charging Case Black
</v>
          </cell>
          <cell r="F1307" t="str">
            <v>Audio</v>
          </cell>
          <cell r="G1307" t="str">
            <v>Headphones</v>
          </cell>
          <cell r="H1307" t="str">
            <v>In Ear</v>
          </cell>
          <cell r="I1307">
            <v>1100.6600000000001</v>
          </cell>
          <cell r="J1307">
            <v>0.2700025157232705</v>
          </cell>
          <cell r="K1307">
            <v>1749</v>
          </cell>
          <cell r="L1307" t="str">
            <v>Liverpool</v>
          </cell>
          <cell r="M1307" t="str">
            <v>Discontinued</v>
          </cell>
          <cell r="N1307" t="str">
            <v>15351-M</v>
          </cell>
        </row>
        <row r="1308">
          <cell r="A1308" t="str">
            <v>Hypergear</v>
          </cell>
          <cell r="B1308">
            <v>1122601541</v>
          </cell>
          <cell r="C1308">
            <v>15593</v>
          </cell>
          <cell r="D1308" t="str">
            <v>633755155932</v>
          </cell>
          <cell r="E1308" t="str">
            <v>Naztech MaxDrive7 Universal USB-C Adapter Hub Space Grey</v>
          </cell>
          <cell r="F1308" t="str">
            <v>Cables</v>
          </cell>
          <cell r="G1308" t="str">
            <v>Hub</v>
          </cell>
          <cell r="H1308" t="str">
            <v>ALL IN ONE</v>
          </cell>
          <cell r="I1308">
            <v>1195.06</v>
          </cell>
          <cell r="J1308">
            <v>0.2700002106371775</v>
          </cell>
          <cell r="K1308">
            <v>1899</v>
          </cell>
          <cell r="L1308" t="str">
            <v>Liverpool</v>
          </cell>
          <cell r="M1308" t="str">
            <v>Discontinued</v>
          </cell>
          <cell r="N1308" t="str">
            <v>15593-M</v>
          </cell>
        </row>
        <row r="1309">
          <cell r="A1309" t="str">
            <v>Hypergear</v>
          </cell>
          <cell r="B1309">
            <v>43101247</v>
          </cell>
          <cell r="C1309">
            <v>13632</v>
          </cell>
          <cell r="D1309" t="str">
            <v>633755136320</v>
          </cell>
          <cell r="E1309" t="str">
            <v>Naztech MFI Lightning Charge/Sync USB Braided Cbl 4ft Rse Gld</v>
          </cell>
          <cell r="F1309" t="str">
            <v>Cables</v>
          </cell>
          <cell r="G1309" t="str">
            <v>Lightning</v>
          </cell>
          <cell r="H1309" t="str">
            <v>4 ft</v>
          </cell>
          <cell r="J1309">
            <v>1</v>
          </cell>
          <cell r="K1309">
            <v>649</v>
          </cell>
          <cell r="L1309" t="str">
            <v>Liverpool</v>
          </cell>
          <cell r="M1309" t="str">
            <v>Discontinued</v>
          </cell>
          <cell r="N1309" t="str">
            <v>13632-M</v>
          </cell>
        </row>
        <row r="1310">
          <cell r="A1310" t="str">
            <v>Hypergear</v>
          </cell>
          <cell r="B1310">
            <v>1122610175</v>
          </cell>
          <cell r="C1310">
            <v>15498</v>
          </cell>
          <cell r="D1310" t="str">
            <v>633755154980</v>
          </cell>
          <cell r="E1310" t="str">
            <v>Naztech Titanium USB-C to Lightning Braided Cable 6ft White</v>
          </cell>
          <cell r="F1310" t="str">
            <v>Cables</v>
          </cell>
          <cell r="G1310" t="str">
            <v>Type C - Type C</v>
          </cell>
          <cell r="H1310" t="str">
            <v>6 ft</v>
          </cell>
          <cell r="I1310">
            <v>502.82</v>
          </cell>
          <cell r="J1310">
            <v>0.26999849812265342</v>
          </cell>
          <cell r="K1310">
            <v>799</v>
          </cell>
          <cell r="L1310" t="str">
            <v>Liverpool</v>
          </cell>
          <cell r="M1310" t="str">
            <v>Discontinued</v>
          </cell>
          <cell r="N1310" t="str">
            <v>15498-M</v>
          </cell>
        </row>
        <row r="1311">
          <cell r="A1311" t="str">
            <v>Hypergear</v>
          </cell>
          <cell r="B1311">
            <v>1122610183</v>
          </cell>
          <cell r="C1311">
            <v>15497</v>
          </cell>
          <cell r="D1311" t="str">
            <v>633755154973</v>
          </cell>
          <cell r="E1311" t="str">
            <v>Naztech Titanium USB-C to Lightning Braided Cable 6ft Black</v>
          </cell>
          <cell r="F1311" t="str">
            <v>Cables</v>
          </cell>
          <cell r="G1311" t="str">
            <v>Type C - Type C</v>
          </cell>
          <cell r="H1311" t="str">
            <v>6 ft</v>
          </cell>
          <cell r="I1311">
            <v>502.82</v>
          </cell>
          <cell r="J1311">
            <v>0.26999849812265342</v>
          </cell>
          <cell r="K1311">
            <v>799</v>
          </cell>
          <cell r="L1311" t="str">
            <v>Liverpool</v>
          </cell>
          <cell r="M1311" t="str">
            <v>Discontinued</v>
          </cell>
          <cell r="N1311" t="str">
            <v>15497-M</v>
          </cell>
        </row>
        <row r="1312">
          <cell r="A1312" t="str">
            <v>Hypergear</v>
          </cell>
          <cell r="B1312">
            <v>1122641071</v>
          </cell>
          <cell r="C1312">
            <v>15555</v>
          </cell>
          <cell r="D1312" t="str">
            <v>633755155550</v>
          </cell>
          <cell r="E1312" t="str">
            <v>HyperGear Kombat Kitty Gaming Headset Purple</v>
          </cell>
          <cell r="F1312" t="str">
            <v>Gaming</v>
          </cell>
          <cell r="G1312" t="str">
            <v>Headset</v>
          </cell>
          <cell r="H1312" t="str">
            <v>Kombat</v>
          </cell>
          <cell r="I1312">
            <v>389.54</v>
          </cell>
          <cell r="J1312">
            <v>0.27000581583198713</v>
          </cell>
          <cell r="K1312">
            <v>619</v>
          </cell>
          <cell r="L1312" t="str">
            <v>Liverpool</v>
          </cell>
          <cell r="M1312" t="str">
            <v>Discontinued</v>
          </cell>
          <cell r="N1312" t="str">
            <v>15555-M</v>
          </cell>
        </row>
        <row r="1313">
          <cell r="A1313" t="str">
            <v>Hypergear</v>
          </cell>
          <cell r="B1313">
            <v>1122641089</v>
          </cell>
          <cell r="C1313">
            <v>15556</v>
          </cell>
          <cell r="D1313" t="str">
            <v>633755155567</v>
          </cell>
          <cell r="E1313" t="str">
            <v>HyperGear Kombat Kitty Gaming Headset Green</v>
          </cell>
          <cell r="F1313" t="str">
            <v>Gaming</v>
          </cell>
          <cell r="G1313" t="str">
            <v>Headset</v>
          </cell>
          <cell r="H1313" t="str">
            <v>Kombat</v>
          </cell>
          <cell r="I1313">
            <v>389.54</v>
          </cell>
          <cell r="J1313">
            <v>0.27000581583198713</v>
          </cell>
          <cell r="K1313">
            <v>619</v>
          </cell>
          <cell r="L1313" t="str">
            <v>Liverpool</v>
          </cell>
          <cell r="M1313" t="str">
            <v>Discontinued</v>
          </cell>
          <cell r="N1313" t="str">
            <v>15556-M</v>
          </cell>
        </row>
        <row r="1314">
          <cell r="A1314" t="str">
            <v>Hypergear</v>
          </cell>
          <cell r="B1314">
            <v>1122641097</v>
          </cell>
          <cell r="C1314">
            <v>15554</v>
          </cell>
          <cell r="D1314" t="str">
            <v>633755155543</v>
          </cell>
          <cell r="E1314" t="str">
            <v>HyperGear Kombat Kitty Gaming Headset Pink</v>
          </cell>
          <cell r="F1314" t="str">
            <v>Gaming</v>
          </cell>
          <cell r="G1314" t="str">
            <v>Headset</v>
          </cell>
          <cell r="H1314" t="str">
            <v>Kombat</v>
          </cell>
          <cell r="I1314">
            <v>389.54</v>
          </cell>
          <cell r="J1314">
            <v>0.27000581583198713</v>
          </cell>
          <cell r="K1314">
            <v>619</v>
          </cell>
          <cell r="L1314" t="str">
            <v>Liverpool</v>
          </cell>
          <cell r="M1314" t="str">
            <v>Discontinued</v>
          </cell>
          <cell r="N1314" t="str">
            <v>15554-M</v>
          </cell>
        </row>
        <row r="1315">
          <cell r="A1315" t="str">
            <v>Hypergear</v>
          </cell>
          <cell r="B1315">
            <v>1122597551</v>
          </cell>
          <cell r="C1315">
            <v>15597</v>
          </cell>
          <cell r="D1315" t="str">
            <v>633755155970</v>
          </cell>
          <cell r="E1315" t="str">
            <v>HyperGear HyperNova LED Strip Lights 10ft Multi-Color Multicolors</v>
          </cell>
          <cell r="F1315" t="str">
            <v>Gaming</v>
          </cell>
          <cell r="G1315" t="str">
            <v>Led Strip</v>
          </cell>
          <cell r="H1315" t="str">
            <v>10 ft</v>
          </cell>
          <cell r="I1315">
            <v>452.47</v>
          </cell>
          <cell r="J1315">
            <v>0.2700066759388039</v>
          </cell>
          <cell r="K1315">
            <v>719</v>
          </cell>
          <cell r="L1315" t="str">
            <v>Liverpool</v>
          </cell>
          <cell r="M1315" t="str">
            <v>Discontinued</v>
          </cell>
          <cell r="N1315" t="str">
            <v>15597-M</v>
          </cell>
        </row>
        <row r="1316">
          <cell r="A1316" t="str">
            <v>Hypergear</v>
          </cell>
          <cell r="B1316">
            <v>1122914549</v>
          </cell>
          <cell r="C1316">
            <v>15592</v>
          </cell>
          <cell r="D1316" t="str">
            <v>633755155925</v>
          </cell>
          <cell r="E1316" t="str">
            <v xml:space="preserve">Hypergear Sound Advantage: Pro-Audio Condenser Microphone Black
</v>
          </cell>
          <cell r="F1316" t="str">
            <v>Hardware</v>
          </cell>
          <cell r="G1316" t="str">
            <v>Mic</v>
          </cell>
          <cell r="H1316" t="str">
            <v>Mic</v>
          </cell>
          <cell r="I1316">
            <v>663.01</v>
          </cell>
          <cell r="J1316">
            <v>0.26683355576739753</v>
          </cell>
          <cell r="K1316">
            <v>1049</v>
          </cell>
          <cell r="L1316" t="str">
            <v>Liverpool</v>
          </cell>
          <cell r="M1316" t="str">
            <v>Discontinued</v>
          </cell>
          <cell r="N1316" t="str">
            <v>15592-M</v>
          </cell>
        </row>
        <row r="1317">
          <cell r="A1317" t="str">
            <v>Hypergear</v>
          </cell>
          <cell r="B1317">
            <v>1122597900</v>
          </cell>
          <cell r="C1317">
            <v>15437</v>
          </cell>
          <cell r="D1317" t="str">
            <v>633755154379</v>
          </cell>
          <cell r="E1317" t="str">
            <v xml:space="preserve">HyperGear SnapShot Wireless Selfie Stick + Tripod Black
</v>
          </cell>
          <cell r="F1317" t="str">
            <v>Hardware</v>
          </cell>
          <cell r="G1317" t="str">
            <v>Tripod</v>
          </cell>
          <cell r="H1317" t="str">
            <v>Selfie + Tripod</v>
          </cell>
          <cell r="I1317">
            <v>458.77</v>
          </cell>
          <cell r="J1317">
            <v>0.26999561042524012</v>
          </cell>
          <cell r="K1317">
            <v>729</v>
          </cell>
          <cell r="L1317" t="str">
            <v>Liverpool</v>
          </cell>
          <cell r="M1317" t="str">
            <v>Discontinued</v>
          </cell>
          <cell r="N1317" t="str">
            <v>15437-M</v>
          </cell>
        </row>
        <row r="1318">
          <cell r="A1318" t="str">
            <v>Moment</v>
          </cell>
          <cell r="C1318" t="str">
            <v>310-197</v>
          </cell>
          <cell r="D1318" t="str">
            <v>846537077333</v>
          </cell>
          <cell r="E1318" t="str">
            <v>Moment Case for iPhone 14 - Compatible with MagSafe - Black</v>
          </cell>
          <cell r="F1318" t="str">
            <v>Cases iPhone</v>
          </cell>
          <cell r="G1318" t="str">
            <v>iPhone 14</v>
          </cell>
          <cell r="H1318" t="str">
            <v>iPhone 14</v>
          </cell>
          <cell r="I1318">
            <v>628.67999999999995</v>
          </cell>
          <cell r="J1318">
            <v>0.2700012012012013</v>
          </cell>
          <cell r="K1318">
            <v>999</v>
          </cell>
          <cell r="L1318" t="str">
            <v>Liverpool</v>
          </cell>
          <cell r="M1318" t="str">
            <v>Discontinued</v>
          </cell>
          <cell r="N1318" t="str">
            <v>310-197-M</v>
          </cell>
        </row>
        <row r="1319">
          <cell r="A1319" t="str">
            <v>Moment</v>
          </cell>
          <cell r="C1319" t="str">
            <v>310-191</v>
          </cell>
          <cell r="D1319" t="str">
            <v>846537067464</v>
          </cell>
          <cell r="E1319" t="str">
            <v>Moment Case for iPhone 14 Max - Compatible with MagSafe - Black</v>
          </cell>
          <cell r="F1319" t="str">
            <v>Cases iPhone</v>
          </cell>
          <cell r="G1319" t="str">
            <v>iPhone 14</v>
          </cell>
          <cell r="H1319" t="str">
            <v>iPhone 14 Max</v>
          </cell>
          <cell r="I1319">
            <v>628.67999999999995</v>
          </cell>
          <cell r="J1319">
            <v>0.2700012012012013</v>
          </cell>
          <cell r="K1319">
            <v>999</v>
          </cell>
          <cell r="L1319" t="str">
            <v>Liverpool</v>
          </cell>
          <cell r="M1319" t="str">
            <v>Discontinued</v>
          </cell>
          <cell r="N1319" t="str">
            <v>310-191-M</v>
          </cell>
        </row>
        <row r="1320">
          <cell r="A1320" t="str">
            <v>Moment</v>
          </cell>
          <cell r="C1320" t="str">
            <v>310-185</v>
          </cell>
          <cell r="D1320" t="str">
            <v>846537070501</v>
          </cell>
          <cell r="E1320" t="str">
            <v>Moment Case for iPhone 14 Pro - Compatible with MagSafe - Black</v>
          </cell>
          <cell r="F1320" t="str">
            <v>Cases iPhone</v>
          </cell>
          <cell r="G1320" t="str">
            <v>iPhone 14</v>
          </cell>
          <cell r="H1320" t="str">
            <v>iPhone 14 Pro</v>
          </cell>
          <cell r="I1320">
            <v>628.67999999999995</v>
          </cell>
          <cell r="J1320">
            <v>0.2700012012012013</v>
          </cell>
          <cell r="K1320">
            <v>999</v>
          </cell>
          <cell r="L1320" t="str">
            <v>Liverpool</v>
          </cell>
          <cell r="M1320" t="str">
            <v>Discontinued</v>
          </cell>
          <cell r="N1320" t="str">
            <v>310-185-M</v>
          </cell>
        </row>
        <row r="1321">
          <cell r="A1321" t="str">
            <v>Moment</v>
          </cell>
          <cell r="C1321" t="str">
            <v>310-187</v>
          </cell>
          <cell r="D1321" t="str">
            <v>846537067440</v>
          </cell>
          <cell r="E1321" t="str">
            <v>Moment Case for iPhone 14 Pro - Compatible with MagSafe - Indigo</v>
          </cell>
          <cell r="F1321" t="str">
            <v>Cases iPhone</v>
          </cell>
          <cell r="G1321" t="str">
            <v>iPhone 14</v>
          </cell>
          <cell r="H1321" t="str">
            <v>iPhone 14 Pro</v>
          </cell>
          <cell r="I1321">
            <v>628.67999999999995</v>
          </cell>
          <cell r="J1321">
            <v>0.2700012012012013</v>
          </cell>
          <cell r="K1321">
            <v>999</v>
          </cell>
          <cell r="L1321" t="str">
            <v>Liverpool</v>
          </cell>
          <cell r="M1321" t="str">
            <v>Discontinued</v>
          </cell>
          <cell r="N1321" t="str">
            <v>310-187-M</v>
          </cell>
        </row>
        <row r="1322">
          <cell r="A1322" t="str">
            <v>Moment</v>
          </cell>
          <cell r="C1322" t="str">
            <v>310-179</v>
          </cell>
          <cell r="D1322" t="str">
            <v>846537067174</v>
          </cell>
          <cell r="E1322" t="str">
            <v>Moment Case for iPhone 14 Pro Max - Compatible with MagSafe - Black</v>
          </cell>
          <cell r="F1322" t="str">
            <v>Cases iPhone</v>
          </cell>
          <cell r="G1322" t="str">
            <v>iPhone 14</v>
          </cell>
          <cell r="H1322" t="str">
            <v>iPhone 14 Pro Max</v>
          </cell>
          <cell r="I1322">
            <v>628.67999999999995</v>
          </cell>
          <cell r="J1322">
            <v>0.2700012012012013</v>
          </cell>
          <cell r="K1322">
            <v>999</v>
          </cell>
          <cell r="L1322" t="str">
            <v>Liverpool</v>
          </cell>
          <cell r="M1322" t="str">
            <v>Discontinued</v>
          </cell>
          <cell r="N1322" t="str">
            <v>310-179-M</v>
          </cell>
        </row>
        <row r="1323">
          <cell r="A1323" t="str">
            <v>Moment</v>
          </cell>
          <cell r="C1323" t="str">
            <v>310-181</v>
          </cell>
          <cell r="D1323" t="str">
            <v>846537067211</v>
          </cell>
          <cell r="E1323" t="str">
            <v>Moment Case for iPhone 14 Pro Max - Compatible with MagSafe - Indigo</v>
          </cell>
          <cell r="F1323" t="str">
            <v>Cases iPhone</v>
          </cell>
          <cell r="G1323" t="str">
            <v>iPhone 14</v>
          </cell>
          <cell r="H1323" t="str">
            <v>iPhone 14 Pro Max</v>
          </cell>
          <cell r="I1323">
            <v>628.67999999999995</v>
          </cell>
          <cell r="J1323">
            <v>0.2700012012012013</v>
          </cell>
          <cell r="K1323">
            <v>999</v>
          </cell>
          <cell r="L1323" t="str">
            <v>Liverpool</v>
          </cell>
          <cell r="M1323" t="str">
            <v>Discontinued</v>
          </cell>
          <cell r="N1323" t="str">
            <v>310-181-M</v>
          </cell>
        </row>
        <row r="1324">
          <cell r="A1324" t="str">
            <v>Mophie</v>
          </cell>
          <cell r="B1324">
            <v>1122637219</v>
          </cell>
          <cell r="C1324">
            <v>401102246</v>
          </cell>
          <cell r="D1324" t="str">
            <v>848467079111</v>
          </cell>
          <cell r="E1324" t="str">
            <v>Mophie POWERSTATION (5000 mAh) with Lightning Connector - Black</v>
          </cell>
          <cell r="F1324" t="str">
            <v>Charger</v>
          </cell>
          <cell r="G1324" t="str">
            <v>Power Bank</v>
          </cell>
          <cell r="H1324" t="str">
            <v>5,000 mAh</v>
          </cell>
          <cell r="I1324">
            <v>376.96</v>
          </cell>
          <cell r="J1324">
            <v>0.26999398998330559</v>
          </cell>
          <cell r="K1324">
            <v>599</v>
          </cell>
          <cell r="L1324" t="str">
            <v>Liverpool</v>
          </cell>
          <cell r="M1324" t="str">
            <v>Discontinued</v>
          </cell>
          <cell r="N1324" t="str">
            <v>401102246-M</v>
          </cell>
        </row>
        <row r="1325">
          <cell r="A1325" t="str">
            <v>Mophie</v>
          </cell>
          <cell r="B1325">
            <v>1121796518</v>
          </cell>
          <cell r="C1325">
            <v>401101662</v>
          </cell>
          <cell r="D1325" t="str">
            <v>848467073980</v>
          </cell>
          <cell r="E1325" t="str">
            <v>Mophie POWERSTATION PLUS (6,000mAh) with Built-in Micro USB &amp; Lightning Cable + Extra USB-A Charging Port - Black</v>
          </cell>
          <cell r="F1325" t="str">
            <v>Charger</v>
          </cell>
          <cell r="G1325" t="str">
            <v>Power Bank</v>
          </cell>
          <cell r="H1325" t="str">
            <v>6,000 mAh</v>
          </cell>
          <cell r="I1325">
            <v>502.82</v>
          </cell>
          <cell r="J1325">
            <v>0.26999849812265342</v>
          </cell>
          <cell r="K1325">
            <v>799</v>
          </cell>
          <cell r="L1325" t="str">
            <v>Liverpool</v>
          </cell>
          <cell r="M1325" t="str">
            <v>Discontinued</v>
          </cell>
          <cell r="N1325" t="str">
            <v>401101662-M</v>
          </cell>
        </row>
        <row r="1326">
          <cell r="A1326" t="str">
            <v>Naztech</v>
          </cell>
          <cell r="B1326">
            <v>43101249</v>
          </cell>
          <cell r="C1326">
            <v>15495</v>
          </cell>
          <cell r="D1326" t="str">
            <v>633755154959</v>
          </cell>
          <cell r="E1326" t="str">
            <v>Naztech Titanium USB to MFi Lightning Braided Cable 6ft Black</v>
          </cell>
          <cell r="F1326" t="str">
            <v>Cables</v>
          </cell>
          <cell r="G1326" t="str">
            <v>Lightning</v>
          </cell>
          <cell r="H1326" t="str">
            <v>6 ft</v>
          </cell>
          <cell r="I1326">
            <v>535.92241379310349</v>
          </cell>
          <cell r="J1326">
            <v>0.17000000000000004</v>
          </cell>
          <cell r="K1326">
            <v>749</v>
          </cell>
          <cell r="L1326" t="str">
            <v>Liverpool</v>
          </cell>
          <cell r="M1326" t="str">
            <v>Discontinued</v>
          </cell>
          <cell r="N1326" t="str">
            <v>15495-M</v>
          </cell>
        </row>
        <row r="1327">
          <cell r="A1327" t="str">
            <v>Nomad</v>
          </cell>
          <cell r="B1327">
            <v>1121746626</v>
          </cell>
          <cell r="C1327" t="str">
            <v>NM01022985</v>
          </cell>
          <cell r="D1327" t="str">
            <v>856500010229</v>
          </cell>
          <cell r="E1327" t="str">
            <v>Nomad Sport Cable - 2.0M | USB C | Lightning</v>
          </cell>
          <cell r="F1327" t="str">
            <v>Cables</v>
          </cell>
          <cell r="G1327" t="str">
            <v>Lightning - Type C</v>
          </cell>
          <cell r="H1327" t="str">
            <v>6 ft</v>
          </cell>
          <cell r="I1327">
            <v>408.42</v>
          </cell>
          <cell r="J1327">
            <v>0.27000431432973804</v>
          </cell>
          <cell r="K1327">
            <v>649</v>
          </cell>
          <cell r="L1327" t="str">
            <v>Liverpool</v>
          </cell>
          <cell r="M1327" t="str">
            <v>Discontinued</v>
          </cell>
          <cell r="N1327" t="str">
            <v>NM01022985-M</v>
          </cell>
        </row>
        <row r="1328">
          <cell r="A1328" t="str">
            <v>Nomad</v>
          </cell>
          <cell r="B1328">
            <v>1125791219</v>
          </cell>
          <cell r="C1328" t="str">
            <v>NM01912B00</v>
          </cell>
          <cell r="D1328" t="str">
            <v>856504015497</v>
          </cell>
          <cell r="E1328" t="str">
            <v>Nomad Lightning Cable - 1.5M | USB C | Rugged</v>
          </cell>
          <cell r="F1328" t="str">
            <v>Cables</v>
          </cell>
          <cell r="G1328" t="str">
            <v>Lightning - Type C</v>
          </cell>
          <cell r="H1328" t="str">
            <v>6 ft</v>
          </cell>
          <cell r="I1328">
            <v>502.82</v>
          </cell>
          <cell r="J1328">
            <v>0.26999849812265342</v>
          </cell>
          <cell r="K1328">
            <v>799</v>
          </cell>
          <cell r="L1328" t="str">
            <v>Liverpool</v>
          </cell>
          <cell r="M1328" t="str">
            <v>Discontinued</v>
          </cell>
          <cell r="N1328" t="str">
            <v>NM01912B00-M</v>
          </cell>
        </row>
        <row r="1329">
          <cell r="A1329" t="str">
            <v>Nomad</v>
          </cell>
          <cell r="B1329">
            <v>1122640309</v>
          </cell>
          <cell r="C1329" t="str">
            <v>NM01011385</v>
          </cell>
          <cell r="D1329" t="str">
            <v>856500010113</v>
          </cell>
          <cell r="E1329" t="str">
            <v>Nomad Keychain - AirTag | Rustic Brown | Horween Leather</v>
          </cell>
          <cell r="F1329" t="str">
            <v>Cases AirTag</v>
          </cell>
          <cell r="G1329" t="str">
            <v>AirTag</v>
          </cell>
          <cell r="H1329" t="str">
            <v>AirTag</v>
          </cell>
          <cell r="I1329">
            <v>628.67999999999995</v>
          </cell>
          <cell r="J1329">
            <v>0.2700012012012013</v>
          </cell>
          <cell r="K1329">
            <v>999</v>
          </cell>
          <cell r="L1329" t="str">
            <v>Liverpool</v>
          </cell>
          <cell r="M1329" t="str">
            <v>Discontinued</v>
          </cell>
          <cell r="N1329" t="str">
            <v>NM01011385-M</v>
          </cell>
        </row>
        <row r="1330">
          <cell r="A1330" t="str">
            <v>Nomad</v>
          </cell>
          <cell r="B1330">
            <v>1122233533</v>
          </cell>
          <cell r="C1330" t="str">
            <v>NM01056485</v>
          </cell>
          <cell r="D1330" t="str">
            <v>856500010564</v>
          </cell>
          <cell r="E1330" t="str">
            <v>Nomad Modern Leather Case - Rustic Brown | Horween Leather | MagSafe | iPhone 13</v>
          </cell>
          <cell r="F1330" t="str">
            <v>Cases iPhone</v>
          </cell>
          <cell r="G1330" t="str">
            <v>iPhone 13</v>
          </cell>
          <cell r="H1330" t="str">
            <v>iPhone 13</v>
          </cell>
          <cell r="I1330">
            <v>786.01</v>
          </cell>
          <cell r="J1330">
            <v>0.26999871897518024</v>
          </cell>
          <cell r="K1330">
            <v>1249</v>
          </cell>
          <cell r="L1330" t="str">
            <v>Liverpool</v>
          </cell>
          <cell r="M1330" t="str">
            <v>Discontinued</v>
          </cell>
          <cell r="N1330" t="str">
            <v>NM01056485-M</v>
          </cell>
        </row>
        <row r="1331">
          <cell r="A1331" t="str">
            <v>Nomad</v>
          </cell>
          <cell r="B1331">
            <v>1122233541</v>
          </cell>
          <cell r="C1331" t="str">
            <v>NM01058885</v>
          </cell>
          <cell r="D1331" t="str">
            <v>856500010588</v>
          </cell>
          <cell r="E1331" t="str">
            <v>Nomad Modern Leather Case - Rustic Brown | Horween Leather | MagSafe | iPhone 13 Pro</v>
          </cell>
          <cell r="F1331" t="str">
            <v>Cases iPhone</v>
          </cell>
          <cell r="G1331" t="str">
            <v>iPhone 13</v>
          </cell>
          <cell r="H1331" t="str">
            <v>iPhone 13 Pro</v>
          </cell>
          <cell r="I1331">
            <v>786.01</v>
          </cell>
          <cell r="J1331">
            <v>0.26999871897518024</v>
          </cell>
          <cell r="K1331">
            <v>1249</v>
          </cell>
          <cell r="L1331" t="str">
            <v>Liverpool</v>
          </cell>
          <cell r="M1331" t="str">
            <v>Discontinued</v>
          </cell>
          <cell r="N1331" t="str">
            <v>NM01058885-M</v>
          </cell>
        </row>
        <row r="1332">
          <cell r="A1332" t="str">
            <v>Nomad</v>
          </cell>
          <cell r="B1332">
            <v>1121745760</v>
          </cell>
          <cell r="C1332" t="str">
            <v>NM01063285</v>
          </cell>
          <cell r="D1332" t="str">
            <v>856500010632</v>
          </cell>
          <cell r="E1332" t="str">
            <v>Nomad Modern Leather Case - Black | Horween Leather | MagSafe | iPhone 13 Pro Max</v>
          </cell>
          <cell r="F1332" t="str">
            <v>Cases iPhone</v>
          </cell>
          <cell r="G1332" t="str">
            <v>iPhone 13</v>
          </cell>
          <cell r="H1332" t="str">
            <v>iPhone 13 Pro Max</v>
          </cell>
          <cell r="I1332">
            <v>786.01</v>
          </cell>
          <cell r="J1332">
            <v>0.26999871897518024</v>
          </cell>
          <cell r="K1332">
            <v>1249</v>
          </cell>
          <cell r="L1332" t="str">
            <v>Liverpool</v>
          </cell>
          <cell r="M1332" t="str">
            <v>Discontinued</v>
          </cell>
          <cell r="N1332" t="str">
            <v>NM01063285-M</v>
          </cell>
        </row>
        <row r="1333">
          <cell r="A1333" t="str">
            <v>Nomad</v>
          </cell>
          <cell r="C1333" t="str">
            <v>NM01205685</v>
          </cell>
          <cell r="D1333" t="str">
            <v>856500012056</v>
          </cell>
          <cell r="E1333" t="str">
            <v>Nomad Sport Case - iPhone 14 | Carbide</v>
          </cell>
          <cell r="F1333" t="str">
            <v>Cases iPhone</v>
          </cell>
          <cell r="G1333" t="str">
            <v>iPhone 14</v>
          </cell>
          <cell r="H1333" t="str">
            <v>iPhone 14</v>
          </cell>
          <cell r="I1333">
            <v>565.75</v>
          </cell>
          <cell r="J1333">
            <v>0.27</v>
          </cell>
          <cell r="K1333">
            <v>899</v>
          </cell>
          <cell r="L1333" t="str">
            <v>Liverpool</v>
          </cell>
          <cell r="M1333" t="str">
            <v>Discontinued</v>
          </cell>
          <cell r="N1333" t="str">
            <v>NM01205685-M</v>
          </cell>
        </row>
        <row r="1334">
          <cell r="A1334" t="str">
            <v>Nomad</v>
          </cell>
          <cell r="C1334" t="str">
            <v>NM01289685</v>
          </cell>
          <cell r="D1334" t="str">
            <v>856500012896</v>
          </cell>
          <cell r="E1334" t="str">
            <v>Nomad Sport Case - iPhone 14 Max | Carbide</v>
          </cell>
          <cell r="F1334" t="str">
            <v>Cases iPhone</v>
          </cell>
          <cell r="G1334" t="str">
            <v>iPhone 14</v>
          </cell>
          <cell r="H1334" t="str">
            <v>iPhone 14 Max</v>
          </cell>
          <cell r="I1334">
            <v>565.75</v>
          </cell>
          <cell r="J1334">
            <v>0.27</v>
          </cell>
          <cell r="K1334">
            <v>899</v>
          </cell>
          <cell r="L1334" t="str">
            <v>Liverpool</v>
          </cell>
          <cell r="M1334" t="str">
            <v>Discontinued</v>
          </cell>
          <cell r="N1334" t="str">
            <v>NM01289685-M</v>
          </cell>
        </row>
        <row r="1335">
          <cell r="A1335" t="str">
            <v>Nomad</v>
          </cell>
          <cell r="C1335" t="str">
            <v>NM01209485</v>
          </cell>
          <cell r="D1335" t="str">
            <v>856500012094</v>
          </cell>
          <cell r="E1335" t="str">
            <v>Nomad Sport Case - iPhone 14 Pro Max | Ash Green</v>
          </cell>
          <cell r="F1335" t="str">
            <v>Cases iPhone</v>
          </cell>
          <cell r="G1335" t="str">
            <v>iPhone 14</v>
          </cell>
          <cell r="H1335" t="str">
            <v>iPhone 14 Max</v>
          </cell>
          <cell r="I1335">
            <v>565.75</v>
          </cell>
          <cell r="J1335">
            <v>0.27</v>
          </cell>
          <cell r="K1335">
            <v>899</v>
          </cell>
          <cell r="L1335" t="str">
            <v>Liverpool</v>
          </cell>
          <cell r="M1335" t="str">
            <v>Discontinued</v>
          </cell>
          <cell r="N1335" t="str">
            <v>NM01209485-M</v>
          </cell>
        </row>
        <row r="1336">
          <cell r="A1336" t="str">
            <v>Nomad</v>
          </cell>
          <cell r="C1336" t="str">
            <v>NM01206385</v>
          </cell>
          <cell r="D1336" t="str">
            <v>856500012063</v>
          </cell>
          <cell r="E1336" t="str">
            <v>Nomad Sport Case - iPhone 14 Pro Max | Marine Blue</v>
          </cell>
          <cell r="F1336" t="str">
            <v>Cases iPhone</v>
          </cell>
          <cell r="G1336" t="str">
            <v>iPhone 14</v>
          </cell>
          <cell r="H1336" t="str">
            <v>iPhone 14 Max</v>
          </cell>
          <cell r="I1336">
            <v>565.75</v>
          </cell>
          <cell r="J1336">
            <v>0.27</v>
          </cell>
          <cell r="K1336">
            <v>899</v>
          </cell>
          <cell r="L1336" t="str">
            <v>Liverpool</v>
          </cell>
          <cell r="M1336" t="str">
            <v>Discontinued</v>
          </cell>
          <cell r="N1336" t="str">
            <v>NM01206385-M</v>
          </cell>
        </row>
        <row r="1337">
          <cell r="A1337" t="str">
            <v>Nomad</v>
          </cell>
          <cell r="C1337" t="str">
            <v>NM01131885</v>
          </cell>
          <cell r="D1337" t="str">
            <v>856500011318</v>
          </cell>
          <cell r="E1337" t="str">
            <v>Nomad Sport Case - iPhone 14 Pro Max | Carbide</v>
          </cell>
          <cell r="F1337" t="str">
            <v>Cases iPhone</v>
          </cell>
          <cell r="G1337" t="str">
            <v>iPhone 14</v>
          </cell>
          <cell r="H1337" t="str">
            <v>iPhone 14 Max</v>
          </cell>
          <cell r="I1337">
            <v>565.75</v>
          </cell>
          <cell r="J1337">
            <v>0.27</v>
          </cell>
          <cell r="K1337">
            <v>899</v>
          </cell>
          <cell r="L1337" t="str">
            <v>Liverpool</v>
          </cell>
          <cell r="M1337" t="str">
            <v>Discontinued</v>
          </cell>
          <cell r="N1337" t="str">
            <v>NM01131885-M</v>
          </cell>
        </row>
        <row r="1338">
          <cell r="A1338" t="str">
            <v>Nomad</v>
          </cell>
          <cell r="C1338" t="str">
            <v>NM01222385</v>
          </cell>
          <cell r="D1338" t="str">
            <v>856500012223</v>
          </cell>
          <cell r="E1338" t="str">
            <v>Nomad Modern Leather Case - iPhone 14 Pro | Black | Horween Leather</v>
          </cell>
          <cell r="F1338" t="str">
            <v>Cases iPhone</v>
          </cell>
          <cell r="G1338" t="str">
            <v>iPhone 14</v>
          </cell>
          <cell r="H1338" t="str">
            <v>iPhone 14 Pro</v>
          </cell>
          <cell r="I1338">
            <v>943.34</v>
          </cell>
          <cell r="J1338">
            <v>0.26999706470980656</v>
          </cell>
          <cell r="K1338">
            <v>1499</v>
          </cell>
          <cell r="L1338" t="str">
            <v>Liverpool</v>
          </cell>
          <cell r="M1338" t="str">
            <v>Discontinued</v>
          </cell>
          <cell r="N1338" t="str">
            <v>NM01222385-M</v>
          </cell>
        </row>
        <row r="1339">
          <cell r="A1339" t="str">
            <v>Nomad</v>
          </cell>
          <cell r="C1339" t="str">
            <v>NM01225485</v>
          </cell>
          <cell r="D1339" t="str">
            <v>856500012254</v>
          </cell>
          <cell r="E1339" t="str">
            <v>Nomad Modern Leather Case - iPhone 14 Pro | Rustic Brown | Horween Leather</v>
          </cell>
          <cell r="F1339" t="str">
            <v>Cases iPhone</v>
          </cell>
          <cell r="G1339" t="str">
            <v>iPhone 14</v>
          </cell>
          <cell r="H1339" t="str">
            <v>iPhone 14 Pro</v>
          </cell>
          <cell r="I1339">
            <v>943.34</v>
          </cell>
          <cell r="J1339">
            <v>0.26999706470980656</v>
          </cell>
          <cell r="K1339">
            <v>1499</v>
          </cell>
          <cell r="L1339" t="str">
            <v>Liverpool</v>
          </cell>
          <cell r="M1339" t="str">
            <v>Discontinued</v>
          </cell>
          <cell r="N1339" t="str">
            <v>NM01225485-M</v>
          </cell>
        </row>
        <row r="1340">
          <cell r="A1340" t="str">
            <v>Nomad</v>
          </cell>
          <cell r="C1340" t="str">
            <v>NM01210085</v>
          </cell>
          <cell r="D1340" t="str">
            <v>856500012100</v>
          </cell>
          <cell r="E1340" t="str">
            <v>Nomad Sport Case - iPhone 14 Pro | Ash Green</v>
          </cell>
          <cell r="F1340" t="str">
            <v>Cases iPhone</v>
          </cell>
          <cell r="G1340" t="str">
            <v>iPhone 14</v>
          </cell>
          <cell r="H1340" t="str">
            <v>iPhone 14 Pro</v>
          </cell>
          <cell r="I1340">
            <v>565.75</v>
          </cell>
          <cell r="J1340">
            <v>0.27</v>
          </cell>
          <cell r="K1340">
            <v>899</v>
          </cell>
          <cell r="L1340" t="str">
            <v>Liverpool</v>
          </cell>
          <cell r="M1340" t="str">
            <v>Discontinued</v>
          </cell>
          <cell r="N1340" t="str">
            <v>NM01210085-M</v>
          </cell>
        </row>
        <row r="1341">
          <cell r="A1341" t="str">
            <v>Nomad</v>
          </cell>
          <cell r="C1341" t="str">
            <v>NM01207085</v>
          </cell>
          <cell r="D1341" t="str">
            <v>856500012070</v>
          </cell>
          <cell r="E1341" t="str">
            <v>Nomad Sport Case - iPhone 14 Pro | Marine Blue</v>
          </cell>
          <cell r="F1341" t="str">
            <v>Cases iPhone</v>
          </cell>
          <cell r="G1341" t="str">
            <v>iPhone 14</v>
          </cell>
          <cell r="H1341" t="str">
            <v>iPhone 14 Pro</v>
          </cell>
          <cell r="I1341">
            <v>565.75</v>
          </cell>
          <cell r="J1341">
            <v>0.27</v>
          </cell>
          <cell r="K1341">
            <v>899</v>
          </cell>
          <cell r="L1341" t="str">
            <v>Liverpool</v>
          </cell>
          <cell r="M1341" t="str">
            <v>Discontinued</v>
          </cell>
          <cell r="N1341" t="str">
            <v>NM01207085-M</v>
          </cell>
        </row>
        <row r="1342">
          <cell r="A1342" t="str">
            <v>Nomad</v>
          </cell>
          <cell r="C1342" t="str">
            <v>NM01221685</v>
          </cell>
          <cell r="D1342" t="str">
            <v>856500012216</v>
          </cell>
          <cell r="E1342" t="str">
            <v>Nomad Modern Leather Case - iPhone 14 Pro Max | Black | Horween Leather</v>
          </cell>
          <cell r="F1342" t="str">
            <v>Cases iPhone</v>
          </cell>
          <cell r="G1342" t="str">
            <v>iPhone 14</v>
          </cell>
          <cell r="H1342" t="str">
            <v>iPhone 14 Pro Max</v>
          </cell>
          <cell r="I1342">
            <v>943.34</v>
          </cell>
          <cell r="J1342">
            <v>0.26999706470980656</v>
          </cell>
          <cell r="K1342">
            <v>1499</v>
          </cell>
          <cell r="L1342" t="str">
            <v>Liverpool</v>
          </cell>
          <cell r="M1342" t="str">
            <v>Discontinued</v>
          </cell>
          <cell r="N1342" t="str">
            <v>NM01221685-M</v>
          </cell>
        </row>
        <row r="1343">
          <cell r="A1343" t="str">
            <v>Nomad</v>
          </cell>
          <cell r="C1343" t="str">
            <v>NM01224785</v>
          </cell>
          <cell r="D1343" t="str">
            <v>856500012247</v>
          </cell>
          <cell r="E1343" t="str">
            <v>Nomad Modern Leather Case - iPhone 14 Pro Max | Rustic Brown | Horween Leather</v>
          </cell>
          <cell r="F1343" t="str">
            <v>Cases iPhone</v>
          </cell>
          <cell r="G1343" t="str">
            <v>iPhone 14</v>
          </cell>
          <cell r="H1343" t="str">
            <v>iPhone 14 Pro Max</v>
          </cell>
          <cell r="I1343">
            <v>943.34</v>
          </cell>
          <cell r="J1343">
            <v>0.26999706470980656</v>
          </cell>
          <cell r="K1343">
            <v>1499</v>
          </cell>
          <cell r="L1343" t="str">
            <v>Liverpool</v>
          </cell>
          <cell r="M1343" t="str">
            <v>Discontinued</v>
          </cell>
          <cell r="N1343" t="str">
            <v>NM01224785-M</v>
          </cell>
        </row>
        <row r="1344">
          <cell r="A1344" t="str">
            <v>Nomad</v>
          </cell>
          <cell r="B1344">
            <v>1122641381</v>
          </cell>
          <cell r="C1344" t="str">
            <v>NM1A310000</v>
          </cell>
          <cell r="D1344" t="str">
            <v>856500018706</v>
          </cell>
          <cell r="E1344" t="str">
            <v>Nomad Sport Strap - 41/40mm/38mm | S/M | Black | FKM | V2</v>
          </cell>
          <cell r="F1344" t="str">
            <v>Straps</v>
          </cell>
          <cell r="G1344" t="str">
            <v>Apple Watch</v>
          </cell>
          <cell r="H1344" t="str">
            <v>38mm/40mm/41mm</v>
          </cell>
          <cell r="I1344">
            <v>691.61</v>
          </cell>
          <cell r="J1344">
            <v>0.27000218380345764</v>
          </cell>
          <cell r="K1344">
            <v>1099</v>
          </cell>
          <cell r="L1344" t="str">
            <v>Liverpool</v>
          </cell>
          <cell r="M1344" t="str">
            <v>Discontinued</v>
          </cell>
          <cell r="N1344" t="str">
            <v>NM1A310000-M</v>
          </cell>
        </row>
        <row r="1345">
          <cell r="A1345" t="str">
            <v>Nomad</v>
          </cell>
          <cell r="B1345">
            <v>1122641372</v>
          </cell>
          <cell r="C1345" t="str">
            <v>NM1Am10000</v>
          </cell>
          <cell r="D1345" t="str">
            <v>856500018522</v>
          </cell>
          <cell r="E1345" t="str">
            <v>Nomad Sport Strap - 45/44mm/42mm | M/L | Black | FKM | V2</v>
          </cell>
          <cell r="F1345" t="str">
            <v>Straps</v>
          </cell>
          <cell r="G1345" t="str">
            <v>Apple Watch</v>
          </cell>
          <cell r="H1345" t="str">
            <v>49/45/44/42 mm</v>
          </cell>
          <cell r="I1345">
            <v>691.61</v>
          </cell>
          <cell r="J1345">
            <v>0.27000218380345764</v>
          </cell>
          <cell r="K1345">
            <v>1099</v>
          </cell>
          <cell r="L1345" t="str">
            <v>Liverpool</v>
          </cell>
          <cell r="M1345" t="str">
            <v>Discontinued</v>
          </cell>
          <cell r="N1345" t="str">
            <v>NM1Am10000-M</v>
          </cell>
        </row>
        <row r="1346">
          <cell r="A1346" t="str">
            <v>Quikcell</v>
          </cell>
          <cell r="B1346">
            <v>1086284266</v>
          </cell>
          <cell r="C1346" t="str">
            <v>CTPRO2-BLK</v>
          </cell>
          <cell r="D1346" t="str">
            <v>846537063060</v>
          </cell>
          <cell r="E1346" t="str">
            <v>Quikcell Cross Trainer Pro II Sports Stereo Bluetooth Earphones - Black</v>
          </cell>
          <cell r="F1346" t="str">
            <v>Audio</v>
          </cell>
          <cell r="G1346" t="str">
            <v>HEADPHONE WIRELESS</v>
          </cell>
          <cell r="H1346" t="str">
            <v>In Ear</v>
          </cell>
          <cell r="I1346">
            <v>314.02999999999997</v>
          </cell>
          <cell r="J1346">
            <v>0.26999038076152315</v>
          </cell>
          <cell r="K1346">
            <v>499</v>
          </cell>
          <cell r="L1346" t="str">
            <v>Liverpool</v>
          </cell>
          <cell r="M1346" t="str">
            <v>Discontinued</v>
          </cell>
          <cell r="N1346" t="str">
            <v>CTPRO2-BLK-M</v>
          </cell>
        </row>
        <row r="1347">
          <cell r="A1347" t="str">
            <v>Quikcell</v>
          </cell>
          <cell r="B1347">
            <v>1100995600</v>
          </cell>
          <cell r="C1347" t="str">
            <v>CTPRO2-WHT</v>
          </cell>
          <cell r="D1347" t="str">
            <v>846537063077</v>
          </cell>
          <cell r="E1347" t="str">
            <v>Quikcell Cross Trainer Pro II Wireless Sport Headphones - White</v>
          </cell>
          <cell r="F1347" t="str">
            <v>Audio</v>
          </cell>
          <cell r="G1347" t="str">
            <v>HEADPHONE WIRELESS</v>
          </cell>
          <cell r="H1347" t="str">
            <v>In Ear</v>
          </cell>
          <cell r="I1347">
            <v>314.02999999999997</v>
          </cell>
          <cell r="J1347">
            <v>0.26999038076152315</v>
          </cell>
          <cell r="K1347">
            <v>499</v>
          </cell>
          <cell r="L1347" t="str">
            <v>Liverpool</v>
          </cell>
          <cell r="M1347" t="str">
            <v>Discontinued</v>
          </cell>
          <cell r="N1347" t="str">
            <v>CTPRO2-WHT-M</v>
          </cell>
        </row>
        <row r="1348">
          <cell r="A1348" t="str">
            <v>Quikcell</v>
          </cell>
          <cell r="B1348">
            <v>1094577230</v>
          </cell>
          <cell r="C1348" t="str">
            <v>QAIR-BUDS</v>
          </cell>
          <cell r="D1348" t="str">
            <v>846537068881</v>
          </cell>
          <cell r="E1348" t="str">
            <v>Quikcell QAIR BUDS True Wireless Earbuds with Charging Case - Black</v>
          </cell>
          <cell r="F1348" t="str">
            <v>Audio</v>
          </cell>
          <cell r="G1348" t="str">
            <v>Headphones Wireless</v>
          </cell>
          <cell r="H1348" t="str">
            <v>QAir</v>
          </cell>
          <cell r="I1348">
            <v>628.6</v>
          </cell>
          <cell r="J1348">
            <v>0.27009409409409413</v>
          </cell>
          <cell r="K1348">
            <v>999</v>
          </cell>
          <cell r="L1348" t="str">
            <v>Liverpool</v>
          </cell>
          <cell r="M1348" t="str">
            <v>Discontinued</v>
          </cell>
          <cell r="N1348" t="str">
            <v>QAIR-BUDS-M</v>
          </cell>
        </row>
        <row r="1349">
          <cell r="A1349" t="str">
            <v>Quikcell</v>
          </cell>
          <cell r="B1349">
            <v>1100144383</v>
          </cell>
          <cell r="C1349" t="str">
            <v>QAIR-BUDS-WHT</v>
          </cell>
          <cell r="D1349" t="str">
            <v>846537075582</v>
          </cell>
          <cell r="E1349" t="str">
            <v>Quikcell QAIR BUDS True Wireless Earbuds with Charging Case - White</v>
          </cell>
          <cell r="F1349" t="str">
            <v>Audio</v>
          </cell>
          <cell r="G1349" t="str">
            <v>Headphones Wireless</v>
          </cell>
          <cell r="H1349" t="str">
            <v>QAir</v>
          </cell>
          <cell r="I1349">
            <v>628.6</v>
          </cell>
          <cell r="J1349">
            <v>0.27009409409409413</v>
          </cell>
          <cell r="K1349">
            <v>999</v>
          </cell>
          <cell r="L1349" t="str">
            <v>Liverpool</v>
          </cell>
          <cell r="M1349" t="str">
            <v>Discontinued</v>
          </cell>
          <cell r="N1349" t="str">
            <v>QAIR-BUDS-WHT-M</v>
          </cell>
        </row>
        <row r="1350">
          <cell r="A1350" t="str">
            <v>Quikcell</v>
          </cell>
          <cell r="B1350">
            <v>1121789317</v>
          </cell>
          <cell r="C1350" t="str">
            <v>QLIGHTA6FT</v>
          </cell>
          <cell r="D1350" t="str">
            <v>846537077081</v>
          </cell>
          <cell r="E1350" t="str">
            <v>Quikcell CHARGE &amp; SYNC CABLE MFi Lightning to USB-A - 6ft - Black</v>
          </cell>
          <cell r="F1350" t="str">
            <v>Cables</v>
          </cell>
          <cell r="G1350" t="str">
            <v>Lightning</v>
          </cell>
          <cell r="H1350" t="str">
            <v>6 ft</v>
          </cell>
          <cell r="I1350">
            <v>314.02999999999997</v>
          </cell>
          <cell r="J1350">
            <v>0.26999038076152315</v>
          </cell>
          <cell r="K1350">
            <v>499</v>
          </cell>
          <cell r="L1350" t="str">
            <v>Liverpool</v>
          </cell>
          <cell r="M1350" t="str">
            <v>Discontinued</v>
          </cell>
          <cell r="N1350" t="str">
            <v>QLIGHTA6FT-M</v>
          </cell>
        </row>
        <row r="1351">
          <cell r="A1351" t="str">
            <v>Quikcell</v>
          </cell>
          <cell r="B1351">
            <v>1102251942</v>
          </cell>
          <cell r="C1351" t="str">
            <v>QLIGHTC6FT</v>
          </cell>
          <cell r="D1351" t="str">
            <v>846537077104</v>
          </cell>
          <cell r="E1351" t="str">
            <v>Quikcell CHARGE &amp; SYNC CABLE MFi Lightning to USB-C - 6ft - Black</v>
          </cell>
          <cell r="F1351" t="str">
            <v>Cables</v>
          </cell>
          <cell r="G1351" t="str">
            <v>Lightning - Type C</v>
          </cell>
          <cell r="H1351" t="str">
            <v>6 ft</v>
          </cell>
          <cell r="I1351">
            <v>282.56</v>
          </cell>
          <cell r="J1351">
            <v>0.27000089086859691</v>
          </cell>
          <cell r="K1351">
            <v>449</v>
          </cell>
          <cell r="L1351" t="str">
            <v>Liverpool</v>
          </cell>
          <cell r="M1351" t="str">
            <v>Discontinued</v>
          </cell>
          <cell r="N1351" t="str">
            <v>QLIGHTC6FT-M</v>
          </cell>
        </row>
        <row r="1352">
          <cell r="A1352" t="str">
            <v>Quikcell</v>
          </cell>
          <cell r="B1352">
            <v>1121797689</v>
          </cell>
          <cell r="C1352" t="str">
            <v>QTYPECA3FT</v>
          </cell>
          <cell r="D1352" t="str">
            <v>846537082030</v>
          </cell>
          <cell r="E1352" t="str">
            <v>Quikcell USB-A to USB-C cable 3 ft. 3A current; PVC+Nylon</v>
          </cell>
          <cell r="F1352" t="str">
            <v>Cables</v>
          </cell>
          <cell r="G1352" t="str">
            <v>Type C</v>
          </cell>
          <cell r="H1352" t="str">
            <v>3ft</v>
          </cell>
          <cell r="I1352">
            <v>156.69999999999999</v>
          </cell>
          <cell r="J1352">
            <v>0.26999196787148605</v>
          </cell>
          <cell r="K1352">
            <v>249</v>
          </cell>
          <cell r="L1352" t="str">
            <v>Liverpool</v>
          </cell>
          <cell r="M1352" t="str">
            <v>Discontinued</v>
          </cell>
          <cell r="N1352" t="str">
            <v>QTYPECA3FT-M</v>
          </cell>
        </row>
        <row r="1353">
          <cell r="A1353" t="str">
            <v>Quikcell</v>
          </cell>
          <cell r="B1353">
            <v>1100996690</v>
          </cell>
          <cell r="C1353" t="str">
            <v>QTYPECA6FT</v>
          </cell>
          <cell r="D1353" t="str">
            <v>846537077043</v>
          </cell>
          <cell r="E1353" t="str">
            <v>Quikcell CHARGE &amp; SYNC CABLE USB-A to USB-C - 6 ft - Black</v>
          </cell>
          <cell r="F1353" t="str">
            <v>Cables</v>
          </cell>
          <cell r="G1353" t="str">
            <v>Type C</v>
          </cell>
          <cell r="H1353" t="str">
            <v>6 ft</v>
          </cell>
          <cell r="I1353">
            <v>188.16</v>
          </cell>
          <cell r="J1353">
            <v>0.27001471571906366</v>
          </cell>
          <cell r="K1353">
            <v>299</v>
          </cell>
          <cell r="L1353" t="str">
            <v>Liverpool</v>
          </cell>
          <cell r="M1353" t="str">
            <v>Discontinued</v>
          </cell>
          <cell r="N1353" t="str">
            <v>QTYPECA6FT-M</v>
          </cell>
        </row>
        <row r="1354">
          <cell r="A1354" t="str">
            <v>Quikcell</v>
          </cell>
          <cell r="B1354">
            <v>1121797298</v>
          </cell>
          <cell r="C1354" t="str">
            <v>QTYPECC3FT</v>
          </cell>
          <cell r="D1354" t="str">
            <v>846537082047</v>
          </cell>
          <cell r="E1354" t="str">
            <v>Quikcell USB-C to USB-C cable 3 ft. 3A current; PVC+Nylon</v>
          </cell>
          <cell r="F1354" t="str">
            <v>Cables</v>
          </cell>
          <cell r="G1354" t="str">
            <v>Type C - Type C</v>
          </cell>
          <cell r="H1354" t="str">
            <v>3 ft</v>
          </cell>
          <cell r="I1354">
            <v>188.16</v>
          </cell>
          <cell r="J1354">
            <v>0.27001471571906366</v>
          </cell>
          <cell r="K1354">
            <v>299</v>
          </cell>
          <cell r="L1354" t="str">
            <v>Liverpool</v>
          </cell>
          <cell r="M1354" t="str">
            <v>Discontinued</v>
          </cell>
          <cell r="N1354" t="str">
            <v>QTYPECC3FT-M</v>
          </cell>
        </row>
        <row r="1355">
          <cell r="A1355" t="str">
            <v>Quikcell</v>
          </cell>
          <cell r="B1355">
            <v>1102196372</v>
          </cell>
          <cell r="C1355" t="str">
            <v>QTYPECC6FT</v>
          </cell>
          <cell r="D1355" t="str">
            <v>846537077067</v>
          </cell>
          <cell r="E1355" t="str">
            <v>Quikcell CHARGE &amp; SYNC CABLE USB-C to USB-C - 6 ft - Black</v>
          </cell>
          <cell r="F1355" t="str">
            <v>Cables</v>
          </cell>
          <cell r="G1355" t="str">
            <v>Type C - Type C</v>
          </cell>
          <cell r="H1355" t="str">
            <v>6 ft</v>
          </cell>
          <cell r="I1355">
            <v>219.63</v>
          </cell>
          <cell r="J1355">
            <v>0.26999770773638976</v>
          </cell>
          <cell r="K1355">
            <v>349</v>
          </cell>
          <cell r="L1355" t="str">
            <v>Liverpool</v>
          </cell>
          <cell r="M1355" t="str">
            <v>Discontinued</v>
          </cell>
          <cell r="N1355" t="str">
            <v>QTYPECC6FT-M</v>
          </cell>
        </row>
        <row r="1356">
          <cell r="A1356" t="str">
            <v>Quikcell</v>
          </cell>
          <cell r="B1356">
            <v>1113850660</v>
          </cell>
          <cell r="C1356" t="str">
            <v>TIN2059-M</v>
          </cell>
          <cell r="D1356" t="str">
            <v>846537083549</v>
          </cell>
          <cell r="E1356" t="str">
            <v>Quikcell iPhone 13 ICON TINT Transparent Protective Case - Ice</v>
          </cell>
          <cell r="F1356" t="str">
            <v>Cases iPhone</v>
          </cell>
          <cell r="G1356" t="str">
            <v>iPhone 13</v>
          </cell>
          <cell r="H1356" t="str">
            <v>iPhone 13</v>
          </cell>
          <cell r="I1356">
            <v>376.96</v>
          </cell>
          <cell r="J1356">
            <v>0.26999398998330559</v>
          </cell>
          <cell r="K1356">
            <v>599</v>
          </cell>
          <cell r="L1356" t="str">
            <v>Liverpool</v>
          </cell>
          <cell r="M1356" t="str">
            <v>Discontinued</v>
          </cell>
          <cell r="N1356" t="str">
            <v>TIN2059-M</v>
          </cell>
        </row>
        <row r="1357">
          <cell r="A1357" t="str">
            <v>Quikcell</v>
          </cell>
          <cell r="B1357">
            <v>1113851763</v>
          </cell>
          <cell r="C1357" t="str">
            <v>TIN2058-M</v>
          </cell>
          <cell r="D1357" t="str">
            <v>846537083532</v>
          </cell>
          <cell r="E1357" t="str">
            <v>Quikcell iPhone 13 ICON TINT Transparent Protective Case - Smoke</v>
          </cell>
          <cell r="F1357" t="str">
            <v>Cases iPhone</v>
          </cell>
          <cell r="G1357" t="str">
            <v>iPhone 13</v>
          </cell>
          <cell r="H1357" t="str">
            <v>iPhone 13</v>
          </cell>
          <cell r="I1357">
            <v>376.96</v>
          </cell>
          <cell r="J1357">
            <v>0.26999398998330559</v>
          </cell>
          <cell r="K1357">
            <v>599</v>
          </cell>
          <cell r="L1357" t="str">
            <v>Liverpool</v>
          </cell>
          <cell r="M1357" t="str">
            <v>Discontinued</v>
          </cell>
          <cell r="N1357" t="str">
            <v>TIN2058-M</v>
          </cell>
        </row>
        <row r="1358">
          <cell r="A1358" t="str">
            <v>Quikcell</v>
          </cell>
          <cell r="B1358">
            <v>1113760954</v>
          </cell>
          <cell r="C1358" t="str">
            <v>TIN2057-M</v>
          </cell>
          <cell r="D1358" t="str">
            <v>846537083426</v>
          </cell>
          <cell r="E1358" t="str">
            <v>Quikcell iPhone 13 mini ICON TINT Transparent Protective Case - Ice</v>
          </cell>
          <cell r="F1358" t="str">
            <v>Cases iPhone</v>
          </cell>
          <cell r="G1358" t="str">
            <v>iPhone 13</v>
          </cell>
          <cell r="H1358" t="str">
            <v>iPhone 13 mini</v>
          </cell>
          <cell r="I1358">
            <v>376.96</v>
          </cell>
          <cell r="J1358">
            <v>0.26999398998330559</v>
          </cell>
          <cell r="K1358">
            <v>599</v>
          </cell>
          <cell r="L1358" t="str">
            <v>Liverpool</v>
          </cell>
          <cell r="M1358" t="str">
            <v>Discontinued</v>
          </cell>
          <cell r="N1358" t="str">
            <v>TIN2057-M</v>
          </cell>
        </row>
        <row r="1359">
          <cell r="A1359" t="str">
            <v>Quikcell</v>
          </cell>
          <cell r="B1359">
            <v>1113851747</v>
          </cell>
          <cell r="C1359" t="str">
            <v>TIN2069-M</v>
          </cell>
          <cell r="D1359" t="str">
            <v>846537084089</v>
          </cell>
          <cell r="E1359" t="str">
            <v>Quikcell iPhone 13 Pro ICON TINT Transparent Protective Case - Ice</v>
          </cell>
          <cell r="F1359" t="str">
            <v>Cases iPhone</v>
          </cell>
          <cell r="G1359" t="str">
            <v>iPhone 13</v>
          </cell>
          <cell r="H1359" t="str">
            <v>iPhone 13 Pro</v>
          </cell>
          <cell r="I1359">
            <v>376.96</v>
          </cell>
          <cell r="J1359">
            <v>0.26999398998330559</v>
          </cell>
          <cell r="K1359">
            <v>599</v>
          </cell>
          <cell r="L1359" t="str">
            <v>Liverpool</v>
          </cell>
          <cell r="M1359" t="str">
            <v>Discontinued</v>
          </cell>
          <cell r="N1359" t="str">
            <v>TIN2069-M</v>
          </cell>
        </row>
        <row r="1360">
          <cell r="A1360" t="str">
            <v>Quikcell</v>
          </cell>
          <cell r="B1360">
            <v>1113852247</v>
          </cell>
          <cell r="C1360" t="str">
            <v>TIN2068-M</v>
          </cell>
          <cell r="D1360" t="str">
            <v>846537084072</v>
          </cell>
          <cell r="E1360" t="str">
            <v>Quikcell iPhone 13 Pro ICON TINT Transparent Protective Case - Smoke</v>
          </cell>
          <cell r="F1360" t="str">
            <v>Cases iPhone</v>
          </cell>
          <cell r="G1360" t="str">
            <v>iPhone 13</v>
          </cell>
          <cell r="H1360" t="str">
            <v>iPhone 13 Pro</v>
          </cell>
          <cell r="I1360">
            <v>376.96</v>
          </cell>
          <cell r="J1360">
            <v>0.26999398998330559</v>
          </cell>
          <cell r="K1360">
            <v>599</v>
          </cell>
          <cell r="L1360" t="str">
            <v>Liverpool</v>
          </cell>
          <cell r="M1360" t="str">
            <v>Discontinued</v>
          </cell>
          <cell r="N1360" t="str">
            <v>TIN2068-M</v>
          </cell>
        </row>
        <row r="1361">
          <cell r="A1361" t="str">
            <v>Quikcell</v>
          </cell>
          <cell r="B1361">
            <v>1113851151</v>
          </cell>
          <cell r="C1361" t="str">
            <v>TIN2061-M</v>
          </cell>
          <cell r="D1361" t="str">
            <v>846537083679</v>
          </cell>
          <cell r="E1361" t="str">
            <v>Quikcell iPhone 13 Pro Max ICON TINT Transparent Protective Case - Ice</v>
          </cell>
          <cell r="F1361" t="str">
            <v>Cases iPhone</v>
          </cell>
          <cell r="G1361" t="str">
            <v>iPhone 13</v>
          </cell>
          <cell r="H1361" t="str">
            <v>iPhone 13 Pro Max</v>
          </cell>
          <cell r="I1361">
            <v>376.96</v>
          </cell>
          <cell r="J1361">
            <v>0.26999398998330559</v>
          </cell>
          <cell r="K1361">
            <v>599</v>
          </cell>
          <cell r="L1361" t="str">
            <v>Liverpool</v>
          </cell>
          <cell r="M1361" t="str">
            <v>Discontinued</v>
          </cell>
          <cell r="N1361" t="str">
            <v>TIN2061-M</v>
          </cell>
        </row>
        <row r="1362">
          <cell r="A1362" t="str">
            <v>Quikcell</v>
          </cell>
          <cell r="B1362">
            <v>1114667559</v>
          </cell>
          <cell r="C1362" t="str">
            <v>TIN2060-M</v>
          </cell>
          <cell r="D1362" t="str">
            <v>846537083662</v>
          </cell>
          <cell r="E1362" t="str">
            <v>Quikcell iPhone 13 Pro Max ICON TINT Transparent Protective Case - Smoke</v>
          </cell>
          <cell r="F1362" t="str">
            <v>Cases iPhone</v>
          </cell>
          <cell r="G1362" t="str">
            <v>iPhone 13</v>
          </cell>
          <cell r="H1362" t="str">
            <v>iPhone 13 Pro Max</v>
          </cell>
          <cell r="I1362">
            <v>376.96</v>
          </cell>
          <cell r="J1362">
            <v>0.26999398998330559</v>
          </cell>
          <cell r="K1362">
            <v>599</v>
          </cell>
          <cell r="L1362" t="str">
            <v>Liverpool</v>
          </cell>
          <cell r="M1362" t="str">
            <v>Discontinued</v>
          </cell>
          <cell r="N1362" t="str">
            <v>TIN2060-M</v>
          </cell>
        </row>
        <row r="1363">
          <cell r="A1363" t="str">
            <v>Quikcell</v>
          </cell>
          <cell r="C1363" t="str">
            <v>TIN2136-M</v>
          </cell>
          <cell r="D1363" t="str">
            <v>846537087356</v>
          </cell>
          <cell r="E1363" t="str">
            <v>Quikcell iPhone 14 ICON TINT Transparent Protective Case - Ice</v>
          </cell>
          <cell r="F1363" t="str">
            <v>Cases iPhone</v>
          </cell>
          <cell r="G1363" t="str">
            <v>iPhone 14</v>
          </cell>
          <cell r="H1363" t="str">
            <v>iPhone 14</v>
          </cell>
          <cell r="I1363">
            <v>376.96</v>
          </cell>
          <cell r="J1363">
            <v>0.26999398998330559</v>
          </cell>
          <cell r="K1363">
            <v>599</v>
          </cell>
          <cell r="L1363" t="str">
            <v>Liverpool</v>
          </cell>
          <cell r="M1363" t="str">
            <v>Discontinued</v>
          </cell>
          <cell r="N1363" t="str">
            <v>TIN2136-M</v>
          </cell>
        </row>
        <row r="1364">
          <cell r="A1364" t="str">
            <v>Quikcell</v>
          </cell>
          <cell r="C1364" t="str">
            <v>TIN2141-M</v>
          </cell>
          <cell r="D1364" t="str">
            <v>846537087585</v>
          </cell>
          <cell r="E1364" t="str">
            <v>Quikcell iPhone 14 Plus ICON TINT Transparent Protective Case - Ice</v>
          </cell>
          <cell r="F1364" t="str">
            <v>Cases iPhone</v>
          </cell>
          <cell r="G1364" t="str">
            <v>iPhone 14</v>
          </cell>
          <cell r="H1364" t="str">
            <v>iPhone 14 Plus</v>
          </cell>
          <cell r="I1364">
            <v>309.83</v>
          </cell>
          <cell r="J1364">
            <v>0.399995325542571</v>
          </cell>
          <cell r="K1364">
            <v>599</v>
          </cell>
          <cell r="L1364" t="str">
            <v>Liverpool</v>
          </cell>
          <cell r="M1364" t="str">
            <v>Discontinued</v>
          </cell>
          <cell r="N1364" t="str">
            <v>TIN2141-M</v>
          </cell>
        </row>
        <row r="1365">
          <cell r="A1365" t="str">
            <v>Quikcell</v>
          </cell>
          <cell r="C1365" t="str">
            <v>TIN2142-M</v>
          </cell>
          <cell r="D1365" t="str">
            <v>846537087592</v>
          </cell>
          <cell r="E1365" t="str">
            <v>Quikcell iPhone 14 Plus ICON TINT Transparent Protective Case – Smoke</v>
          </cell>
          <cell r="F1365" t="str">
            <v>Cases iPhone</v>
          </cell>
          <cell r="G1365" t="str">
            <v>iPhone 14</v>
          </cell>
          <cell r="H1365" t="str">
            <v>iPhone 14 Plus</v>
          </cell>
          <cell r="I1365">
            <v>309.83</v>
          </cell>
          <cell r="J1365">
            <v>0.399995325542571</v>
          </cell>
          <cell r="K1365">
            <v>599</v>
          </cell>
          <cell r="L1365" t="str">
            <v>Liverpool</v>
          </cell>
          <cell r="M1365" t="str">
            <v>Discontinued</v>
          </cell>
          <cell r="N1365" t="str">
            <v>TIN2142-M</v>
          </cell>
        </row>
        <row r="1366">
          <cell r="A1366" t="str">
            <v>Quikcell</v>
          </cell>
          <cell r="C1366" t="str">
            <v>TIN2141-M</v>
          </cell>
          <cell r="D1366" t="str">
            <v>846537087585</v>
          </cell>
          <cell r="E1366" t="str">
            <v>Quikcell iPhone 14 Plus ICON TINT Transparent Protective Case - Ice</v>
          </cell>
          <cell r="F1366" t="str">
            <v>Cases iPhone</v>
          </cell>
          <cell r="G1366" t="str">
            <v>iPhone 14</v>
          </cell>
          <cell r="H1366" t="str">
            <v>iPhone 14 Plus</v>
          </cell>
          <cell r="I1366">
            <v>376.96</v>
          </cell>
          <cell r="J1366">
            <v>0.26999398998330559</v>
          </cell>
          <cell r="K1366">
            <v>599</v>
          </cell>
          <cell r="L1366" t="str">
            <v>Liverpool</v>
          </cell>
          <cell r="M1366" t="str">
            <v>Discontinued</v>
          </cell>
          <cell r="N1366" t="str">
            <v>TIN2141-M</v>
          </cell>
        </row>
        <row r="1367">
          <cell r="A1367" t="str">
            <v>Quikcell</v>
          </cell>
          <cell r="C1367" t="str">
            <v>TIN2142-M</v>
          </cell>
          <cell r="D1367" t="str">
            <v>846537087592</v>
          </cell>
          <cell r="E1367" t="str">
            <v>Quikcell iPhone 14 Plus ICON TINT Transparent Protective Case – Smoke</v>
          </cell>
          <cell r="F1367" t="str">
            <v>Cases iPhone</v>
          </cell>
          <cell r="G1367" t="str">
            <v>iPhone 14</v>
          </cell>
          <cell r="H1367" t="str">
            <v>iPhone 14 Plus</v>
          </cell>
          <cell r="I1367">
            <v>376.96</v>
          </cell>
          <cell r="J1367">
            <v>0.26999398998330559</v>
          </cell>
          <cell r="K1367">
            <v>599</v>
          </cell>
          <cell r="L1367" t="str">
            <v>Liverpool</v>
          </cell>
          <cell r="M1367" t="str">
            <v>Discontinued</v>
          </cell>
          <cell r="N1367" t="str">
            <v>TIN2142-M</v>
          </cell>
        </row>
        <row r="1368">
          <cell r="A1368" t="str">
            <v>Quikcell</v>
          </cell>
          <cell r="C1368" t="str">
            <v>TIN2139-M</v>
          </cell>
          <cell r="D1368" t="str">
            <v>846537087479</v>
          </cell>
          <cell r="E1368" t="str">
            <v>Quikcell iPhone 14 Pro ICON TINT Transparent Protective Case - Ice</v>
          </cell>
          <cell r="F1368" t="str">
            <v>Cases iPhone</v>
          </cell>
          <cell r="G1368" t="str">
            <v>iPhone 14</v>
          </cell>
          <cell r="H1368" t="str">
            <v>iPhone 14 Pro</v>
          </cell>
          <cell r="I1368">
            <v>309.83</v>
          </cell>
          <cell r="J1368">
            <v>0.399995325542571</v>
          </cell>
          <cell r="K1368">
            <v>599</v>
          </cell>
          <cell r="L1368" t="str">
            <v>Liverpool</v>
          </cell>
          <cell r="M1368" t="str">
            <v>Discontinued</v>
          </cell>
          <cell r="N1368" t="str">
            <v>TIN2139-M</v>
          </cell>
        </row>
        <row r="1369">
          <cell r="A1369" t="str">
            <v>Quikcell</v>
          </cell>
          <cell r="C1369" t="str">
            <v>TIN2140-M</v>
          </cell>
          <cell r="D1369" t="str">
            <v>846537087486</v>
          </cell>
          <cell r="E1369" t="str">
            <v>Quikcell iPhone 14 Pro ICON TINT Transparent Protective Case – Smoke</v>
          </cell>
          <cell r="F1369" t="str">
            <v>Cases iPhone</v>
          </cell>
          <cell r="G1369" t="str">
            <v>iPhone 14</v>
          </cell>
          <cell r="H1369" t="str">
            <v>iPhone 14 Pro</v>
          </cell>
          <cell r="I1369">
            <v>309.83</v>
          </cell>
          <cell r="J1369">
            <v>0.399995325542571</v>
          </cell>
          <cell r="K1369">
            <v>599</v>
          </cell>
          <cell r="L1369" t="str">
            <v>Liverpool</v>
          </cell>
          <cell r="M1369" t="str">
            <v>Discontinued</v>
          </cell>
          <cell r="N1369" t="str">
            <v>TIN2140-M</v>
          </cell>
        </row>
        <row r="1370">
          <cell r="A1370" t="str">
            <v>Quikcell</v>
          </cell>
          <cell r="C1370" t="str">
            <v>TIN2139-M</v>
          </cell>
          <cell r="D1370" t="str">
            <v>846537087479</v>
          </cell>
          <cell r="E1370" t="str">
            <v>Quikcell iPhone 14 Pro ICON TINT Transparent Protective Case - Ice</v>
          </cell>
          <cell r="F1370" t="str">
            <v>Cases iPhone</v>
          </cell>
          <cell r="G1370" t="str">
            <v>iPhone 14</v>
          </cell>
          <cell r="H1370" t="str">
            <v>iPhone 14 Pro</v>
          </cell>
          <cell r="I1370">
            <v>376.96</v>
          </cell>
          <cell r="J1370">
            <v>0.26999398998330559</v>
          </cell>
          <cell r="K1370">
            <v>599</v>
          </cell>
          <cell r="L1370" t="str">
            <v>Liverpool</v>
          </cell>
          <cell r="M1370" t="str">
            <v>Discontinued</v>
          </cell>
          <cell r="N1370" t="str">
            <v>TIN2139-M</v>
          </cell>
        </row>
        <row r="1371">
          <cell r="A1371" t="str">
            <v>Quikcell</v>
          </cell>
          <cell r="C1371" t="str">
            <v>TIN2140-M</v>
          </cell>
          <cell r="D1371" t="str">
            <v>846537087486</v>
          </cell>
          <cell r="E1371" t="str">
            <v>Quikcell iPhone 14 Pro ICON TINT Transparent Protective Case – Smoke</v>
          </cell>
          <cell r="F1371" t="str">
            <v>Cases iPhone</v>
          </cell>
          <cell r="G1371" t="str">
            <v>iPhone 14</v>
          </cell>
          <cell r="H1371" t="str">
            <v>iPhone 14 Pro</v>
          </cell>
          <cell r="I1371">
            <v>376.96</v>
          </cell>
          <cell r="J1371">
            <v>0.26999398998330559</v>
          </cell>
          <cell r="K1371">
            <v>599</v>
          </cell>
          <cell r="L1371" t="str">
            <v>Liverpool</v>
          </cell>
          <cell r="M1371" t="str">
            <v>Discontinued</v>
          </cell>
          <cell r="N1371" t="str">
            <v>TIN2140-M</v>
          </cell>
        </row>
        <row r="1372">
          <cell r="A1372" t="str">
            <v>Quikcell</v>
          </cell>
          <cell r="C1372" t="str">
            <v>TIN2144-M</v>
          </cell>
          <cell r="D1372" t="str">
            <v>846537087691</v>
          </cell>
          <cell r="E1372" t="str">
            <v>Quikcell iPhone 14 Pro Max ICON TINT Transparent Protective Case – Ice</v>
          </cell>
          <cell r="F1372" t="str">
            <v>Cases iPhone</v>
          </cell>
          <cell r="G1372" t="str">
            <v>iPhone 14</v>
          </cell>
          <cell r="H1372" t="str">
            <v>iPhone 14 Pro</v>
          </cell>
          <cell r="I1372">
            <v>309.83</v>
          </cell>
          <cell r="J1372">
            <v>0.399995325542571</v>
          </cell>
          <cell r="K1372">
            <v>599</v>
          </cell>
          <cell r="L1372" t="str">
            <v>Liverpool</v>
          </cell>
          <cell r="M1372" t="str">
            <v>Discontinued</v>
          </cell>
          <cell r="N1372" t="str">
            <v>TIN2144-M</v>
          </cell>
        </row>
        <row r="1373">
          <cell r="A1373" t="str">
            <v>Quikcell</v>
          </cell>
          <cell r="C1373" t="str">
            <v>TIN2144-M</v>
          </cell>
          <cell r="D1373" t="str">
            <v>846537087691</v>
          </cell>
          <cell r="E1373" t="str">
            <v>Quikcell iPhone 14 Pro Max ICON TINT Transparent Protective Case – Ice</v>
          </cell>
          <cell r="F1373" t="str">
            <v>Cases iPhone</v>
          </cell>
          <cell r="G1373" t="str">
            <v>iPhone 14</v>
          </cell>
          <cell r="H1373" t="str">
            <v>iPhone 14 Pro</v>
          </cell>
          <cell r="I1373">
            <v>376.96</v>
          </cell>
          <cell r="J1373">
            <v>0.26999398998330559</v>
          </cell>
          <cell r="K1373">
            <v>599</v>
          </cell>
          <cell r="L1373" t="str">
            <v>Liverpool</v>
          </cell>
          <cell r="M1373" t="str">
            <v>Discontinued</v>
          </cell>
          <cell r="N1373" t="str">
            <v>TIN2144-M</v>
          </cell>
        </row>
        <row r="1374">
          <cell r="A1374" t="str">
            <v>Quikcell</v>
          </cell>
          <cell r="B1374">
            <v>112179124</v>
          </cell>
          <cell r="C1374" t="str">
            <v>LPOUCH</v>
          </cell>
          <cell r="D1374" t="str">
            <v>846537083013</v>
          </cell>
          <cell r="E1374" t="str">
            <v>Quikcell SLIM Universal Large Phone Pouch - Carbon Black</v>
          </cell>
          <cell r="F1374" t="str">
            <v>Cases Universal</v>
          </cell>
          <cell r="G1374" t="str">
            <v>Universal</v>
          </cell>
          <cell r="H1374" t="str">
            <v>Phone</v>
          </cell>
          <cell r="I1374">
            <v>376.96</v>
          </cell>
          <cell r="J1374">
            <v>0.26999398998330559</v>
          </cell>
          <cell r="K1374">
            <v>599</v>
          </cell>
          <cell r="L1374" t="str">
            <v>Liverpool</v>
          </cell>
          <cell r="M1374" t="str">
            <v>Discontinued</v>
          </cell>
          <cell r="N1374" t="str">
            <v>LPOUCH-M</v>
          </cell>
        </row>
        <row r="1375">
          <cell r="A1375" t="str">
            <v>Quikcell</v>
          </cell>
          <cell r="B1375">
            <v>1121792024</v>
          </cell>
          <cell r="C1375" t="str">
            <v>MFOLIOTAB</v>
          </cell>
          <cell r="D1375" t="str">
            <v>846537082986</v>
          </cell>
          <cell r="E1375" t="str">
            <v>Quikcell FLEX TAB Universal 7-8" Tablet Folio Case  - Carbon Black</v>
          </cell>
          <cell r="F1375" t="str">
            <v>Cases Universal</v>
          </cell>
          <cell r="G1375" t="str">
            <v>Universal</v>
          </cell>
          <cell r="H1375" t="str">
            <v>Tablet</v>
          </cell>
          <cell r="I1375">
            <v>376.96</v>
          </cell>
          <cell r="J1375">
            <v>0.26999398998330559</v>
          </cell>
          <cell r="K1375">
            <v>599</v>
          </cell>
          <cell r="L1375" t="str">
            <v>Liverpool</v>
          </cell>
          <cell r="M1375" t="str">
            <v>Discontinued</v>
          </cell>
          <cell r="N1375" t="str">
            <v>MFOLIOTAB-M</v>
          </cell>
        </row>
        <row r="1376">
          <cell r="A1376" t="str">
            <v>Quikcell</v>
          </cell>
          <cell r="B1376">
            <v>1100145339</v>
          </cell>
          <cell r="C1376" t="str">
            <v>QFL36-BLK</v>
          </cell>
          <cell r="D1376" t="str">
            <v>846537073595</v>
          </cell>
          <cell r="E1376" t="str">
            <v>QuikCell Universal Folios- Black</v>
          </cell>
          <cell r="F1376" t="str">
            <v>Cases Universal</v>
          </cell>
          <cell r="G1376" t="str">
            <v>Universal</v>
          </cell>
          <cell r="H1376" t="str">
            <v>Universal</v>
          </cell>
          <cell r="I1376">
            <v>314.02999999999997</v>
          </cell>
          <cell r="J1376">
            <v>0.26999038076152315</v>
          </cell>
          <cell r="K1376">
            <v>499</v>
          </cell>
          <cell r="L1376" t="str">
            <v>Liverpool</v>
          </cell>
          <cell r="M1376" t="str">
            <v>Discontinued</v>
          </cell>
          <cell r="N1376" t="str">
            <v>QFL36-BLK-M</v>
          </cell>
        </row>
        <row r="1377">
          <cell r="A1377" t="str">
            <v>Quikcell</v>
          </cell>
          <cell r="B1377">
            <v>1121791249</v>
          </cell>
          <cell r="C1377" t="str">
            <v>QFL36-BLK</v>
          </cell>
          <cell r="D1377" t="str">
            <v>846537073595</v>
          </cell>
          <cell r="E1377" t="str">
            <v>QuikCell Universal Folios- Black</v>
          </cell>
          <cell r="F1377" t="str">
            <v>Cases Universal</v>
          </cell>
          <cell r="G1377" t="str">
            <v>Universal</v>
          </cell>
          <cell r="H1377" t="str">
            <v>Universal</v>
          </cell>
          <cell r="I1377">
            <v>314.02999999999997</v>
          </cell>
          <cell r="J1377">
            <v>0.26999038076152315</v>
          </cell>
          <cell r="K1377">
            <v>499</v>
          </cell>
          <cell r="L1377" t="str">
            <v>Liverpool</v>
          </cell>
          <cell r="M1377" t="str">
            <v>Discontinued</v>
          </cell>
          <cell r="N1377" t="str">
            <v>QFL36-BLK-M</v>
          </cell>
        </row>
        <row r="1378">
          <cell r="A1378" t="str">
            <v>Quikcell</v>
          </cell>
          <cell r="B1378">
            <v>1121797921</v>
          </cell>
          <cell r="C1378" t="str">
            <v>QCVPA2001</v>
          </cell>
          <cell r="D1378" t="str">
            <v>846537076985</v>
          </cell>
          <cell r="E1378" t="str">
            <v>Quikcell DUAL PORT CAR CHARGER  2 USB A x 12W - 24W</v>
          </cell>
          <cell r="F1378" t="str">
            <v>Charger</v>
          </cell>
          <cell r="G1378" t="str">
            <v>Car Charger</v>
          </cell>
          <cell r="H1378" t="str">
            <v>24W</v>
          </cell>
          <cell r="I1378">
            <v>219.63</v>
          </cell>
          <cell r="J1378">
            <v>0.26999770773638976</v>
          </cell>
          <cell r="K1378">
            <v>349</v>
          </cell>
          <cell r="L1378" t="str">
            <v>Liverpool</v>
          </cell>
          <cell r="M1378" t="str">
            <v>Discontinued</v>
          </cell>
          <cell r="N1378" t="str">
            <v>QCVPA2001-M</v>
          </cell>
        </row>
        <row r="1379">
          <cell r="A1379" t="str">
            <v>Quikcell</v>
          </cell>
          <cell r="B1379">
            <v>1105649696</v>
          </cell>
          <cell r="C1379" t="str">
            <v>QCVPA2002</v>
          </cell>
          <cell r="D1379" t="str">
            <v>846537076992</v>
          </cell>
          <cell r="E1379" t="str">
            <v>Quikcell DUAL PORT CAR CHARGER  1 USB A 12W + USB C PD 20W - 32W</v>
          </cell>
          <cell r="F1379" t="str">
            <v>Charger</v>
          </cell>
          <cell r="G1379" t="str">
            <v>Car Charger</v>
          </cell>
          <cell r="H1379" t="str">
            <v>32 W</v>
          </cell>
          <cell r="I1379">
            <v>282.56</v>
          </cell>
          <cell r="J1379">
            <v>0.27000089086859691</v>
          </cell>
          <cell r="K1379">
            <v>449</v>
          </cell>
          <cell r="L1379" t="str">
            <v>Liverpool</v>
          </cell>
          <cell r="M1379" t="str">
            <v>Discontinued</v>
          </cell>
          <cell r="N1379" t="str">
            <v>QCVPA2002-M</v>
          </cell>
        </row>
        <row r="1380">
          <cell r="A1380" t="str">
            <v>Quikcell</v>
          </cell>
          <cell r="B1380">
            <v>1122672421</v>
          </cell>
          <cell r="C1380" t="str">
            <v>QCVPA2002</v>
          </cell>
          <cell r="D1380" t="str">
            <v>846537076992</v>
          </cell>
          <cell r="E1380" t="str">
            <v>Quikcell DUAL PORT CAR CHARGER  1 USB A 12W + USB C PD 20W - 32W</v>
          </cell>
          <cell r="F1380" t="str">
            <v>Charger</v>
          </cell>
          <cell r="G1380" t="str">
            <v>Car Charger</v>
          </cell>
          <cell r="H1380" t="str">
            <v>32 W</v>
          </cell>
          <cell r="I1380">
            <v>282.56</v>
          </cell>
          <cell r="J1380">
            <v>0.27000089086859691</v>
          </cell>
          <cell r="K1380">
            <v>449</v>
          </cell>
          <cell r="L1380" t="str">
            <v>Liverpool</v>
          </cell>
          <cell r="M1380" t="str">
            <v>Discontinued</v>
          </cell>
          <cell r="N1380" t="str">
            <v>QCVPA2002-M</v>
          </cell>
        </row>
        <row r="1381">
          <cell r="A1381" t="str">
            <v>Quikcell</v>
          </cell>
          <cell r="B1381">
            <v>1100604210</v>
          </cell>
          <cell r="C1381" t="str">
            <v>QC-PWRBANK10K</v>
          </cell>
          <cell r="D1381" t="str">
            <v>846537073618</v>
          </cell>
          <cell r="E1381" t="str">
            <v>Quikcell POWERFUEL WIRELESS 10K mAh Powerbank - Black</v>
          </cell>
          <cell r="F1381" t="str">
            <v>Charger</v>
          </cell>
          <cell r="G1381" t="str">
            <v>Power Bank</v>
          </cell>
          <cell r="H1381" t="str">
            <v>10,000 mAh</v>
          </cell>
          <cell r="I1381">
            <v>754.54</v>
          </cell>
          <cell r="J1381">
            <v>0.2700030025020852</v>
          </cell>
          <cell r="K1381">
            <v>1199</v>
          </cell>
          <cell r="L1381" t="str">
            <v>Liverpool</v>
          </cell>
          <cell r="M1381" t="str">
            <v>Discontinued</v>
          </cell>
          <cell r="N1381" t="str">
            <v>QC-PWRBANK10K-M</v>
          </cell>
        </row>
        <row r="1382">
          <cell r="A1382" t="str">
            <v>Quikcell</v>
          </cell>
          <cell r="B1382">
            <v>1100996827</v>
          </cell>
          <cell r="C1382" t="str">
            <v>QC-PWRBANK6K</v>
          </cell>
          <cell r="D1382" t="str">
            <v>846537073601</v>
          </cell>
          <cell r="E1382" t="str">
            <v>Quikcell POWERFUEL 6K mAh Powerbank - Black</v>
          </cell>
          <cell r="F1382" t="str">
            <v>Charger</v>
          </cell>
          <cell r="G1382" t="str">
            <v>Power Bank</v>
          </cell>
          <cell r="H1382" t="str">
            <v>6,000 mAh</v>
          </cell>
          <cell r="I1382">
            <v>314.02999999999997</v>
          </cell>
          <cell r="J1382">
            <v>0.26999038076152315</v>
          </cell>
          <cell r="K1382">
            <v>499</v>
          </cell>
          <cell r="L1382" t="str">
            <v>Liverpool</v>
          </cell>
          <cell r="M1382" t="str">
            <v>Discontinued</v>
          </cell>
          <cell r="N1382" t="str">
            <v>QC-PWRBANK6K-M</v>
          </cell>
        </row>
        <row r="1383">
          <cell r="A1383" t="str">
            <v>Quikcell</v>
          </cell>
          <cell r="B1383">
            <v>1122644231</v>
          </cell>
          <cell r="C1383" t="str">
            <v>QTRC2009</v>
          </cell>
          <cell r="D1383" t="str">
            <v>846537085529</v>
          </cell>
          <cell r="E1383" t="str">
            <v>Quikcell PD 25W single port USB-C output</v>
          </cell>
          <cell r="F1383" t="str">
            <v>Charger</v>
          </cell>
          <cell r="G1383" t="str">
            <v>Wall charger</v>
          </cell>
          <cell r="H1383" t="str">
            <v>25W</v>
          </cell>
          <cell r="I1383">
            <v>282.56</v>
          </cell>
          <cell r="J1383">
            <v>0.27000089086859691</v>
          </cell>
          <cell r="K1383">
            <v>449</v>
          </cell>
          <cell r="L1383" t="str">
            <v>Liverpool</v>
          </cell>
          <cell r="M1383" t="str">
            <v>Discontinued</v>
          </cell>
          <cell r="N1383" t="str">
            <v>QTRC2009-M</v>
          </cell>
        </row>
        <row r="1384">
          <cell r="A1384" t="str">
            <v>Quikcell</v>
          </cell>
          <cell r="B1384">
            <v>1074469619</v>
          </cell>
          <cell r="C1384" t="str">
            <v>QC-PWRBASE2-BLK</v>
          </cell>
          <cell r="D1384" t="str">
            <v>846537053184</v>
          </cell>
          <cell r="E1384" t="str">
            <v>Quikcell POWERBASE 2 Wireless Charging Pad - 10W</v>
          </cell>
          <cell r="F1384" t="str">
            <v>Charger</v>
          </cell>
          <cell r="G1384" t="str">
            <v>Wireless</v>
          </cell>
          <cell r="H1384" t="str">
            <v>10 W</v>
          </cell>
          <cell r="I1384">
            <v>502.82</v>
          </cell>
          <cell r="J1384">
            <v>0.26999849812265342</v>
          </cell>
          <cell r="K1384">
            <v>799</v>
          </cell>
          <cell r="L1384" t="str">
            <v>Liverpool</v>
          </cell>
          <cell r="M1384" t="str">
            <v>Discontinued</v>
          </cell>
          <cell r="N1384" t="str">
            <v>QC-PWRBASE2-BLK-M</v>
          </cell>
        </row>
        <row r="1385">
          <cell r="A1385" t="str">
            <v>Quikcell</v>
          </cell>
          <cell r="B1385">
            <v>1100603388</v>
          </cell>
          <cell r="C1385" t="str">
            <v>QC-TRIO</v>
          </cell>
          <cell r="D1385" t="str">
            <v>846537072215</v>
          </cell>
          <cell r="E1385" t="str">
            <v>Quikcell TRIO 3 in 1 Wireless Charging Pad - White</v>
          </cell>
          <cell r="F1385" t="str">
            <v>Charger</v>
          </cell>
          <cell r="G1385" t="str">
            <v>Wireless</v>
          </cell>
          <cell r="H1385" t="str">
            <v>10 W</v>
          </cell>
          <cell r="I1385">
            <v>1069.2</v>
          </cell>
          <cell r="J1385">
            <v>0.26999882283696297</v>
          </cell>
          <cell r="K1385">
            <v>1699</v>
          </cell>
          <cell r="L1385" t="str">
            <v>Liverpool</v>
          </cell>
          <cell r="M1385" t="str">
            <v>Discontinued</v>
          </cell>
          <cell r="N1385" t="str">
            <v>QC-TRIO-M</v>
          </cell>
        </row>
        <row r="1386">
          <cell r="A1386" t="str">
            <v>Quikcell</v>
          </cell>
          <cell r="B1386">
            <v>1121790421</v>
          </cell>
          <cell r="C1386" t="str">
            <v>PWERFLIP-BLK</v>
          </cell>
          <cell r="D1386" t="str">
            <v>846537080722</v>
          </cell>
          <cell r="E1386" t="str">
            <v>Quikcell POWERFLIP 15W wireless 2-in-1 charger</v>
          </cell>
          <cell r="F1386" t="str">
            <v>Charger</v>
          </cell>
          <cell r="G1386" t="str">
            <v>Wireless</v>
          </cell>
          <cell r="H1386" t="str">
            <v>15 W</v>
          </cell>
          <cell r="I1386">
            <v>754.54</v>
          </cell>
          <cell r="J1386">
            <v>0.2700030025020852</v>
          </cell>
          <cell r="K1386">
            <v>1199</v>
          </cell>
          <cell r="L1386" t="str">
            <v>Liverpool</v>
          </cell>
          <cell r="M1386" t="str">
            <v>Discontinued</v>
          </cell>
          <cell r="N1386" t="str">
            <v>PWERFLIP-BLK-M</v>
          </cell>
        </row>
        <row r="1387">
          <cell r="A1387" t="str">
            <v>Quikcell</v>
          </cell>
          <cell r="B1387">
            <v>1121797166</v>
          </cell>
          <cell r="C1387" t="str">
            <v>DRIVEDOCK-C</v>
          </cell>
          <cell r="D1387" t="str">
            <v>846537082672</v>
          </cell>
          <cell r="E1387" t="str">
            <v>Quikcell Mount+Suction+Vent 2 in 1 air vent Dashboad Car Mount Charge</v>
          </cell>
          <cell r="F1387" t="str">
            <v>Hardware</v>
          </cell>
          <cell r="G1387" t="str">
            <v>Car Mount</v>
          </cell>
          <cell r="H1387" t="str">
            <v>Car Mount</v>
          </cell>
          <cell r="I1387">
            <v>502.82</v>
          </cell>
          <cell r="J1387">
            <v>0.26999849812265342</v>
          </cell>
          <cell r="K1387">
            <v>799</v>
          </cell>
          <cell r="L1387" t="str">
            <v>Liverpool</v>
          </cell>
          <cell r="M1387" t="str">
            <v>Discontinued</v>
          </cell>
          <cell r="N1387" t="str">
            <v>DRIVEDOCK-C-M</v>
          </cell>
        </row>
        <row r="1388">
          <cell r="A1388" t="str">
            <v>Quikcell</v>
          </cell>
          <cell r="B1388">
            <v>1121797760</v>
          </cell>
          <cell r="C1388" t="str">
            <v>DRIVEDOCK</v>
          </cell>
          <cell r="D1388" t="str">
            <v>846537082122</v>
          </cell>
          <cell r="E1388" t="str">
            <v>Quikcell Mount+Suction+Vent 2 in 1 air vent Dashboad Car Mount</v>
          </cell>
          <cell r="F1388" t="str">
            <v>Hardware</v>
          </cell>
          <cell r="G1388" t="str">
            <v>Car Mount</v>
          </cell>
          <cell r="H1388" t="str">
            <v>Car Mount</v>
          </cell>
          <cell r="I1388">
            <v>251.09</v>
          </cell>
          <cell r="J1388">
            <v>0.27001403508771937</v>
          </cell>
          <cell r="K1388">
            <v>399</v>
          </cell>
          <cell r="L1388" t="str">
            <v>Liverpool</v>
          </cell>
          <cell r="M1388" t="str">
            <v>Discontinued</v>
          </cell>
          <cell r="N1388" t="str">
            <v>DRIVEDOCK-M</v>
          </cell>
        </row>
        <row r="1389">
          <cell r="A1389" t="str">
            <v>Quikcell</v>
          </cell>
          <cell r="B1389">
            <v>1121798057</v>
          </cell>
          <cell r="C1389" t="str">
            <v>GQC2060</v>
          </cell>
          <cell r="D1389" t="str">
            <v>846537082955</v>
          </cell>
          <cell r="E1389" t="str">
            <v>Quikcell Apple iPad Air 10.9” TEMPERED GLASS Screen Protector</v>
          </cell>
          <cell r="F1389" t="str">
            <v>Micas</v>
          </cell>
          <cell r="G1389" t="str">
            <v>iPad</v>
          </cell>
          <cell r="H1389" t="str">
            <v>iPad Air 10/11 Gen 11" M3-M2</v>
          </cell>
          <cell r="I1389">
            <v>565.75</v>
          </cell>
          <cell r="J1389">
            <v>0.27</v>
          </cell>
          <cell r="K1389">
            <v>899</v>
          </cell>
          <cell r="L1389" t="str">
            <v>Liverpool</v>
          </cell>
          <cell r="M1389" t="str">
            <v>Discontinued</v>
          </cell>
          <cell r="N1389" t="str">
            <v>GQC2060-M</v>
          </cell>
        </row>
        <row r="1390">
          <cell r="A1390" t="str">
            <v>Quikcell</v>
          </cell>
          <cell r="C1390" t="str">
            <v>GQC2134-M</v>
          </cell>
          <cell r="D1390" t="str">
            <v>846537087370</v>
          </cell>
          <cell r="E1390" t="str">
            <v>Quikcell Tempered Glass Screen Protector for iPhone 14</v>
          </cell>
          <cell r="F1390" t="str">
            <v>Micas</v>
          </cell>
          <cell r="G1390" t="str">
            <v>iPhone 14</v>
          </cell>
          <cell r="H1390" t="str">
            <v>iPhone 14</v>
          </cell>
          <cell r="I1390">
            <v>309.83</v>
          </cell>
          <cell r="J1390">
            <v>0.399995325542571</v>
          </cell>
          <cell r="K1390">
            <v>599</v>
          </cell>
          <cell r="L1390" t="str">
            <v>Liverpool</v>
          </cell>
          <cell r="M1390" t="str">
            <v>Discontinued</v>
          </cell>
          <cell r="N1390" t="str">
            <v>GQC2134-M</v>
          </cell>
        </row>
        <row r="1391">
          <cell r="A1391" t="str">
            <v>Quikcell</v>
          </cell>
          <cell r="C1391" t="str">
            <v>GQC2134-M</v>
          </cell>
          <cell r="D1391" t="str">
            <v>846537087370</v>
          </cell>
          <cell r="E1391" t="str">
            <v>Quikcell Tempered Glass Screen Protector for iPhone 14</v>
          </cell>
          <cell r="F1391" t="str">
            <v>Micas</v>
          </cell>
          <cell r="G1391" t="str">
            <v>iPhone 14</v>
          </cell>
          <cell r="H1391" t="str">
            <v>iPhone 14</v>
          </cell>
          <cell r="I1391">
            <v>376.96</v>
          </cell>
          <cell r="J1391">
            <v>0.26999398998330559</v>
          </cell>
          <cell r="K1391">
            <v>599</v>
          </cell>
          <cell r="L1391" t="str">
            <v>Liverpool</v>
          </cell>
          <cell r="M1391" t="str">
            <v>Discontinued</v>
          </cell>
          <cell r="N1391" t="str">
            <v>GQC2134-M</v>
          </cell>
        </row>
        <row r="1392">
          <cell r="A1392" t="str">
            <v>Quikcell</v>
          </cell>
          <cell r="C1392" t="str">
            <v>GQC2136-M</v>
          </cell>
          <cell r="D1392" t="str">
            <v>846537087608</v>
          </cell>
          <cell r="E1392" t="str">
            <v>Quikcell Tempered Glass Screen Protector for iPhone 14 Plus</v>
          </cell>
          <cell r="F1392" t="str">
            <v>Micas</v>
          </cell>
          <cell r="G1392" t="str">
            <v>iPhone 14</v>
          </cell>
          <cell r="H1392" t="str">
            <v>iPhone 14 Plus</v>
          </cell>
          <cell r="I1392">
            <v>309.83</v>
          </cell>
          <cell r="J1392">
            <v>0.399995325542571</v>
          </cell>
          <cell r="K1392">
            <v>599</v>
          </cell>
          <cell r="L1392" t="str">
            <v>Liverpool</v>
          </cell>
          <cell r="M1392" t="str">
            <v>Discontinued</v>
          </cell>
          <cell r="N1392" t="str">
            <v>GQC2136-M</v>
          </cell>
        </row>
        <row r="1393">
          <cell r="A1393" t="str">
            <v>Quikcell</v>
          </cell>
          <cell r="C1393" t="str">
            <v>GQC2136-M</v>
          </cell>
          <cell r="D1393" t="str">
            <v>846537087608</v>
          </cell>
          <cell r="E1393" t="str">
            <v>Quikcell Tempered Glass Screen Protector for iPhone 14 Plus</v>
          </cell>
          <cell r="F1393" t="str">
            <v>Micas</v>
          </cell>
          <cell r="G1393" t="str">
            <v>iPhone 14</v>
          </cell>
          <cell r="H1393" t="str">
            <v>iPhone 14 Plus</v>
          </cell>
          <cell r="I1393">
            <v>376.96</v>
          </cell>
          <cell r="J1393">
            <v>0.26999398998330559</v>
          </cell>
          <cell r="K1393">
            <v>599</v>
          </cell>
          <cell r="L1393" t="str">
            <v>Liverpool</v>
          </cell>
          <cell r="M1393" t="str">
            <v>Discontinued</v>
          </cell>
          <cell r="N1393" t="str">
            <v>GQC2136-M</v>
          </cell>
        </row>
        <row r="1394">
          <cell r="A1394" t="str">
            <v>Quikcell</v>
          </cell>
          <cell r="C1394" t="str">
            <v>GQC2135-M</v>
          </cell>
          <cell r="D1394" t="str">
            <v>846537087493</v>
          </cell>
          <cell r="E1394" t="str">
            <v>Quikcell Apple iPhone 14 Pro TEMPERED GLASS Screen Protector</v>
          </cell>
          <cell r="F1394" t="str">
            <v>Micas</v>
          </cell>
          <cell r="G1394" t="str">
            <v>iPhone 14</v>
          </cell>
          <cell r="H1394" t="str">
            <v>iPhone 14 Pro</v>
          </cell>
          <cell r="I1394">
            <v>309.83</v>
          </cell>
          <cell r="J1394">
            <v>0.399995325542571</v>
          </cell>
          <cell r="K1394">
            <v>599</v>
          </cell>
          <cell r="L1394" t="str">
            <v>Liverpool</v>
          </cell>
          <cell r="M1394" t="str">
            <v>Discontinued</v>
          </cell>
          <cell r="N1394" t="str">
            <v>GQC2135-M</v>
          </cell>
        </row>
        <row r="1395">
          <cell r="A1395" t="str">
            <v>Quikcell</v>
          </cell>
          <cell r="C1395" t="str">
            <v>GQC2135-M</v>
          </cell>
          <cell r="D1395" t="str">
            <v>846537087493</v>
          </cell>
          <cell r="E1395" t="str">
            <v>Quikcell Apple iPhone 14 Pro TEMPERED GLASS Screen Protector</v>
          </cell>
          <cell r="F1395" t="str">
            <v>Micas</v>
          </cell>
          <cell r="G1395" t="str">
            <v>iPhone 14</v>
          </cell>
          <cell r="H1395" t="str">
            <v>iPhone 14 Pro</v>
          </cell>
          <cell r="I1395">
            <v>376.96</v>
          </cell>
          <cell r="J1395">
            <v>0.26999398998330559</v>
          </cell>
          <cell r="K1395">
            <v>599</v>
          </cell>
          <cell r="L1395" t="str">
            <v>Liverpool</v>
          </cell>
          <cell r="M1395" t="str">
            <v>Discontinued</v>
          </cell>
          <cell r="N1395" t="str">
            <v>GQC2135-M</v>
          </cell>
        </row>
        <row r="1396">
          <cell r="A1396" t="str">
            <v>Quikcell</v>
          </cell>
          <cell r="C1396" t="str">
            <v>GQC2137-M</v>
          </cell>
          <cell r="D1396" t="str">
            <v>846537087714</v>
          </cell>
          <cell r="E1396" t="str">
            <v>Quikcell Apple iPhone 14 Pro Max TEMPERED GLASS Screen Protector</v>
          </cell>
          <cell r="F1396" t="str">
            <v>Micas</v>
          </cell>
          <cell r="G1396" t="str">
            <v>iPhone 14</v>
          </cell>
          <cell r="H1396" t="str">
            <v>iPhone 14 Pro Max</v>
          </cell>
          <cell r="I1396">
            <v>309.83</v>
          </cell>
          <cell r="J1396">
            <v>0.399995325542571</v>
          </cell>
          <cell r="K1396">
            <v>599</v>
          </cell>
          <cell r="L1396" t="str">
            <v>Liverpool</v>
          </cell>
          <cell r="M1396" t="str">
            <v>Discontinued</v>
          </cell>
          <cell r="N1396" t="str">
            <v>GQC2137-M</v>
          </cell>
        </row>
        <row r="1397">
          <cell r="A1397" t="str">
            <v>Quikcell</v>
          </cell>
          <cell r="C1397" t="str">
            <v>GQC2137-M</v>
          </cell>
          <cell r="D1397" t="str">
            <v>846537087714</v>
          </cell>
          <cell r="E1397" t="str">
            <v>Quikcell Apple iPhone 14 Pro Max TEMPERED GLASS Screen Protector</v>
          </cell>
          <cell r="F1397" t="str">
            <v>Micas</v>
          </cell>
          <cell r="G1397" t="str">
            <v>iPhone 14</v>
          </cell>
          <cell r="H1397" t="str">
            <v>iPhone 14 Pro Max</v>
          </cell>
          <cell r="I1397">
            <v>376.96</v>
          </cell>
          <cell r="J1397">
            <v>0.26999398998330559</v>
          </cell>
          <cell r="K1397">
            <v>599</v>
          </cell>
          <cell r="L1397" t="str">
            <v>Liverpool</v>
          </cell>
          <cell r="M1397" t="str">
            <v>Discontinued</v>
          </cell>
          <cell r="N1397" t="str">
            <v>GQC2137-M</v>
          </cell>
        </row>
        <row r="1398">
          <cell r="A1398" t="str">
            <v>Quikcell</v>
          </cell>
          <cell r="B1398">
            <v>1100144294</v>
          </cell>
          <cell r="C1398" t="str">
            <v>QC-LIQUIDG</v>
          </cell>
          <cell r="D1398" t="str">
            <v>846537071317</v>
          </cell>
          <cell r="E1398" t="str">
            <v>Quikcell Ultra LIQUID GLASS Screen Protector</v>
          </cell>
          <cell r="F1398" t="str">
            <v>Micas</v>
          </cell>
          <cell r="G1398" t="str">
            <v>UNIVERSAL</v>
          </cell>
          <cell r="H1398" t="str">
            <v>Universal</v>
          </cell>
          <cell r="I1398">
            <v>314.02999999999997</v>
          </cell>
          <cell r="J1398">
            <v>0.26999038076152315</v>
          </cell>
          <cell r="K1398">
            <v>499</v>
          </cell>
          <cell r="L1398" t="str">
            <v>Liverpool</v>
          </cell>
          <cell r="M1398" t="str">
            <v>Discontinued</v>
          </cell>
          <cell r="N1398" t="str">
            <v>QC-LIQUIDG-M</v>
          </cell>
        </row>
        <row r="1399">
          <cell r="A1399" t="str">
            <v>Quikcell</v>
          </cell>
          <cell r="B1399">
            <v>1125513367</v>
          </cell>
          <cell r="C1399" t="str">
            <v>QAIR-WAT</v>
          </cell>
          <cell r="D1399" t="str">
            <v>846537075643</v>
          </cell>
          <cell r="E1399" t="str">
            <v>Quikcell Bundle Watch and QAIR BUDS True Wireless Earbuds with Charging Case - Black</v>
          </cell>
          <cell r="F1399" t="str">
            <v>Wearable</v>
          </cell>
          <cell r="G1399" t="str">
            <v>Smartwatch</v>
          </cell>
          <cell r="H1399" t="str">
            <v>Bundle</v>
          </cell>
          <cell r="I1399">
            <v>1263.46</v>
          </cell>
          <cell r="J1399">
            <v>0.26682661330665336</v>
          </cell>
          <cell r="K1399">
            <v>1999</v>
          </cell>
          <cell r="L1399" t="str">
            <v>Liverpool</v>
          </cell>
          <cell r="M1399" t="str">
            <v>Discontinued</v>
          </cell>
          <cell r="N1399" t="str">
            <v>QAIR-WAT-M</v>
          </cell>
        </row>
        <row r="1400">
          <cell r="A1400" t="str">
            <v>Cubitt</v>
          </cell>
          <cell r="B1400">
            <v>318443</v>
          </cell>
          <cell r="C1400" t="str">
            <v>CT-SCALE7</v>
          </cell>
          <cell r="D1400" t="str">
            <v>715834798534</v>
          </cell>
          <cell r="E1400" t="str">
            <v>Cubitt Scale Alpine White</v>
          </cell>
          <cell r="F1400" t="str">
            <v>Wearable</v>
          </cell>
          <cell r="G1400" t="str">
            <v>Scale</v>
          </cell>
          <cell r="H1400" t="str">
            <v>CT-SCALE</v>
          </cell>
          <cell r="I1400">
            <v>559.78</v>
          </cell>
          <cell r="J1400">
            <v>0.35000520520520528</v>
          </cell>
          <cell r="K1400">
            <v>999</v>
          </cell>
          <cell r="L1400" t="str">
            <v>Lumen</v>
          </cell>
          <cell r="M1400" t="str">
            <v>Discontinued</v>
          </cell>
          <cell r="N1400" t="str">
            <v>CT-SCALE7</v>
          </cell>
        </row>
        <row r="1401">
          <cell r="A1401" t="str">
            <v>Cubitt</v>
          </cell>
          <cell r="B1401">
            <v>318441</v>
          </cell>
          <cell r="C1401" t="str">
            <v>CT-SCALE</v>
          </cell>
          <cell r="D1401" t="str">
            <v>725330927543</v>
          </cell>
          <cell r="E1401" t="str">
            <v>Cubitt Scale Obsidian Black</v>
          </cell>
          <cell r="F1401" t="str">
            <v>Wearable</v>
          </cell>
          <cell r="G1401" t="str">
            <v>Scale</v>
          </cell>
          <cell r="H1401" t="str">
            <v>CT-SCALE</v>
          </cell>
          <cell r="I1401">
            <v>559.78</v>
          </cell>
          <cell r="J1401">
            <v>0.35000520520520528</v>
          </cell>
          <cell r="K1401">
            <v>999</v>
          </cell>
          <cell r="L1401" t="str">
            <v>Lumen</v>
          </cell>
          <cell r="M1401" t="str">
            <v>Discontinued</v>
          </cell>
          <cell r="N1401" t="str">
            <v>CT-SCALE</v>
          </cell>
        </row>
        <row r="1402">
          <cell r="A1402" t="str">
            <v>Cubitt</v>
          </cell>
          <cell r="B1402">
            <v>318447</v>
          </cell>
          <cell r="C1402" t="str">
            <v>CTK-1</v>
          </cell>
          <cell r="D1402" t="str">
            <v>719284923645</v>
          </cell>
          <cell r="E1402" t="str">
            <v>Cubitt Scale Mini Obsidian Black</v>
          </cell>
          <cell r="F1402" t="str">
            <v>Wearable</v>
          </cell>
          <cell r="G1402" t="str">
            <v>Scale</v>
          </cell>
          <cell r="H1402" t="str">
            <v>CTK</v>
          </cell>
          <cell r="I1402">
            <v>447.72</v>
          </cell>
          <cell r="J1402">
            <v>0.34999349186483109</v>
          </cell>
          <cell r="K1402">
            <v>799</v>
          </cell>
          <cell r="L1402" t="str">
            <v>Lumen</v>
          </cell>
          <cell r="M1402" t="str">
            <v>Discontinued</v>
          </cell>
          <cell r="N1402" t="str">
            <v>CTK-1</v>
          </cell>
        </row>
        <row r="1403">
          <cell r="A1403" t="str">
            <v>Cubitt</v>
          </cell>
          <cell r="B1403">
            <v>318449</v>
          </cell>
          <cell r="C1403" t="str">
            <v>CTK-7</v>
          </cell>
          <cell r="D1403" t="str">
            <v>719284923652</v>
          </cell>
          <cell r="E1403" t="str">
            <v>Cubitt Scale Mini Alpine White</v>
          </cell>
          <cell r="F1403" t="str">
            <v>Wearable</v>
          </cell>
          <cell r="G1403" t="str">
            <v>Scale</v>
          </cell>
          <cell r="H1403" t="str">
            <v>CTK</v>
          </cell>
          <cell r="I1403">
            <v>447.72</v>
          </cell>
          <cell r="J1403">
            <v>0.34999349186483109</v>
          </cell>
          <cell r="K1403">
            <v>799</v>
          </cell>
          <cell r="L1403" t="str">
            <v>Lumen</v>
          </cell>
          <cell r="M1403" t="str">
            <v>Discontinued</v>
          </cell>
          <cell r="N1403" t="str">
            <v>CTK-7</v>
          </cell>
        </row>
        <row r="1404">
          <cell r="A1404" t="str">
            <v>Cubitt</v>
          </cell>
          <cell r="B1404">
            <v>318421</v>
          </cell>
          <cell r="C1404" t="str">
            <v>CT1S2-11</v>
          </cell>
          <cell r="D1404" t="str">
            <v>719284923812</v>
          </cell>
          <cell r="E1404" t="str">
            <v>Cubitt CT1 Black</v>
          </cell>
          <cell r="F1404" t="str">
            <v>Wearable</v>
          </cell>
          <cell r="G1404" t="str">
            <v>Smartwatch</v>
          </cell>
          <cell r="H1404" t="str">
            <v>CT1S2</v>
          </cell>
          <cell r="I1404">
            <v>839.96</v>
          </cell>
          <cell r="J1404">
            <v>0.34999759839893263</v>
          </cell>
          <cell r="K1404">
            <v>1499</v>
          </cell>
          <cell r="L1404" t="str">
            <v>Lumen</v>
          </cell>
          <cell r="M1404" t="str">
            <v>Discontinued</v>
          </cell>
          <cell r="N1404" t="str">
            <v>CT1S2-11</v>
          </cell>
        </row>
        <row r="1405">
          <cell r="A1405" t="str">
            <v>Cubitt</v>
          </cell>
          <cell r="B1405">
            <v>318429</v>
          </cell>
          <cell r="C1405" t="str">
            <v>CT2P2-11</v>
          </cell>
          <cell r="D1405" t="str">
            <v>719284924284</v>
          </cell>
          <cell r="E1405" t="str">
            <v>Cubitt CT2P Obsidian Black</v>
          </cell>
          <cell r="F1405" t="str">
            <v>Wearable</v>
          </cell>
          <cell r="G1405" t="str">
            <v>Smartwatch</v>
          </cell>
          <cell r="H1405" t="str">
            <v>CT2P2</v>
          </cell>
          <cell r="I1405">
            <v>1344.27</v>
          </cell>
          <cell r="J1405">
            <v>0.3499986661108796</v>
          </cell>
          <cell r="K1405">
            <v>2399</v>
          </cell>
          <cell r="L1405" t="str">
            <v>Lumen</v>
          </cell>
          <cell r="M1405" t="str">
            <v>Discontinued</v>
          </cell>
          <cell r="N1405" t="str">
            <v>CT2P2-11</v>
          </cell>
        </row>
        <row r="1406">
          <cell r="A1406" t="str">
            <v>Cubitt</v>
          </cell>
          <cell r="B1406">
            <v>318437</v>
          </cell>
          <cell r="C1406" t="str">
            <v>CT4G-11</v>
          </cell>
          <cell r="D1406" t="str">
            <v>719284923928</v>
          </cell>
          <cell r="E1406" t="str">
            <v>Cubitt CT4P Black</v>
          </cell>
          <cell r="F1406" t="str">
            <v>Wearable</v>
          </cell>
          <cell r="G1406" t="str">
            <v>Smartwatch</v>
          </cell>
          <cell r="H1406" t="str">
            <v>CT4GPS</v>
          </cell>
          <cell r="I1406">
            <v>1680.47</v>
          </cell>
          <cell r="J1406">
            <v>0.35000160053351115</v>
          </cell>
          <cell r="K1406">
            <v>2999</v>
          </cell>
          <cell r="L1406" t="str">
            <v>Lumen</v>
          </cell>
          <cell r="M1406" t="str">
            <v>Discontinued</v>
          </cell>
          <cell r="N1406" t="str">
            <v>CT4G-11</v>
          </cell>
        </row>
        <row r="1407">
          <cell r="A1407" t="str">
            <v>Quikcell</v>
          </cell>
          <cell r="B1407">
            <v>315885</v>
          </cell>
          <cell r="C1407" t="str">
            <v>QLIGHTC6FT</v>
          </cell>
          <cell r="D1407" t="str">
            <v>846537077104</v>
          </cell>
          <cell r="E1407" t="str">
            <v>Quikcell CHARGE &amp; SYNC CABLE MFi Lightning to USB-C - 6ft - Black</v>
          </cell>
          <cell r="F1407" t="str">
            <v>Cables</v>
          </cell>
          <cell r="G1407" t="str">
            <v>Lightning - Type C</v>
          </cell>
          <cell r="H1407" t="str">
            <v>6 ft</v>
          </cell>
          <cell r="I1407">
            <v>251.59</v>
          </cell>
          <cell r="J1407">
            <v>0.35</v>
          </cell>
          <cell r="K1407">
            <v>449</v>
          </cell>
          <cell r="L1407" t="str">
            <v>Lumen</v>
          </cell>
          <cell r="M1407" t="str">
            <v>Discontinued</v>
          </cell>
          <cell r="N1407" t="str">
            <v>QLIGHTC6FT-M</v>
          </cell>
        </row>
        <row r="1408">
          <cell r="A1408" t="str">
            <v>Quikcell</v>
          </cell>
          <cell r="B1408">
            <v>315887</v>
          </cell>
          <cell r="C1408" t="str">
            <v>QTYPECC6FT</v>
          </cell>
          <cell r="D1408" t="str">
            <v>846537077067</v>
          </cell>
          <cell r="E1408" t="str">
            <v>Quikcell CHARGE &amp; SYNC CABLE USB-C to USB-C - 6 ft - Black</v>
          </cell>
          <cell r="F1408" t="str">
            <v>Cables</v>
          </cell>
          <cell r="G1408" t="str">
            <v>Type C - Type C</v>
          </cell>
          <cell r="H1408" t="str">
            <v>6 ft</v>
          </cell>
          <cell r="I1408">
            <v>195.56</v>
          </cell>
          <cell r="J1408">
            <v>0.35</v>
          </cell>
          <cell r="K1408">
            <v>349</v>
          </cell>
          <cell r="L1408" t="str">
            <v>Lumen</v>
          </cell>
          <cell r="M1408" t="str">
            <v>Discontinued</v>
          </cell>
          <cell r="N1408" t="str">
            <v>QTYPECC6FT-M</v>
          </cell>
        </row>
        <row r="1409">
          <cell r="A1409" t="str">
            <v>Quikcell</v>
          </cell>
          <cell r="B1409">
            <v>309915</v>
          </cell>
          <cell r="C1409" t="str">
            <v>QCVPA2002</v>
          </cell>
          <cell r="D1409" t="str">
            <v>846537076992</v>
          </cell>
          <cell r="E1409" t="str">
            <v>Quikcell DUAL PORT CAR CHARGER  1 USB A 12W + USB C PD 20W - 32W</v>
          </cell>
          <cell r="F1409" t="str">
            <v>Charger</v>
          </cell>
          <cell r="G1409" t="str">
            <v>Car Charger</v>
          </cell>
          <cell r="H1409" t="str">
            <v>32 W</v>
          </cell>
          <cell r="I1409">
            <v>251.59</v>
          </cell>
          <cell r="J1409">
            <v>0.35</v>
          </cell>
          <cell r="K1409">
            <v>449</v>
          </cell>
          <cell r="L1409" t="str">
            <v>Lumen</v>
          </cell>
          <cell r="M1409" t="str">
            <v>Discontinued</v>
          </cell>
          <cell r="N1409" t="str">
            <v>QCVPA2002-M</v>
          </cell>
        </row>
        <row r="1410">
          <cell r="A1410" t="str">
            <v>Quikcell</v>
          </cell>
          <cell r="B1410">
            <v>309919</v>
          </cell>
          <cell r="C1410" t="str">
            <v>QC-PWRBANK10K</v>
          </cell>
          <cell r="D1410" t="str">
            <v>846537073618</v>
          </cell>
          <cell r="E1410" t="str">
            <v>Quikcell POWERFUEL WIRELESS 10K mAh Powerbank - Black</v>
          </cell>
          <cell r="F1410" t="str">
            <v>Charger</v>
          </cell>
          <cell r="G1410" t="str">
            <v>Power Bank</v>
          </cell>
          <cell r="H1410" t="str">
            <v>10,000 mAh</v>
          </cell>
          <cell r="I1410">
            <v>671.85</v>
          </cell>
          <cell r="J1410">
            <v>0.35</v>
          </cell>
          <cell r="K1410">
            <v>1199</v>
          </cell>
          <cell r="L1410" t="str">
            <v>Lumen</v>
          </cell>
          <cell r="M1410" t="str">
            <v>Discontinued</v>
          </cell>
          <cell r="N1410" t="str">
            <v>QC-PWRBANK10K-M</v>
          </cell>
        </row>
        <row r="1411">
          <cell r="A1411" t="str">
            <v>Quikcell</v>
          </cell>
          <cell r="B1411">
            <v>309917</v>
          </cell>
          <cell r="C1411" t="str">
            <v>QTRC2001</v>
          </cell>
          <cell r="D1411" t="str">
            <v>846537077005</v>
          </cell>
          <cell r="E1411" t="str">
            <v>Quikcell DUAL PORT WALL CHARGER  2 USB A x 12W - 24W</v>
          </cell>
          <cell r="F1411" t="str">
            <v>Charger</v>
          </cell>
          <cell r="G1411" t="str">
            <v>Wall charger</v>
          </cell>
          <cell r="H1411" t="str">
            <v>24 W</v>
          </cell>
          <cell r="I1411">
            <v>279.61</v>
          </cell>
          <cell r="J1411">
            <v>0.35</v>
          </cell>
          <cell r="K1411">
            <v>499</v>
          </cell>
          <cell r="L1411" t="str">
            <v>Lumen</v>
          </cell>
          <cell r="M1411" t="str">
            <v>Discontinued</v>
          </cell>
          <cell r="N1411" t="str">
            <v>QTRC2001-M</v>
          </cell>
        </row>
        <row r="1412">
          <cell r="A1412" t="str">
            <v>Quikcell</v>
          </cell>
          <cell r="B1412">
            <v>309918</v>
          </cell>
          <cell r="C1412" t="str">
            <v>QTRC2002</v>
          </cell>
          <cell r="D1412" t="str">
            <v>846537077012</v>
          </cell>
          <cell r="E1412" t="str">
            <v>Quikcell DUAL PORT WALL CHARGER 1 USB A 12W + USB C PD 20W - 32W</v>
          </cell>
          <cell r="F1412" t="str">
            <v>Charger</v>
          </cell>
          <cell r="G1412" t="str">
            <v>Wall charger</v>
          </cell>
          <cell r="H1412" t="str">
            <v>32 W</v>
          </cell>
          <cell r="I1412">
            <v>335.65</v>
          </cell>
          <cell r="J1412">
            <v>0.35</v>
          </cell>
          <cell r="K1412">
            <v>599</v>
          </cell>
          <cell r="L1412" t="str">
            <v>Lumen</v>
          </cell>
          <cell r="M1412" t="str">
            <v>Discontinued</v>
          </cell>
          <cell r="N1412" t="str">
            <v>QTRC2002-M</v>
          </cell>
        </row>
        <row r="1413">
          <cell r="A1413" t="str">
            <v>Quikcell</v>
          </cell>
          <cell r="B1413">
            <v>315881</v>
          </cell>
          <cell r="C1413" t="str">
            <v>QC-TRIO</v>
          </cell>
          <cell r="D1413" t="str">
            <v>846537072215</v>
          </cell>
          <cell r="E1413" t="str">
            <v>Quikcell TRIO 3 in 1 Wireless Charging Pad - White</v>
          </cell>
          <cell r="F1413" t="str">
            <v>Charger</v>
          </cell>
          <cell r="G1413" t="str">
            <v>Wireless</v>
          </cell>
          <cell r="H1413" t="str">
            <v>10 W</v>
          </cell>
          <cell r="I1413">
            <v>952.03</v>
          </cell>
          <cell r="J1413">
            <v>0.35</v>
          </cell>
          <cell r="K1413">
            <v>1699</v>
          </cell>
          <cell r="L1413" t="str">
            <v>Lumen</v>
          </cell>
          <cell r="M1413" t="str">
            <v>Discontinued</v>
          </cell>
          <cell r="N1413" t="str">
            <v>QC-TRIO-M</v>
          </cell>
        </row>
        <row r="1414">
          <cell r="A1414" t="str">
            <v>Quikcell</v>
          </cell>
          <cell r="B1414">
            <v>315883</v>
          </cell>
          <cell r="C1414" t="str">
            <v>DRIVEDOCK-C</v>
          </cell>
          <cell r="D1414" t="str">
            <v>846537082672</v>
          </cell>
          <cell r="E1414" t="str">
            <v>Quikcell Mount+Suction+Vent 2 in 1 air vent Dashboad Car Mount Charge</v>
          </cell>
          <cell r="F1414" t="str">
            <v>Hardware</v>
          </cell>
          <cell r="G1414" t="str">
            <v>Car Mount</v>
          </cell>
          <cell r="H1414" t="str">
            <v>Car Mount</v>
          </cell>
          <cell r="I1414">
            <v>223.58</v>
          </cell>
          <cell r="J1414">
            <v>0.35</v>
          </cell>
          <cell r="K1414">
            <v>399</v>
          </cell>
          <cell r="L1414" t="str">
            <v>Lumen</v>
          </cell>
          <cell r="M1414" t="str">
            <v>Discontinued</v>
          </cell>
          <cell r="N1414" t="str">
            <v>DRIVEDOCK-C-M</v>
          </cell>
        </row>
        <row r="1415">
          <cell r="A1415" t="str">
            <v>Quikcell</v>
          </cell>
          <cell r="B1415">
            <v>320869</v>
          </cell>
          <cell r="C1415" t="str">
            <v>QAIR-WAT</v>
          </cell>
          <cell r="D1415" t="str">
            <v>846537075643</v>
          </cell>
          <cell r="E1415" t="str">
            <v>Quikcell Bundle Watch and QAIR BUDS True Wireless Earbuds with Charging Case - Black</v>
          </cell>
          <cell r="F1415" t="str">
            <v>Wearable</v>
          </cell>
          <cell r="G1415" t="str">
            <v>Smartwatch</v>
          </cell>
          <cell r="H1415" t="str">
            <v>Bundle</v>
          </cell>
          <cell r="I1415">
            <v>1400.3</v>
          </cell>
          <cell r="J1415">
            <v>0.35000080032012815</v>
          </cell>
          <cell r="K1415">
            <v>2499</v>
          </cell>
          <cell r="L1415" t="str">
            <v>Lumen</v>
          </cell>
          <cell r="M1415" t="str">
            <v>Discontinued</v>
          </cell>
          <cell r="N1415" t="str">
            <v>QAIR-WAT-M</v>
          </cell>
        </row>
        <row r="1416">
          <cell r="A1416" t="str">
            <v>Nomad</v>
          </cell>
          <cell r="B1416">
            <v>856500010564</v>
          </cell>
          <cell r="C1416" t="str">
            <v>NM01056485</v>
          </cell>
          <cell r="D1416" t="str">
            <v>856500010564</v>
          </cell>
          <cell r="E1416" t="str">
            <v>Nomad Modern Leather Case - Rustic Brown | Horween Leather | MagSafe | iPhone 13</v>
          </cell>
          <cell r="F1416" t="str">
            <v>Cases iPhone</v>
          </cell>
          <cell r="G1416" t="str">
            <v>iPhone 13</v>
          </cell>
          <cell r="H1416" t="str">
            <v>iPhone 13</v>
          </cell>
          <cell r="I1416">
            <v>361.55</v>
          </cell>
          <cell r="J1416">
            <v>0.4</v>
          </cell>
          <cell r="K1416">
            <v>699</v>
          </cell>
          <cell r="L1416" t="str">
            <v>Mixup</v>
          </cell>
          <cell r="M1416" t="str">
            <v>Active</v>
          </cell>
          <cell r="N1416" t="str">
            <v>NM01056485-M</v>
          </cell>
        </row>
        <row r="1417">
          <cell r="A1417" t="str">
            <v>Nomad</v>
          </cell>
          <cell r="B1417">
            <v>856500010588</v>
          </cell>
          <cell r="C1417" t="str">
            <v>NM01058885</v>
          </cell>
          <cell r="D1417" t="str">
            <v>856500010588</v>
          </cell>
          <cell r="E1417" t="str">
            <v>Nomad Modern Leather Case - Rustic Brown | Horween Leather | MagSafe | iPhone 13 Pro</v>
          </cell>
          <cell r="F1417" t="str">
            <v>Cases iPhone</v>
          </cell>
          <cell r="G1417" t="str">
            <v>iPhone 13</v>
          </cell>
          <cell r="H1417" t="str">
            <v>iPhone 13 Pro</v>
          </cell>
          <cell r="I1417">
            <v>361.55</v>
          </cell>
          <cell r="J1417">
            <v>0.4</v>
          </cell>
          <cell r="K1417">
            <v>699</v>
          </cell>
          <cell r="L1417" t="str">
            <v>Mixup</v>
          </cell>
          <cell r="M1417" t="str">
            <v>Active</v>
          </cell>
          <cell r="N1417" t="str">
            <v>NM01058885-M</v>
          </cell>
        </row>
        <row r="1418">
          <cell r="A1418" t="str">
            <v>Nomad</v>
          </cell>
          <cell r="B1418">
            <v>856500012056</v>
          </cell>
          <cell r="C1418" t="str">
            <v>NM01205685</v>
          </cell>
          <cell r="D1418" t="str">
            <v>856500012056</v>
          </cell>
          <cell r="E1418" t="str">
            <v>Nomad Sport Case - iPhone 14 | Carbide</v>
          </cell>
          <cell r="F1418" t="str">
            <v>Cases iPhone</v>
          </cell>
          <cell r="G1418" t="str">
            <v>iPhone 14</v>
          </cell>
          <cell r="H1418" t="str">
            <v>iPhone 14</v>
          </cell>
          <cell r="I1418">
            <v>309.83</v>
          </cell>
          <cell r="J1418">
            <v>0.4</v>
          </cell>
          <cell r="K1418">
            <v>599</v>
          </cell>
          <cell r="L1418" t="str">
            <v>Mixup</v>
          </cell>
          <cell r="M1418" t="str">
            <v>Active</v>
          </cell>
          <cell r="N1418" t="str">
            <v>NM01205685-M</v>
          </cell>
        </row>
        <row r="1419">
          <cell r="A1419" t="str">
            <v>Nomad</v>
          </cell>
          <cell r="B1419">
            <v>856500012094</v>
          </cell>
          <cell r="C1419" t="str">
            <v>NM01209485</v>
          </cell>
          <cell r="D1419" t="str">
            <v>856500012094</v>
          </cell>
          <cell r="E1419" t="str">
            <v>Nomad Sport Case - iPhone 14 Pro Max | Ash Green</v>
          </cell>
          <cell r="F1419" t="str">
            <v>Cases iPhone</v>
          </cell>
          <cell r="G1419" t="str">
            <v>iPhone 14</v>
          </cell>
          <cell r="H1419" t="str">
            <v>iPhone 14 Max</v>
          </cell>
          <cell r="I1419">
            <v>309.83</v>
          </cell>
          <cell r="J1419">
            <v>0.4</v>
          </cell>
          <cell r="K1419">
            <v>599</v>
          </cell>
          <cell r="L1419" t="str">
            <v>Mixup</v>
          </cell>
          <cell r="M1419" t="str">
            <v>Active</v>
          </cell>
          <cell r="N1419" t="str">
            <v>NM01209485-M</v>
          </cell>
        </row>
        <row r="1420">
          <cell r="A1420" t="str">
            <v>Nomad</v>
          </cell>
          <cell r="B1420">
            <v>856500012223</v>
          </cell>
          <cell r="C1420" t="str">
            <v>NM01222385</v>
          </cell>
          <cell r="D1420" t="str">
            <v>856500012223</v>
          </cell>
          <cell r="E1420" t="str">
            <v>Nomad Modern Leather Case - iPhone 14 Pro | Black | Horween Leather</v>
          </cell>
          <cell r="F1420" t="str">
            <v>Cases iPhone</v>
          </cell>
          <cell r="G1420" t="str">
            <v>iPhone 14</v>
          </cell>
          <cell r="H1420" t="str">
            <v>iPhone 14 Pro</v>
          </cell>
          <cell r="I1420">
            <v>361.55</v>
          </cell>
          <cell r="J1420">
            <v>0.4</v>
          </cell>
          <cell r="K1420">
            <v>699</v>
          </cell>
          <cell r="L1420" t="str">
            <v>Mixup</v>
          </cell>
          <cell r="M1420" t="str">
            <v>Active</v>
          </cell>
          <cell r="N1420" t="str">
            <v>NM01222385-M</v>
          </cell>
        </row>
        <row r="1421">
          <cell r="A1421" t="str">
            <v>Nomad</v>
          </cell>
          <cell r="B1421">
            <v>856500012254</v>
          </cell>
          <cell r="C1421" t="str">
            <v>NM01225485</v>
          </cell>
          <cell r="D1421" t="str">
            <v>856500012254</v>
          </cell>
          <cell r="E1421" t="str">
            <v>Nomad Modern Leather Case - iPhone 14 Pro | Rustic Brown | Horween Leather</v>
          </cell>
          <cell r="F1421" t="str">
            <v>Cases iPhone</v>
          </cell>
          <cell r="G1421" t="str">
            <v>iPhone 14</v>
          </cell>
          <cell r="H1421" t="str">
            <v>iPhone 14 Pro</v>
          </cell>
          <cell r="I1421">
            <v>361.55</v>
          </cell>
          <cell r="J1421">
            <v>0.4</v>
          </cell>
          <cell r="K1421">
            <v>699</v>
          </cell>
          <cell r="L1421" t="str">
            <v>Mixup</v>
          </cell>
          <cell r="M1421" t="str">
            <v>Active</v>
          </cell>
          <cell r="N1421" t="str">
            <v>NM01225485-M</v>
          </cell>
        </row>
        <row r="1422">
          <cell r="A1422" t="str">
            <v>Nomad</v>
          </cell>
          <cell r="B1422">
            <v>856500012049</v>
          </cell>
          <cell r="C1422" t="str">
            <v>NM01204985</v>
          </cell>
          <cell r="D1422" t="str">
            <v>856500012049</v>
          </cell>
          <cell r="E1422" t="str">
            <v>Nomad Sport Case - iPhone 14 Pro | Carbide</v>
          </cell>
          <cell r="F1422" t="str">
            <v>Cases iPhone</v>
          </cell>
          <cell r="G1422" t="str">
            <v>iPhone 14</v>
          </cell>
          <cell r="H1422" t="str">
            <v>iPhone 14 Pro</v>
          </cell>
          <cell r="I1422">
            <v>309.83</v>
          </cell>
          <cell r="J1422">
            <v>0.4</v>
          </cell>
          <cell r="K1422">
            <v>599</v>
          </cell>
          <cell r="L1422" t="str">
            <v>Mixup</v>
          </cell>
          <cell r="M1422" t="str">
            <v>Active</v>
          </cell>
          <cell r="N1422" t="str">
            <v>NM01204985-M</v>
          </cell>
        </row>
        <row r="1423">
          <cell r="A1423" t="str">
            <v>Nomad</v>
          </cell>
          <cell r="B1423">
            <v>856500012100</v>
          </cell>
          <cell r="C1423" t="str">
            <v>NM01210085</v>
          </cell>
          <cell r="D1423" t="str">
            <v>856500012100</v>
          </cell>
          <cell r="E1423" t="str">
            <v>Nomad Sport Case - iPhone 14 Pro | Ash Green</v>
          </cell>
          <cell r="F1423" t="str">
            <v>Cases iPhone</v>
          </cell>
          <cell r="G1423" t="str">
            <v>iPhone 14</v>
          </cell>
          <cell r="H1423" t="str">
            <v>iPhone 14 Pro</v>
          </cell>
          <cell r="I1423">
            <v>309.83</v>
          </cell>
          <cell r="J1423">
            <v>0.4</v>
          </cell>
          <cell r="K1423">
            <v>599</v>
          </cell>
          <cell r="L1423" t="str">
            <v>Mixup</v>
          </cell>
          <cell r="M1423" t="str">
            <v>Active</v>
          </cell>
          <cell r="N1423" t="str">
            <v>NM01210085-M</v>
          </cell>
        </row>
        <row r="1424">
          <cell r="A1424" t="str">
            <v>Nomad</v>
          </cell>
          <cell r="B1424">
            <v>856500012216</v>
          </cell>
          <cell r="C1424" t="str">
            <v>NM01221685</v>
          </cell>
          <cell r="D1424" t="str">
            <v>856500012216</v>
          </cell>
          <cell r="E1424" t="str">
            <v>Nomad Modern Leather Case - iPhone 14 Pro Max | Black | Horween Leather</v>
          </cell>
          <cell r="F1424" t="str">
            <v>Cases iPhone</v>
          </cell>
          <cell r="G1424" t="str">
            <v>iPhone 14</v>
          </cell>
          <cell r="H1424" t="str">
            <v>iPhone 14 Pro Max</v>
          </cell>
          <cell r="I1424">
            <v>361.55</v>
          </cell>
          <cell r="J1424">
            <v>0.4</v>
          </cell>
          <cell r="K1424">
            <v>699</v>
          </cell>
          <cell r="L1424" t="str">
            <v>Mixup</v>
          </cell>
          <cell r="M1424" t="str">
            <v>Active</v>
          </cell>
          <cell r="N1424" t="str">
            <v>NM01221685-M</v>
          </cell>
        </row>
        <row r="1425">
          <cell r="A1425" t="str">
            <v>Nomad</v>
          </cell>
          <cell r="B1425">
            <v>856500012247</v>
          </cell>
          <cell r="C1425" t="str">
            <v>NM01224785</v>
          </cell>
          <cell r="D1425" t="str">
            <v>856500012247</v>
          </cell>
          <cell r="E1425" t="str">
            <v>Nomad Modern Leather Case - iPhone 14 Pro Max | Rustic Brown | Horween Leather</v>
          </cell>
          <cell r="F1425" t="str">
            <v>Cases iPhone</v>
          </cell>
          <cell r="G1425" t="str">
            <v>iPhone 14</v>
          </cell>
          <cell r="H1425" t="str">
            <v>iPhone 14 Pro Max</v>
          </cell>
          <cell r="I1425">
            <v>361.55</v>
          </cell>
          <cell r="J1425">
            <v>0.4</v>
          </cell>
          <cell r="K1425">
            <v>699</v>
          </cell>
          <cell r="L1425" t="str">
            <v>Mixup</v>
          </cell>
          <cell r="M1425" t="str">
            <v>Active</v>
          </cell>
          <cell r="N1425" t="str">
            <v>NM01224785-M</v>
          </cell>
        </row>
        <row r="1426">
          <cell r="A1426" t="str">
            <v>Quikcell</v>
          </cell>
          <cell r="B1426">
            <v>846537067174</v>
          </cell>
          <cell r="C1426" t="str">
            <v>QGR01-BLK</v>
          </cell>
          <cell r="D1426" t="str">
            <v>846537067174</v>
          </cell>
          <cell r="E1426" t="str">
            <v>Quikcell Apple iPhone 11 Pro Guardz Rugged Protective Case - Black</v>
          </cell>
          <cell r="F1426" t="str">
            <v>Cases iPhone</v>
          </cell>
          <cell r="G1426" t="str">
            <v>iPhone 11</v>
          </cell>
          <cell r="H1426" t="str">
            <v>iPhone 11 Pro</v>
          </cell>
          <cell r="I1426">
            <v>141.77000000000001</v>
          </cell>
          <cell r="J1426">
            <v>0.44998929765886286</v>
          </cell>
          <cell r="K1426">
            <v>299</v>
          </cell>
          <cell r="L1426" t="str">
            <v>Mixup</v>
          </cell>
          <cell r="M1426" t="str">
            <v>Discontinued</v>
          </cell>
          <cell r="N1426" t="str">
            <v>QGR01-BLK-M</v>
          </cell>
        </row>
        <row r="1427">
          <cell r="A1427" t="str">
            <v>Quikcell</v>
          </cell>
          <cell r="B1427">
            <v>846537067198</v>
          </cell>
          <cell r="C1427" t="str">
            <v>QKB53-BLK</v>
          </cell>
          <cell r="D1427" t="str">
            <v>846537067198</v>
          </cell>
          <cell r="E1427" t="str">
            <v>Quikcell Apple iPhone 11 Pro KICKBACK Dual Layer Kickstand Case - Black/Gray</v>
          </cell>
          <cell r="F1427" t="str">
            <v>Cases iPhone</v>
          </cell>
          <cell r="G1427" t="str">
            <v>iPhone 11</v>
          </cell>
          <cell r="H1427" t="str">
            <v>iPhone 11 Pro</v>
          </cell>
          <cell r="I1427">
            <v>141.77000000000001</v>
          </cell>
          <cell r="J1427">
            <v>0.44998929765886286</v>
          </cell>
          <cell r="K1427">
            <v>299</v>
          </cell>
          <cell r="L1427" t="str">
            <v>Mixup</v>
          </cell>
          <cell r="M1427" t="str">
            <v>Discontinued</v>
          </cell>
          <cell r="N1427" t="str">
            <v>QKB53-BLK-M</v>
          </cell>
        </row>
        <row r="1428">
          <cell r="A1428" t="str">
            <v>Quikcell</v>
          </cell>
          <cell r="B1428">
            <v>846537067211</v>
          </cell>
          <cell r="C1428" t="str">
            <v>QKB55-BLU</v>
          </cell>
          <cell r="D1428" t="str">
            <v>846537067211</v>
          </cell>
          <cell r="E1428" t="str">
            <v>Quikcell Apple iPhone 11 Pro KICKBACK Dual Layer Kickstand Case - Blue/Black</v>
          </cell>
          <cell r="F1428" t="str">
            <v>Cases iPhone</v>
          </cell>
          <cell r="G1428" t="str">
            <v>iPhone 11</v>
          </cell>
          <cell r="H1428" t="str">
            <v>iPhone 11 Pro</v>
          </cell>
          <cell r="I1428">
            <v>141.77000000000001</v>
          </cell>
          <cell r="J1428">
            <v>0.44998929765886286</v>
          </cell>
          <cell r="K1428">
            <v>299</v>
          </cell>
          <cell r="L1428" t="str">
            <v>Mixup</v>
          </cell>
          <cell r="M1428" t="str">
            <v>Discontinued</v>
          </cell>
          <cell r="N1428" t="str">
            <v>QKB55-BLU-M</v>
          </cell>
        </row>
        <row r="1429">
          <cell r="A1429" t="str">
            <v>Quikcell</v>
          </cell>
          <cell r="B1429">
            <v>846537067259</v>
          </cell>
          <cell r="C1429" t="str">
            <v>QTH01-BLK</v>
          </cell>
          <cell r="D1429" t="str">
            <v>846537067259</v>
          </cell>
          <cell r="E1429" t="str">
            <v>Quikcell Apple iPhone 11 Pro Luxe Premium Designer Case - Black</v>
          </cell>
          <cell r="F1429" t="str">
            <v>Cases iPhone</v>
          </cell>
          <cell r="G1429" t="str">
            <v>iPhone 11</v>
          </cell>
          <cell r="H1429" t="str">
            <v>iPhone 11 Pro</v>
          </cell>
          <cell r="I1429">
            <v>141.77000000000001</v>
          </cell>
          <cell r="J1429">
            <v>0.44998929765886286</v>
          </cell>
          <cell r="K1429">
            <v>299</v>
          </cell>
          <cell r="L1429" t="str">
            <v>Mixup</v>
          </cell>
          <cell r="M1429" t="str">
            <v>Discontinued</v>
          </cell>
          <cell r="N1429" t="str">
            <v>QTH01-BLK-M</v>
          </cell>
        </row>
        <row r="1430">
          <cell r="A1430" t="str">
            <v>Quikcell</v>
          </cell>
          <cell r="B1430">
            <v>846537067426</v>
          </cell>
          <cell r="C1430" t="str">
            <v>QGR05-BLK</v>
          </cell>
          <cell r="D1430" t="str">
            <v>846537067426</v>
          </cell>
          <cell r="E1430" t="str">
            <v>Quikcell Apple iPhone 11 Pro Max GUARDZ Rugged Protective Case - Black</v>
          </cell>
          <cell r="F1430" t="str">
            <v>Cases iPhone</v>
          </cell>
          <cell r="G1430" t="str">
            <v>iPhone 11</v>
          </cell>
          <cell r="H1430" t="str">
            <v>iPhone 11 Pro</v>
          </cell>
          <cell r="I1430">
            <v>141.77000000000001</v>
          </cell>
          <cell r="J1430">
            <v>0.44998929765886286</v>
          </cell>
          <cell r="K1430">
            <v>299</v>
          </cell>
          <cell r="L1430" t="str">
            <v>Mixup</v>
          </cell>
          <cell r="M1430" t="str">
            <v>Discontinued</v>
          </cell>
          <cell r="N1430" t="str">
            <v>QGR05-BLK-M</v>
          </cell>
        </row>
        <row r="1431">
          <cell r="A1431" t="str">
            <v>Quikcell</v>
          </cell>
          <cell r="B1431">
            <v>846537067440</v>
          </cell>
          <cell r="C1431" t="str">
            <v>QKB59-BLK</v>
          </cell>
          <cell r="D1431" t="str">
            <v>846537067440</v>
          </cell>
          <cell r="E1431" t="str">
            <v>Quikcell Apple iPhone 11 Pro Max KICKBACK Dual Layer Kickstand Case - Black/Gray</v>
          </cell>
          <cell r="F1431" t="str">
            <v>Cases iPhone</v>
          </cell>
          <cell r="G1431" t="str">
            <v>iPhone 11</v>
          </cell>
          <cell r="H1431" t="str">
            <v>iPhone 11 Pro Max</v>
          </cell>
          <cell r="I1431">
            <v>141.77000000000001</v>
          </cell>
          <cell r="J1431">
            <v>0.44998929765886286</v>
          </cell>
          <cell r="K1431">
            <v>299</v>
          </cell>
          <cell r="L1431" t="str">
            <v>Mixup</v>
          </cell>
          <cell r="M1431" t="str">
            <v>Discontinued</v>
          </cell>
          <cell r="N1431" t="str">
            <v>QKB59-BLK-M</v>
          </cell>
        </row>
        <row r="1432">
          <cell r="A1432" t="str">
            <v>Quikcell</v>
          </cell>
          <cell r="B1432">
            <v>846537067464</v>
          </cell>
          <cell r="C1432" t="str">
            <v>QKB61-BLU</v>
          </cell>
          <cell r="D1432" t="str">
            <v>846537067464</v>
          </cell>
          <cell r="E1432" t="str">
            <v>Quikcell Apple iPhone 11 Pro Max KICKBACK Dual Layer Kickstand Case - Blue/Black</v>
          </cell>
          <cell r="F1432" t="str">
            <v>Cases iPhone</v>
          </cell>
          <cell r="G1432" t="str">
            <v>iPhone 11</v>
          </cell>
          <cell r="H1432" t="str">
            <v>iPhone 11 Pro Max</v>
          </cell>
          <cell r="I1432">
            <v>141.77000000000001</v>
          </cell>
          <cell r="J1432">
            <v>0.44998929765886286</v>
          </cell>
          <cell r="K1432">
            <v>299</v>
          </cell>
          <cell r="L1432" t="str">
            <v>Mixup</v>
          </cell>
          <cell r="M1432" t="str">
            <v>Discontinued</v>
          </cell>
          <cell r="N1432" t="str">
            <v>QKB61-BLU-M</v>
          </cell>
        </row>
        <row r="1433">
          <cell r="A1433" t="str">
            <v>Quikcell</v>
          </cell>
          <cell r="B1433">
            <v>846537067518</v>
          </cell>
          <cell r="C1433" t="str">
            <v>QTH05-BLK</v>
          </cell>
          <cell r="D1433" t="str">
            <v>846537067518</v>
          </cell>
          <cell r="E1433" t="str">
            <v>Quikcell Apple iPhone 11 Pro Max Luxe Premium Designer Case - Black</v>
          </cell>
          <cell r="F1433" t="str">
            <v>Cases iPhone</v>
          </cell>
          <cell r="G1433" t="str">
            <v>iPhone 11</v>
          </cell>
          <cell r="H1433" t="str">
            <v>iPhone 11 Pro Max</v>
          </cell>
          <cell r="I1433">
            <v>141.77000000000001</v>
          </cell>
          <cell r="J1433">
            <v>0.44998929765886286</v>
          </cell>
          <cell r="K1433">
            <v>299</v>
          </cell>
          <cell r="L1433" t="str">
            <v>Mixup</v>
          </cell>
          <cell r="M1433" t="str">
            <v>Discontinued</v>
          </cell>
          <cell r="N1433" t="str">
            <v>QTH05-BLK-M</v>
          </cell>
        </row>
        <row r="1434">
          <cell r="A1434" t="str">
            <v>Quikcell</v>
          </cell>
          <cell r="B1434">
            <v>846537077593</v>
          </cell>
          <cell r="C1434" t="str">
            <v>ADV2032</v>
          </cell>
          <cell r="D1434" t="str">
            <v>846537077593</v>
          </cell>
          <cell r="E1434" t="str">
            <v>Quikcell Apple iPhone 12 Pro Max ADVOCATE Dual-Layer Kickstand Case - Ebony Black</v>
          </cell>
          <cell r="F1434" t="str">
            <v>Cases iPhone</v>
          </cell>
          <cell r="G1434" t="str">
            <v>iPhone 12</v>
          </cell>
          <cell r="H1434" t="str">
            <v>iPhone 12 Pro Max</v>
          </cell>
          <cell r="I1434">
            <v>141.77000000000001</v>
          </cell>
          <cell r="J1434">
            <v>0.44998929765886286</v>
          </cell>
          <cell r="K1434">
            <v>299</v>
          </cell>
          <cell r="L1434" t="str">
            <v>Mixup</v>
          </cell>
          <cell r="M1434" t="str">
            <v>Discontinued</v>
          </cell>
          <cell r="N1434" t="str">
            <v>ADV2032-M</v>
          </cell>
        </row>
        <row r="1435">
          <cell r="A1435" t="str">
            <v>Quikcell</v>
          </cell>
          <cell r="B1435">
            <v>846537077654</v>
          </cell>
          <cell r="C1435" t="str">
            <v>TIN2007</v>
          </cell>
          <cell r="D1435" t="str">
            <v>846537077654</v>
          </cell>
          <cell r="E1435" t="str">
            <v>Quikcell Apple iPhone 12 Pro Max ICON TINT Transparent  Case - Ice</v>
          </cell>
          <cell r="F1435" t="str">
            <v>Cases iPhone</v>
          </cell>
          <cell r="G1435" t="str">
            <v>iPhone 12</v>
          </cell>
          <cell r="H1435" t="str">
            <v>iPhone 12 Pro Max</v>
          </cell>
          <cell r="I1435">
            <v>141.77000000000001</v>
          </cell>
          <cell r="J1435">
            <v>0.44998929765886286</v>
          </cell>
          <cell r="K1435">
            <v>299</v>
          </cell>
          <cell r="L1435" t="str">
            <v>Mixup</v>
          </cell>
          <cell r="M1435" t="str">
            <v>Discontinued</v>
          </cell>
          <cell r="N1435" t="str">
            <v>TIN2007-M</v>
          </cell>
        </row>
        <row r="1436">
          <cell r="A1436" t="str">
            <v>Quikcell</v>
          </cell>
          <cell r="B1436">
            <v>846537077678</v>
          </cell>
          <cell r="C1436" t="str">
            <v>TIN2009</v>
          </cell>
          <cell r="D1436" t="str">
            <v>846537077678</v>
          </cell>
          <cell r="E1436" t="str">
            <v>Quikcell Apple iPhone 12 Pro Max ICON TINT Transparent Case - Smoke</v>
          </cell>
          <cell r="F1436" t="str">
            <v>Cases iPhone</v>
          </cell>
          <cell r="G1436" t="str">
            <v>iPhone 12</v>
          </cell>
          <cell r="H1436" t="str">
            <v>iPhone 12 Pro Max</v>
          </cell>
          <cell r="I1436">
            <v>141.77000000000001</v>
          </cell>
          <cell r="J1436">
            <v>0.44998929765886286</v>
          </cell>
          <cell r="K1436">
            <v>299</v>
          </cell>
          <cell r="L1436" t="str">
            <v>Mixup</v>
          </cell>
          <cell r="M1436" t="str">
            <v>Discontinued</v>
          </cell>
          <cell r="N1436" t="str">
            <v>TIN2009-M</v>
          </cell>
        </row>
        <row r="1437">
          <cell r="A1437" t="str">
            <v>Quikcell</v>
          </cell>
          <cell r="B1437">
            <v>846537077685</v>
          </cell>
          <cell r="C1437" t="str">
            <v>CON2012</v>
          </cell>
          <cell r="D1437" t="str">
            <v>846537077685</v>
          </cell>
          <cell r="E1437" t="str">
            <v>Quikcell Apple iPhone 12 Pro Max CONSUL Folio Case with Slots - Black Vault</v>
          </cell>
          <cell r="F1437" t="str">
            <v>Cases iPhone</v>
          </cell>
          <cell r="G1437" t="str">
            <v>iPhone 12</v>
          </cell>
          <cell r="H1437" t="str">
            <v>iPhone 12 Pro Max</v>
          </cell>
          <cell r="I1437">
            <v>141.77000000000001</v>
          </cell>
          <cell r="J1437">
            <v>0.44998929765886286</v>
          </cell>
          <cell r="K1437">
            <v>299</v>
          </cell>
          <cell r="L1437" t="str">
            <v>Mixup</v>
          </cell>
          <cell r="M1437" t="str">
            <v>Discontinued</v>
          </cell>
          <cell r="N1437" t="str">
            <v>CON2012-M</v>
          </cell>
        </row>
        <row r="1438">
          <cell r="A1438" t="str">
            <v>Quikcell</v>
          </cell>
          <cell r="B1438">
            <v>846537077395</v>
          </cell>
          <cell r="C1438" t="str">
            <v>OPE2017</v>
          </cell>
          <cell r="D1438" t="str">
            <v>846537077395</v>
          </cell>
          <cell r="E1438" t="str">
            <v>Quikcell Apple iPhone 12/12 Pro OPERATOR Rugged Protective Case -  Pebble Black</v>
          </cell>
          <cell r="F1438" t="str">
            <v>Cases iPhone</v>
          </cell>
          <cell r="G1438" t="str">
            <v>iPhone 12</v>
          </cell>
          <cell r="H1438" t="str">
            <v>iPhone 12/iPhone 12 Pro</v>
          </cell>
          <cell r="I1438">
            <v>141.77000000000001</v>
          </cell>
          <cell r="J1438">
            <v>0.44998929765886286</v>
          </cell>
          <cell r="K1438">
            <v>299</v>
          </cell>
          <cell r="L1438" t="str">
            <v>Mixup</v>
          </cell>
          <cell r="M1438" t="str">
            <v>Discontinued</v>
          </cell>
          <cell r="N1438" t="str">
            <v>OPE2017-M</v>
          </cell>
        </row>
        <row r="1439">
          <cell r="A1439" t="str">
            <v>Quikcell</v>
          </cell>
          <cell r="B1439">
            <v>846537077418</v>
          </cell>
          <cell r="C1439" t="str">
            <v>ADV2028</v>
          </cell>
          <cell r="D1439" t="str">
            <v>846537077418</v>
          </cell>
          <cell r="E1439" t="str">
            <v>Quikcell Apple iPhone 12/12 Pro ADVOCATE Dual-Layer Kickstand Case - Ebony Black</v>
          </cell>
          <cell r="F1439" t="str">
            <v>Cases iPhone</v>
          </cell>
          <cell r="G1439" t="str">
            <v>iPhone 12</v>
          </cell>
          <cell r="H1439" t="str">
            <v>iPhone 12/iPhone 12 Pro</v>
          </cell>
          <cell r="I1439">
            <v>141.77000000000001</v>
          </cell>
          <cell r="J1439">
            <v>0.44998929765886286</v>
          </cell>
          <cell r="K1439">
            <v>299</v>
          </cell>
          <cell r="L1439" t="str">
            <v>Mixup</v>
          </cell>
          <cell r="M1439" t="str">
            <v>Discontinued</v>
          </cell>
          <cell r="N1439" t="str">
            <v>ADV2028-M</v>
          </cell>
        </row>
        <row r="1440">
          <cell r="A1440" t="str">
            <v>Quikcell</v>
          </cell>
          <cell r="B1440">
            <v>846537077494</v>
          </cell>
          <cell r="C1440" t="str">
            <v>TIN2006</v>
          </cell>
          <cell r="D1440" t="str">
            <v>846537077494</v>
          </cell>
          <cell r="E1440" t="str">
            <v>Quikcell Apple iPhone 12/12 Pro ICON TINT Transparent Case - Smoke</v>
          </cell>
          <cell r="F1440" t="str">
            <v>Cases iPhone</v>
          </cell>
          <cell r="G1440" t="str">
            <v>iPhone 12</v>
          </cell>
          <cell r="H1440" t="str">
            <v>iPhone 12/iPhone 12 Pro</v>
          </cell>
          <cell r="I1440">
            <v>141.77000000000001</v>
          </cell>
          <cell r="J1440">
            <v>0.44998929765886286</v>
          </cell>
          <cell r="K1440">
            <v>299</v>
          </cell>
          <cell r="L1440" t="str">
            <v>Mixup</v>
          </cell>
          <cell r="M1440" t="str">
            <v>Discontinued</v>
          </cell>
          <cell r="N1440" t="str">
            <v>TIN2006-M</v>
          </cell>
        </row>
        <row r="1441">
          <cell r="A1441" t="str">
            <v>Quikcell</v>
          </cell>
          <cell r="B1441">
            <v>846537078712</v>
          </cell>
          <cell r="C1441" t="str">
            <v>TIN2014</v>
          </cell>
          <cell r="D1441" t="str">
            <v>846537078712</v>
          </cell>
          <cell r="E1441" t="str">
            <v>Quikcell Apple iPhone XR ICON TINT Transparent Protective Case - Ice</v>
          </cell>
          <cell r="F1441" t="str">
            <v>Cases iPhone</v>
          </cell>
          <cell r="G1441" t="str">
            <v>iPhone XR</v>
          </cell>
          <cell r="H1441" t="str">
            <v>iPhone XR</v>
          </cell>
          <cell r="I1441">
            <v>141.77000000000001</v>
          </cell>
          <cell r="J1441">
            <v>0.44998929765886286</v>
          </cell>
          <cell r="K1441">
            <v>299</v>
          </cell>
          <cell r="L1441" t="str">
            <v>Mixup</v>
          </cell>
          <cell r="M1441" t="str">
            <v>Discontinued</v>
          </cell>
          <cell r="N1441" t="str">
            <v>TIN2014-M</v>
          </cell>
        </row>
        <row r="1442">
          <cell r="A1442" t="str">
            <v>Speck</v>
          </cell>
          <cell r="B1442">
            <v>848709086235</v>
          </cell>
          <cell r="C1442" t="str">
            <v>136495-5085</v>
          </cell>
          <cell r="D1442" t="str">
            <v>848709086235</v>
          </cell>
          <cell r="E1442" t="str">
            <v>Speck iPhone  11 New Clear Grip (Clear/Clear)</v>
          </cell>
          <cell r="F1442" t="str">
            <v>Cases iPhone</v>
          </cell>
          <cell r="G1442" t="str">
            <v>iPhone 11</v>
          </cell>
          <cell r="H1442" t="str">
            <v>iPhone 11</v>
          </cell>
          <cell r="I1442">
            <v>232.37</v>
          </cell>
          <cell r="J1442">
            <v>0.55000133555926545</v>
          </cell>
          <cell r="K1442">
            <v>599</v>
          </cell>
          <cell r="L1442" t="str">
            <v>Mixup</v>
          </cell>
          <cell r="M1442" t="str">
            <v>Discontinued</v>
          </cell>
          <cell r="N1442" t="str">
            <v>136495-5085-M</v>
          </cell>
        </row>
        <row r="1443">
          <cell r="A1443" t="str">
            <v>Speck</v>
          </cell>
          <cell r="B1443">
            <v>848709088444</v>
          </cell>
          <cell r="C1443" t="str">
            <v>137600-1050</v>
          </cell>
          <cell r="D1443" t="str">
            <v>848709088444</v>
          </cell>
          <cell r="E1443" t="str">
            <v>Speck iPhone 12/12 Pro Candyshell Pro (Black/Black)</v>
          </cell>
          <cell r="F1443" t="str">
            <v>Cases iPhone</v>
          </cell>
          <cell r="G1443" t="str">
            <v>iPhone 12</v>
          </cell>
          <cell r="H1443" t="str">
            <v>iPhone 12 / 12 Pro</v>
          </cell>
          <cell r="I1443">
            <v>232.37</v>
          </cell>
          <cell r="J1443">
            <v>0.55000133555926545</v>
          </cell>
          <cell r="K1443">
            <v>599</v>
          </cell>
          <cell r="L1443" t="str">
            <v>Mixup</v>
          </cell>
          <cell r="M1443" t="str">
            <v>Discontinued</v>
          </cell>
          <cell r="N1443" t="str">
            <v>137600-1050-M</v>
          </cell>
        </row>
        <row r="1444">
          <cell r="A1444" t="str">
            <v>Speck</v>
          </cell>
          <cell r="B1444">
            <v>840168527427</v>
          </cell>
          <cell r="C1444" t="str">
            <v>137603-5095</v>
          </cell>
          <cell r="D1444" t="str">
            <v>840168527427</v>
          </cell>
          <cell r="E1444" t="str">
            <v>Speck iPhone  12/12 Pro Gemshell (Clear/Black)</v>
          </cell>
          <cell r="F1444" t="str">
            <v>Cases iPhone</v>
          </cell>
          <cell r="G1444" t="str">
            <v>iPhone 12</v>
          </cell>
          <cell r="H1444" t="str">
            <v>iPhone 12 / 12 Pro</v>
          </cell>
          <cell r="I1444">
            <v>232.37</v>
          </cell>
          <cell r="J1444">
            <v>0.55000133555926545</v>
          </cell>
          <cell r="K1444">
            <v>599</v>
          </cell>
          <cell r="L1444" t="str">
            <v>Mixup</v>
          </cell>
          <cell r="M1444" t="str">
            <v>Discontinued</v>
          </cell>
          <cell r="N1444" t="str">
            <v>137603-5095-M</v>
          </cell>
        </row>
        <row r="1445">
          <cell r="A1445" t="str">
            <v>Cubitt</v>
          </cell>
          <cell r="B1445" t="str">
            <v>ALPSMWCUBTJRKIDSAZL</v>
          </cell>
          <cell r="C1445" t="str">
            <v>CTJR-2</v>
          </cell>
          <cell r="D1445" t="str">
            <v>719284924154</v>
          </cell>
          <cell r="E1445" t="str">
            <v>Cubitt Jr Kids Blue</v>
          </cell>
          <cell r="F1445" t="str">
            <v>Wearable</v>
          </cell>
          <cell r="G1445" t="str">
            <v>Smartwatch</v>
          </cell>
          <cell r="H1445" t="str">
            <v>CTJR</v>
          </cell>
          <cell r="I1445">
            <v>689</v>
          </cell>
          <cell r="J1445">
            <v>0.50016260162601633</v>
          </cell>
          <cell r="K1445">
            <v>1599</v>
          </cell>
          <cell r="L1445" t="str">
            <v>Mobo</v>
          </cell>
          <cell r="M1445" t="str">
            <v>Active</v>
          </cell>
          <cell r="N1445" t="str">
            <v>CTJR-2</v>
          </cell>
        </row>
        <row r="1446">
          <cell r="A1446" t="str">
            <v>Cubitt</v>
          </cell>
          <cell r="B1446" t="str">
            <v>ALPSMWCUBTJRKIDSLIL</v>
          </cell>
          <cell r="C1446" t="str">
            <v>CTJR-6</v>
          </cell>
          <cell r="D1446" t="str">
            <v>719284924147</v>
          </cell>
          <cell r="E1446" t="str">
            <v>Cubitt Jr Kids Purple</v>
          </cell>
          <cell r="F1446" t="str">
            <v>Wearable</v>
          </cell>
          <cell r="G1446" t="str">
            <v>Smartwatch</v>
          </cell>
          <cell r="H1446" t="str">
            <v>CTJR</v>
          </cell>
          <cell r="I1446">
            <v>689</v>
          </cell>
          <cell r="J1446">
            <v>0.50016260162601633</v>
          </cell>
          <cell r="K1446">
            <v>1599</v>
          </cell>
          <cell r="L1446" t="str">
            <v>Mobo</v>
          </cell>
          <cell r="M1446" t="str">
            <v>Active</v>
          </cell>
          <cell r="N1446" t="str">
            <v>CTJR-6</v>
          </cell>
        </row>
        <row r="1447">
          <cell r="A1447" t="str">
            <v>Cubitt</v>
          </cell>
          <cell r="B1447" t="str">
            <v>57412 - 1</v>
          </cell>
          <cell r="C1447" t="str">
            <v>CT-SOUND1</v>
          </cell>
          <cell r="D1447" t="str">
            <v>608011863241</v>
          </cell>
          <cell r="E1447" t="str">
            <v>Cubitt Waterproof Speakers Black</v>
          </cell>
          <cell r="F1447" t="str">
            <v>Audio</v>
          </cell>
          <cell r="G1447" t="str">
            <v>Speakers</v>
          </cell>
          <cell r="H1447" t="str">
            <v>Cubitt</v>
          </cell>
          <cell r="I1447">
            <v>671.85</v>
          </cell>
          <cell r="J1447">
            <v>0.35000333611342782</v>
          </cell>
          <cell r="K1447">
            <v>1199</v>
          </cell>
          <cell r="L1447" t="str">
            <v>Papelera Dabo</v>
          </cell>
          <cell r="M1447" t="str">
            <v>Active</v>
          </cell>
          <cell r="N1447" t="str">
            <v>CT-SOUND1</v>
          </cell>
        </row>
        <row r="1448">
          <cell r="A1448" t="str">
            <v>Cubitt</v>
          </cell>
          <cell r="B1448" t="str">
            <v>57412 - 2</v>
          </cell>
          <cell r="C1448" t="str">
            <v>CT-SOUND8</v>
          </cell>
          <cell r="D1448" t="str">
            <v>608011863272</v>
          </cell>
          <cell r="E1448" t="str">
            <v>Cubitt Waterproof Speakers White</v>
          </cell>
          <cell r="F1448" t="str">
            <v>Audio</v>
          </cell>
          <cell r="G1448" t="str">
            <v>Speakers</v>
          </cell>
          <cell r="H1448" t="str">
            <v>Cubitt</v>
          </cell>
          <cell r="I1448">
            <v>671.85</v>
          </cell>
          <cell r="J1448">
            <v>0.35000333611342782</v>
          </cell>
          <cell r="K1448">
            <v>1199</v>
          </cell>
          <cell r="L1448" t="str">
            <v>Papelera Dabo</v>
          </cell>
          <cell r="M1448" t="str">
            <v>Discontinued</v>
          </cell>
          <cell r="N1448" t="str">
            <v>CT-SOUND8</v>
          </cell>
        </row>
        <row r="1449">
          <cell r="A1449" t="str">
            <v>Cubitt</v>
          </cell>
          <cell r="B1449" t="str">
            <v>57409 - 1</v>
          </cell>
          <cell r="C1449" t="str">
            <v>CT-SCALE7</v>
          </cell>
          <cell r="D1449" t="str">
            <v>715834798534</v>
          </cell>
          <cell r="E1449" t="str">
            <v>Cubitt Scale Alpine White</v>
          </cell>
          <cell r="F1449" t="str">
            <v>Wearable</v>
          </cell>
          <cell r="G1449" t="str">
            <v>Scale</v>
          </cell>
          <cell r="H1449" t="str">
            <v>CT-SCALE</v>
          </cell>
          <cell r="I1449">
            <v>559.78</v>
          </cell>
          <cell r="J1449">
            <v>0.35000520520520528</v>
          </cell>
          <cell r="K1449">
            <v>999</v>
          </cell>
          <cell r="L1449" t="str">
            <v>Papelera Dabo</v>
          </cell>
          <cell r="M1449" t="str">
            <v>Active</v>
          </cell>
          <cell r="N1449" t="str">
            <v>CT-SCALE7</v>
          </cell>
        </row>
        <row r="1450">
          <cell r="A1450" t="str">
            <v>Cubitt</v>
          </cell>
          <cell r="B1450" t="str">
            <v>57411 - 1</v>
          </cell>
          <cell r="C1450" t="str">
            <v>CT-SCALE</v>
          </cell>
          <cell r="D1450" t="str">
            <v>725330927543</v>
          </cell>
          <cell r="E1450" t="str">
            <v>Cubitt Scale Obsidian Black</v>
          </cell>
          <cell r="F1450" t="str">
            <v>Wearable</v>
          </cell>
          <cell r="G1450" t="str">
            <v>Scale</v>
          </cell>
          <cell r="H1450" t="str">
            <v>CT-SCALE</v>
          </cell>
          <cell r="I1450">
            <v>559.78</v>
          </cell>
          <cell r="J1450">
            <v>0.35000520520520528</v>
          </cell>
          <cell r="K1450">
            <v>999</v>
          </cell>
          <cell r="L1450" t="str">
            <v>Papelera Dabo</v>
          </cell>
          <cell r="M1450" t="str">
            <v>Active</v>
          </cell>
          <cell r="N1450" t="str">
            <v>CT-SCALE</v>
          </cell>
        </row>
        <row r="1451">
          <cell r="A1451" t="str">
            <v>Cubitt</v>
          </cell>
          <cell r="B1451" t="str">
            <v>57410 - 2</v>
          </cell>
          <cell r="C1451" t="str">
            <v>CTK-1</v>
          </cell>
          <cell r="D1451" t="str">
            <v>719284923645</v>
          </cell>
          <cell r="E1451" t="str">
            <v>Cubitt Scale Mini Obsidian Black</v>
          </cell>
          <cell r="F1451" t="str">
            <v>Wearable</v>
          </cell>
          <cell r="G1451" t="str">
            <v>Scale</v>
          </cell>
          <cell r="H1451" t="str">
            <v>CTK</v>
          </cell>
          <cell r="I1451">
            <v>447.72</v>
          </cell>
          <cell r="J1451">
            <v>0.34999349186483109</v>
          </cell>
          <cell r="K1451">
            <v>799</v>
          </cell>
          <cell r="L1451" t="str">
            <v>Papelera Dabo</v>
          </cell>
          <cell r="M1451" t="str">
            <v>Active</v>
          </cell>
          <cell r="N1451" t="str">
            <v>CTK-1</v>
          </cell>
        </row>
        <row r="1452">
          <cell r="A1452" t="str">
            <v>Cubitt</v>
          </cell>
          <cell r="B1452" t="str">
            <v>57410 - 1</v>
          </cell>
          <cell r="C1452" t="str">
            <v>CTK-7</v>
          </cell>
          <cell r="D1452" t="str">
            <v>719284923652</v>
          </cell>
          <cell r="E1452" t="str">
            <v>Cubitt Scale Mini Alpine White</v>
          </cell>
          <cell r="F1452" t="str">
            <v>Wearable</v>
          </cell>
          <cell r="G1452" t="str">
            <v>Scale</v>
          </cell>
          <cell r="H1452" t="str">
            <v>CTK</v>
          </cell>
          <cell r="I1452">
            <v>447.72</v>
          </cell>
          <cell r="J1452">
            <v>0.34999349186483109</v>
          </cell>
          <cell r="K1452">
            <v>799</v>
          </cell>
          <cell r="L1452" t="str">
            <v>Papelera Dabo</v>
          </cell>
          <cell r="M1452" t="str">
            <v>Active</v>
          </cell>
          <cell r="N1452" t="str">
            <v>CTK-7</v>
          </cell>
        </row>
        <row r="1453">
          <cell r="A1453" t="str">
            <v>Cubitt</v>
          </cell>
          <cell r="B1453" t="str">
            <v>57406 - 1</v>
          </cell>
          <cell r="C1453" t="str">
            <v>CT1S2-11</v>
          </cell>
          <cell r="D1453" t="str">
            <v>719284923812</v>
          </cell>
          <cell r="E1453" t="str">
            <v>Cubitt CT1 Black</v>
          </cell>
          <cell r="F1453" t="str">
            <v>Wearable</v>
          </cell>
          <cell r="G1453" t="str">
            <v>Smartwatch</v>
          </cell>
          <cell r="H1453" t="str">
            <v>CT1S2</v>
          </cell>
          <cell r="I1453">
            <v>839.96</v>
          </cell>
          <cell r="J1453">
            <v>0.34999759839893263</v>
          </cell>
          <cell r="K1453">
            <v>1499</v>
          </cell>
          <cell r="L1453" t="str">
            <v>Papelera Dabo</v>
          </cell>
          <cell r="M1453" t="str">
            <v>Active</v>
          </cell>
          <cell r="N1453" t="str">
            <v>CT1S2-11</v>
          </cell>
        </row>
        <row r="1454">
          <cell r="A1454" t="str">
            <v>Cubitt</v>
          </cell>
          <cell r="B1454" t="str">
            <v>57407 - 1</v>
          </cell>
          <cell r="C1454" t="str">
            <v>CT4G-11</v>
          </cell>
          <cell r="D1454" t="str">
            <v>719284923928</v>
          </cell>
          <cell r="E1454" t="str">
            <v>Cubitt CT4P Black</v>
          </cell>
          <cell r="F1454" t="str">
            <v>Wearable</v>
          </cell>
          <cell r="G1454" t="str">
            <v>Smartwatch</v>
          </cell>
          <cell r="H1454" t="str">
            <v>CT4GPS</v>
          </cell>
          <cell r="I1454">
            <v>1680.47</v>
          </cell>
          <cell r="J1454">
            <v>0.35000160053351115</v>
          </cell>
          <cell r="K1454">
            <v>2999</v>
          </cell>
          <cell r="L1454" t="str">
            <v>Papelera Dabo</v>
          </cell>
          <cell r="M1454" t="str">
            <v>Active</v>
          </cell>
          <cell r="N1454" t="str">
            <v>CT4G-11</v>
          </cell>
        </row>
        <row r="1455">
          <cell r="A1455" t="str">
            <v>Cubitt</v>
          </cell>
          <cell r="B1455" t="str">
            <v>57408 - 1</v>
          </cell>
          <cell r="C1455" t="str">
            <v>CTJR-1</v>
          </cell>
          <cell r="D1455" t="str">
            <v>719284924109</v>
          </cell>
          <cell r="E1455" t="str">
            <v>Cubitt Jr Kids Black</v>
          </cell>
          <cell r="F1455" t="str">
            <v>Wearable</v>
          </cell>
          <cell r="G1455" t="str">
            <v>Smartwatch</v>
          </cell>
          <cell r="H1455" t="str">
            <v>CTJR</v>
          </cell>
          <cell r="I1455">
            <v>895.99</v>
          </cell>
          <cell r="J1455">
            <v>0.35000100062539097</v>
          </cell>
          <cell r="K1455">
            <v>1599</v>
          </cell>
          <cell r="L1455" t="str">
            <v>Papelera Dabo</v>
          </cell>
          <cell r="M1455" t="str">
            <v>Active</v>
          </cell>
          <cell r="N1455" t="str">
            <v>CTJR-1</v>
          </cell>
        </row>
        <row r="1456">
          <cell r="A1456" t="str">
            <v>Nomad</v>
          </cell>
          <cell r="B1456">
            <v>6129880</v>
          </cell>
          <cell r="C1456" t="str">
            <v>NM01136385</v>
          </cell>
          <cell r="D1456" t="str">
            <v>856500011363</v>
          </cell>
          <cell r="E1456" t="str">
            <v xml:space="preserve">Nomad Sport Band - 41/40mm/38mm | S/M | Azul </v>
          </cell>
          <cell r="F1456" t="str">
            <v>Straps</v>
          </cell>
          <cell r="G1456" t="str">
            <v>Apple Watch</v>
          </cell>
          <cell r="H1456" t="str">
            <v>38mm/40mm/41mm</v>
          </cell>
          <cell r="I1456">
            <v>663.19</v>
          </cell>
          <cell r="J1456">
            <v>0.29999963603275703</v>
          </cell>
          <cell r="K1456">
            <v>1099</v>
          </cell>
          <cell r="L1456" t="str">
            <v>Sanborns</v>
          </cell>
          <cell r="M1456" t="str">
            <v>Active</v>
          </cell>
          <cell r="N1456" t="str">
            <v>NM01136385</v>
          </cell>
        </row>
        <row r="1457">
          <cell r="A1457" t="str">
            <v>Nomad</v>
          </cell>
          <cell r="B1457">
            <v>6129873</v>
          </cell>
          <cell r="C1457" t="str">
            <v>NM01959885</v>
          </cell>
          <cell r="D1457" t="str">
            <v>856500019598</v>
          </cell>
          <cell r="E1457" t="str">
            <v xml:space="preserve">Nomad Sport Band - 41/40mm/38mm | S/M | Gris </v>
          </cell>
          <cell r="F1457" t="str">
            <v>Straps</v>
          </cell>
          <cell r="G1457" t="str">
            <v>Apple Watch</v>
          </cell>
          <cell r="H1457" t="str">
            <v>38mm/40mm/41mm</v>
          </cell>
          <cell r="I1457">
            <v>663.19</v>
          </cell>
          <cell r="J1457">
            <v>0.29999963603275703</v>
          </cell>
          <cell r="K1457">
            <v>1099</v>
          </cell>
          <cell r="L1457" t="str">
            <v>Sanborns</v>
          </cell>
          <cell r="M1457" t="str">
            <v>Active</v>
          </cell>
          <cell r="N1457" t="str">
            <v>NM01959885-M</v>
          </cell>
        </row>
        <row r="1458">
          <cell r="A1458" t="str">
            <v>Nomad</v>
          </cell>
          <cell r="B1458">
            <v>6129866</v>
          </cell>
          <cell r="C1458" t="str">
            <v>NM1A310000</v>
          </cell>
          <cell r="D1458" t="str">
            <v>856500018706</v>
          </cell>
          <cell r="E1458" t="str">
            <v>Nomad Sport Strap - 41/40mm/38mm | S/M | Black | FKM | V2</v>
          </cell>
          <cell r="F1458" t="str">
            <v>Straps</v>
          </cell>
          <cell r="G1458" t="str">
            <v>Apple Watch</v>
          </cell>
          <cell r="H1458" t="str">
            <v>38mm/40mm/41mm</v>
          </cell>
          <cell r="I1458">
            <v>663.19</v>
          </cell>
          <cell r="J1458">
            <v>0.29999963603275703</v>
          </cell>
          <cell r="K1458">
            <v>1099</v>
          </cell>
          <cell r="L1458" t="str">
            <v>Sanborns</v>
          </cell>
          <cell r="M1458" t="str">
            <v>Active</v>
          </cell>
          <cell r="N1458" t="str">
            <v>NM1A310000-M</v>
          </cell>
        </row>
        <row r="1459">
          <cell r="A1459" t="str">
            <v>Nomad</v>
          </cell>
          <cell r="B1459">
            <v>6129897</v>
          </cell>
          <cell r="C1459" t="str">
            <v>NM1Am10000</v>
          </cell>
          <cell r="D1459" t="str">
            <v>856500018522</v>
          </cell>
          <cell r="E1459" t="str">
            <v>Nomad Sport Strap - 45/44mm/42mm | M/L | Black | FKM | V2</v>
          </cell>
          <cell r="F1459" t="str">
            <v>Straps</v>
          </cell>
          <cell r="G1459" t="str">
            <v>Apple Watch</v>
          </cell>
          <cell r="H1459" t="str">
            <v>49/45/44/42 mm</v>
          </cell>
          <cell r="I1459">
            <v>663.19</v>
          </cell>
          <cell r="J1459">
            <v>0.29999963603275703</v>
          </cell>
          <cell r="K1459">
            <v>1099</v>
          </cell>
          <cell r="L1459" t="str">
            <v>Sanborns</v>
          </cell>
          <cell r="M1459" t="str">
            <v>Active</v>
          </cell>
          <cell r="N1459" t="str">
            <v>NM1Am10000-M</v>
          </cell>
        </row>
        <row r="1460">
          <cell r="A1460" t="str">
            <v>Nomad</v>
          </cell>
          <cell r="B1460">
            <v>6129903</v>
          </cell>
          <cell r="C1460" t="str">
            <v>NM01133285</v>
          </cell>
          <cell r="D1460" t="str">
            <v>856500011332</v>
          </cell>
          <cell r="E1460" t="str">
            <v>Nomad Sport Band - 45/44mm/42mm | M/L | Marine Blue | FKM | V2</v>
          </cell>
          <cell r="F1460" t="str">
            <v>Straps</v>
          </cell>
          <cell r="G1460" t="str">
            <v>Apple Watch</v>
          </cell>
          <cell r="H1460" t="str">
            <v>49/45/44/42 mm</v>
          </cell>
          <cell r="I1460">
            <v>663.19</v>
          </cell>
          <cell r="J1460">
            <v>0.29999963603275703</v>
          </cell>
          <cell r="K1460">
            <v>1099</v>
          </cell>
          <cell r="L1460" t="str">
            <v>Sanborns</v>
          </cell>
          <cell r="M1460" t="str">
            <v>Active</v>
          </cell>
          <cell r="N1460" t="str">
            <v>NM01133285-M</v>
          </cell>
        </row>
        <row r="1461">
          <cell r="A1461" t="str">
            <v>Nomad</v>
          </cell>
          <cell r="B1461">
            <v>6130060</v>
          </cell>
          <cell r="C1461" t="str">
            <v>NM01132585</v>
          </cell>
          <cell r="D1461" t="str">
            <v>856500011325</v>
          </cell>
          <cell r="E1461" t="str">
            <v>Nomad Sport Band - 45/44mm/42mm | M/L | Ash Green | FKM | V2</v>
          </cell>
          <cell r="F1461" t="str">
            <v>Straps</v>
          </cell>
          <cell r="G1461" t="str">
            <v>Apple Watch</v>
          </cell>
          <cell r="H1461" t="str">
            <v>49/45/44/42 mm</v>
          </cell>
          <cell r="I1461">
            <v>663.19</v>
          </cell>
          <cell r="J1461">
            <v>0.29999963603275703</v>
          </cell>
          <cell r="K1461">
            <v>1099</v>
          </cell>
          <cell r="L1461" t="str">
            <v>Sanborns</v>
          </cell>
          <cell r="M1461" t="str">
            <v>Active</v>
          </cell>
          <cell r="N1461" t="str">
            <v>NM01132585-M</v>
          </cell>
        </row>
        <row r="1462">
          <cell r="A1462" t="str">
            <v>Quikcell</v>
          </cell>
          <cell r="B1462" t="str">
            <v>DRIVEDOCK-C</v>
          </cell>
          <cell r="C1462" t="str">
            <v>DRIVEDOCK-C</v>
          </cell>
          <cell r="D1462" t="str">
            <v>846537082672</v>
          </cell>
          <cell r="E1462" t="str">
            <v>Quikcell Mount+Suction+Vent 2 in 1 air vent Dashboad Car Mount Charge</v>
          </cell>
          <cell r="F1462" t="str">
            <v>Hardware</v>
          </cell>
          <cell r="G1462" t="str">
            <v>Car Mount</v>
          </cell>
          <cell r="H1462" t="str">
            <v>Car Mount</v>
          </cell>
          <cell r="I1462">
            <v>345</v>
          </cell>
          <cell r="J1462">
            <v>0.49912390488110137</v>
          </cell>
          <cell r="K1462">
            <v>799</v>
          </cell>
          <cell r="L1462" t="str">
            <v>SUN4USETS</v>
          </cell>
          <cell r="M1462" t="str">
            <v>Discontinued</v>
          </cell>
          <cell r="N1462" t="str">
            <v>DRIVEDOCK-C-M</v>
          </cell>
        </row>
        <row r="1463">
          <cell r="A1463" t="str">
            <v>Quikcell</v>
          </cell>
          <cell r="B1463" t="str">
            <v>DRIVEDOCK</v>
          </cell>
          <cell r="C1463" t="str">
            <v>DRIVEDOCK</v>
          </cell>
          <cell r="D1463" t="str">
            <v>846537082122</v>
          </cell>
          <cell r="E1463" t="str">
            <v>Quikcell Mount+Suction+Vent 2 in 1 air vent Dashboad Car Mount</v>
          </cell>
          <cell r="F1463" t="str">
            <v>Hardware</v>
          </cell>
          <cell r="G1463" t="str">
            <v>Car Mount</v>
          </cell>
          <cell r="H1463" t="str">
            <v>Car Mount</v>
          </cell>
          <cell r="I1463">
            <v>172</v>
          </cell>
          <cell r="J1463">
            <v>0.49994987468671681</v>
          </cell>
          <cell r="K1463">
            <v>399</v>
          </cell>
          <cell r="L1463" t="str">
            <v>SUN4USETS</v>
          </cell>
          <cell r="M1463" t="str">
            <v>Discontinued</v>
          </cell>
          <cell r="N1463" t="str">
            <v>DRIVEDOCK-M</v>
          </cell>
        </row>
        <row r="1464">
          <cell r="A1464" t="str">
            <v>Cubitt</v>
          </cell>
          <cell r="C1464" t="str">
            <v>CTK-1</v>
          </cell>
          <cell r="D1464" t="str">
            <v>719284923645</v>
          </cell>
          <cell r="E1464" t="str">
            <v>Cubitt Scale Mini Obsidian Black</v>
          </cell>
          <cell r="F1464" t="str">
            <v>Wearable</v>
          </cell>
          <cell r="G1464" t="str">
            <v>Scale</v>
          </cell>
          <cell r="H1464" t="str">
            <v>CTK</v>
          </cell>
          <cell r="L1464" t="str">
            <v>Venta al publico</v>
          </cell>
          <cell r="M1464" t="str">
            <v>Discontinued</v>
          </cell>
          <cell r="N1464" t="str">
            <v>CTK-1</v>
          </cell>
        </row>
        <row r="1465">
          <cell r="A1465" t="str">
            <v>Cubitt</v>
          </cell>
          <cell r="C1465" t="str">
            <v>CT1S2-11</v>
          </cell>
          <cell r="D1465" t="str">
            <v>719284923812</v>
          </cell>
          <cell r="E1465" t="str">
            <v>Cubitt CT1 Black</v>
          </cell>
          <cell r="F1465" t="str">
            <v>Wearable</v>
          </cell>
          <cell r="G1465" t="str">
            <v>Smartwatch</v>
          </cell>
          <cell r="H1465" t="str">
            <v>CT1S2</v>
          </cell>
          <cell r="L1465" t="str">
            <v>Venta al publico</v>
          </cell>
          <cell r="M1465" t="str">
            <v>Discontinued</v>
          </cell>
          <cell r="N1465" t="str">
            <v>CT1S2-11</v>
          </cell>
        </row>
        <row r="1466">
          <cell r="A1466" t="str">
            <v>Cubitt</v>
          </cell>
          <cell r="C1466" t="str">
            <v>CT4-11</v>
          </cell>
          <cell r="D1466" t="str">
            <v>719284923867</v>
          </cell>
          <cell r="E1466" t="str">
            <v>Cubitt CT4 Black</v>
          </cell>
          <cell r="F1466" t="str">
            <v>Wearable</v>
          </cell>
          <cell r="G1466" t="str">
            <v>Smartwatch</v>
          </cell>
          <cell r="H1466" t="str">
            <v>CT4</v>
          </cell>
          <cell r="L1466" t="str">
            <v>Venta al publico</v>
          </cell>
          <cell r="M1466" t="str">
            <v>Discontinued</v>
          </cell>
          <cell r="N1466" t="str">
            <v>CT4-11</v>
          </cell>
        </row>
        <row r="1467">
          <cell r="A1467" t="str">
            <v>Nomad</v>
          </cell>
          <cell r="B1467" t="str">
            <v>NM00736685-VP</v>
          </cell>
          <cell r="C1467" t="str">
            <v>NM00736685</v>
          </cell>
          <cell r="D1467" t="str">
            <v>855848007366</v>
          </cell>
          <cell r="E1467" t="str">
            <v>Nomad Sport Band - 45mm | Ultra Orange</v>
          </cell>
          <cell r="F1467" t="str">
            <v>Straps</v>
          </cell>
          <cell r="G1467" t="str">
            <v>Apple Watch</v>
          </cell>
          <cell r="H1467" t="str">
            <v>49/45/44/42 mm</v>
          </cell>
          <cell r="I1467">
            <v>775.86</v>
          </cell>
          <cell r="J1467">
            <v>0.18107588717015477</v>
          </cell>
          <cell r="K1467">
            <v>1099</v>
          </cell>
          <cell r="L1467" t="str">
            <v>Venta al publico</v>
          </cell>
          <cell r="M1467" t="str">
            <v>Discontinued</v>
          </cell>
          <cell r="N1467" t="str">
            <v>NM00736685-M</v>
          </cell>
        </row>
        <row r="1468">
          <cell r="A1468" t="str">
            <v>Nomad</v>
          </cell>
          <cell r="C1468" t="str">
            <v>NM01133285</v>
          </cell>
          <cell r="D1468" t="str">
            <v>856500011332</v>
          </cell>
          <cell r="E1468" t="str">
            <v>Nomad Sport Band - 45/44mm/42mm | M/L | Marine Blue | FKM | V2</v>
          </cell>
          <cell r="F1468" t="str">
            <v>Straps</v>
          </cell>
          <cell r="G1468" t="str">
            <v>Apple Watch</v>
          </cell>
          <cell r="H1468" t="str">
            <v>49/45/44/42 mm</v>
          </cell>
          <cell r="I1468">
            <v>775.86</v>
          </cell>
          <cell r="J1468">
            <v>0.18107588717015477</v>
          </cell>
          <cell r="K1468">
            <v>1099</v>
          </cell>
          <cell r="L1468" t="str">
            <v>Venta al publico</v>
          </cell>
          <cell r="M1468" t="str">
            <v>Discontinued</v>
          </cell>
          <cell r="N1468" t="str">
            <v>NM01133285-M</v>
          </cell>
        </row>
        <row r="1469">
          <cell r="A1469" t="str">
            <v>Nomad</v>
          </cell>
          <cell r="B1469" t="str">
            <v>NM01111085-VP</v>
          </cell>
          <cell r="C1469" t="str">
            <v>NM01111085</v>
          </cell>
          <cell r="D1469" t="str">
            <v>856500011110</v>
          </cell>
          <cell r="E1469" t="str">
            <v>Nomad Sport Band - 49/45/44/42mm White FKM V2</v>
          </cell>
          <cell r="F1469" t="str">
            <v>Straps</v>
          </cell>
          <cell r="G1469" t="str">
            <v>Apple Watch</v>
          </cell>
          <cell r="H1469" t="str">
            <v>49/45/44/42 mm</v>
          </cell>
          <cell r="I1469">
            <v>775.86</v>
          </cell>
          <cell r="J1469">
            <v>0.18107588717015477</v>
          </cell>
          <cell r="K1469">
            <v>1099</v>
          </cell>
          <cell r="L1469" t="str">
            <v>Venta al publico</v>
          </cell>
          <cell r="M1469" t="str">
            <v>Discontinued</v>
          </cell>
          <cell r="N1469" t="str">
            <v>NM01111085-M</v>
          </cell>
        </row>
        <row r="1470">
          <cell r="A1470" t="str">
            <v>Nomad</v>
          </cell>
          <cell r="B1470">
            <v>856504011291</v>
          </cell>
          <cell r="C1470" t="str">
            <v>NM011291858</v>
          </cell>
          <cell r="D1470" t="str">
            <v>856504011291</v>
          </cell>
          <cell r="E1470" t="str">
            <v>Modern Leather Case - Airpods Pro 3 | Black | Horween</v>
          </cell>
          <cell r="F1470" t="str">
            <v>Cases Airpods</v>
          </cell>
          <cell r="G1470" t="str">
            <v>Airpods</v>
          </cell>
          <cell r="H1470" t="str">
            <v>Airpods Pro 3</v>
          </cell>
          <cell r="I1470">
            <v>344.4</v>
          </cell>
          <cell r="J1470">
            <v>0.5</v>
          </cell>
          <cell r="K1470">
            <v>799</v>
          </cell>
          <cell r="L1470" t="str">
            <v>iShop</v>
          </cell>
          <cell r="M1470" t="str">
            <v>Active</v>
          </cell>
          <cell r="N1470" t="str">
            <v>NM011291858</v>
          </cell>
        </row>
        <row r="1471">
          <cell r="A1471" t="str">
            <v>Nomad</v>
          </cell>
          <cell r="B1471">
            <v>856504011284</v>
          </cell>
          <cell r="C1471" t="str">
            <v>NM011284858</v>
          </cell>
          <cell r="D1471" t="str">
            <v>856504011284</v>
          </cell>
          <cell r="E1471" t="str">
            <v>Modern Leather Case - Airpods Pro 3 | Rustic Brown | Horween</v>
          </cell>
          <cell r="F1471" t="str">
            <v>Cases Airpods</v>
          </cell>
          <cell r="G1471" t="str">
            <v>Airpods</v>
          </cell>
          <cell r="H1471" t="str">
            <v>Airpods Pro 3</v>
          </cell>
          <cell r="I1471">
            <v>344.4</v>
          </cell>
          <cell r="J1471">
            <v>0.5</v>
          </cell>
          <cell r="K1471">
            <v>799</v>
          </cell>
          <cell r="L1471" t="str">
            <v>iShop</v>
          </cell>
          <cell r="M1471" t="str">
            <v>Active</v>
          </cell>
          <cell r="N1471" t="str">
            <v>NM011284858</v>
          </cell>
        </row>
        <row r="1472">
          <cell r="A1472" t="str">
            <v>Quikcell</v>
          </cell>
          <cell r="B1472" t="str">
            <v>N.00735440</v>
          </cell>
          <cell r="C1472" t="str">
            <v>QCC3FT-WHT</v>
          </cell>
          <cell r="D1472">
            <v>846537097706</v>
          </cell>
          <cell r="E1472" t="str">
            <v>Quikcell CHARGE &amp; SYNC CABLE USB-C to USB-C - 3FT - White </v>
          </cell>
          <cell r="F1472" t="str">
            <v>Cables</v>
          </cell>
          <cell r="G1472" t="str">
            <v>Type C - Type C</v>
          </cell>
          <cell r="H1472" t="str">
            <v>3 ft</v>
          </cell>
          <cell r="I1472">
            <v>154.66</v>
          </cell>
          <cell r="J1472">
            <v>0.4</v>
          </cell>
          <cell r="K1472">
            <v>299</v>
          </cell>
          <cell r="L1472" t="str">
            <v>ATT</v>
          </cell>
          <cell r="M1472" t="str">
            <v>Active</v>
          </cell>
          <cell r="N1472" t="str">
            <v>QCC3FT-WHT</v>
          </cell>
        </row>
        <row r="1473">
          <cell r="A1473" t="str">
            <v>Quikcell</v>
          </cell>
          <cell r="B1473" t="str">
            <v>N.00735470</v>
          </cell>
          <cell r="C1473" t="str">
            <v>QCC6FT-WHT</v>
          </cell>
          <cell r="D1473">
            <v>846537097621</v>
          </cell>
          <cell r="E1473" t="str">
            <v>Quikcell CHARGE &amp; SYNC CABLE USB-C to USB-C - 6FT - White </v>
          </cell>
          <cell r="F1473" t="str">
            <v>Cables</v>
          </cell>
          <cell r="G1473" t="str">
            <v>Type C - Type C</v>
          </cell>
          <cell r="H1473" t="str">
            <v>6 ft</v>
          </cell>
          <cell r="I1473">
            <v>180.52</v>
          </cell>
          <cell r="J1473">
            <v>0.4</v>
          </cell>
          <cell r="K1473">
            <v>349</v>
          </cell>
          <cell r="L1473" t="str">
            <v>ATT</v>
          </cell>
          <cell r="M1473" t="str">
            <v>Active</v>
          </cell>
          <cell r="N1473" t="str">
            <v>QCC6FT-WHT</v>
          </cell>
        </row>
        <row r="1474">
          <cell r="A1474" t="str">
            <v>Quikcell</v>
          </cell>
          <cell r="B1474" t="str">
            <v>N.00735500</v>
          </cell>
          <cell r="C1474" t="str">
            <v>QTRC2001</v>
          </cell>
          <cell r="D1474" t="str">
            <v>846537077005</v>
          </cell>
          <cell r="E1474" t="str">
            <v>Quikcell DUAL PORT WALL CHARGER  2 USB A x 12W - 24W</v>
          </cell>
          <cell r="F1474" t="str">
            <v>Charger</v>
          </cell>
          <cell r="G1474" t="str">
            <v>Wall charger</v>
          </cell>
          <cell r="H1474" t="str">
            <v>24 W</v>
          </cell>
          <cell r="I1474">
            <v>180.51724137931035</v>
          </cell>
          <cell r="J1474">
            <v>0.4</v>
          </cell>
          <cell r="K1474">
            <v>349</v>
          </cell>
          <cell r="L1474" t="str">
            <v>ATT</v>
          </cell>
          <cell r="M1474" t="str">
            <v>Discontinued</v>
          </cell>
          <cell r="N1474" t="str">
            <v>QTRC2001-M</v>
          </cell>
        </row>
        <row r="1475">
          <cell r="A1475" t="str">
            <v>Quikcell</v>
          </cell>
          <cell r="B1475" t="str">
            <v>N.00735530</v>
          </cell>
          <cell r="C1475" t="str">
            <v>QAIR-BUDS</v>
          </cell>
          <cell r="D1475" t="str">
            <v>846537068881</v>
          </cell>
          <cell r="E1475" t="str">
            <v>Quikcell QAIR BUDS True Wireless Earbuds with Charging Case - Black</v>
          </cell>
          <cell r="F1475" t="str">
            <v>Audio</v>
          </cell>
          <cell r="G1475" t="str">
            <v>Headphones Wireless</v>
          </cell>
          <cell r="H1475" t="str">
            <v>QAir</v>
          </cell>
          <cell r="I1475">
            <v>309.82758620689657</v>
          </cell>
          <cell r="J1475">
            <v>0.4</v>
          </cell>
          <cell r="K1475">
            <v>599</v>
          </cell>
          <cell r="L1475" t="str">
            <v>ATT</v>
          </cell>
          <cell r="M1475" t="str">
            <v>Discontinued</v>
          </cell>
          <cell r="N1475" t="str">
            <v>QAIR-BUDS-M</v>
          </cell>
        </row>
        <row r="1476">
          <cell r="A1476" t="str">
            <v>Quikcell</v>
          </cell>
          <cell r="B1476" t="str">
            <v>N.00735560</v>
          </cell>
          <cell r="C1476" t="str">
            <v>QAIR-BUDS-WHT</v>
          </cell>
          <cell r="D1476" t="str">
            <v>846537075582</v>
          </cell>
          <cell r="E1476" t="str">
            <v>Quikcell QAIR BUDS True Wireless Earbuds with Charging Case - White</v>
          </cell>
          <cell r="F1476" t="str">
            <v>Audio</v>
          </cell>
          <cell r="G1476" t="str">
            <v>Headphones Wireless</v>
          </cell>
          <cell r="H1476" t="str">
            <v>QAir</v>
          </cell>
          <cell r="I1476">
            <v>309.82758620689657</v>
          </cell>
          <cell r="J1476">
            <v>0.4</v>
          </cell>
          <cell r="K1476">
            <v>599</v>
          </cell>
          <cell r="L1476" t="str">
            <v>ATT</v>
          </cell>
          <cell r="M1476" t="str">
            <v>Discontinued</v>
          </cell>
          <cell r="N1476" t="str">
            <v>QAIR-BUDS-WHT-M</v>
          </cell>
        </row>
        <row r="1477">
          <cell r="A1477" t="str">
            <v>Speck</v>
          </cell>
          <cell r="B1477">
            <v>228994</v>
          </cell>
          <cell r="C1477" t="str">
            <v>150986-D143</v>
          </cell>
          <cell r="D1477">
            <v>840168546589</v>
          </cell>
          <cell r="E1477" t="str">
            <v>Speck Presidio2 Grip iPhone 17 Pro Max Black</v>
          </cell>
          <cell r="F1477" t="str">
            <v>Cases iPhone</v>
          </cell>
          <cell r="G1477" t="str">
            <v>iPhone</v>
          </cell>
          <cell r="H1477" t="str">
            <v>iPhone 17 Pro Max</v>
          </cell>
          <cell r="I1477">
            <v>447.83</v>
          </cell>
          <cell r="J1477">
            <v>0.47999719719719725</v>
          </cell>
          <cell r="K1477">
            <v>999</v>
          </cell>
          <cell r="L1477" t="str">
            <v>Coppel</v>
          </cell>
          <cell r="M1477" t="str">
            <v>Active</v>
          </cell>
          <cell r="N1477" t="str">
            <v>150986-D143</v>
          </cell>
        </row>
        <row r="1478">
          <cell r="A1478" t="str">
            <v>Speck</v>
          </cell>
          <cell r="B1478">
            <v>228977</v>
          </cell>
          <cell r="C1478" t="str">
            <v>150983-3199</v>
          </cell>
          <cell r="D1478" t="str">
            <v>840168546541</v>
          </cell>
          <cell r="E1478" t="str">
            <v>Speck Presidio Perfect-Clear Grip + Cl Clear/Clear/Silver Iphone 17 Pro Max</v>
          </cell>
          <cell r="F1478" t="str">
            <v>Cases iPhone</v>
          </cell>
          <cell r="G1478" t="str">
            <v>iPhone</v>
          </cell>
          <cell r="H1478" t="str">
            <v>iPhone 17 Pro Max</v>
          </cell>
          <cell r="I1478">
            <v>447.83</v>
          </cell>
          <cell r="J1478">
            <v>0.47999719719719725</v>
          </cell>
          <cell r="K1478">
            <v>999</v>
          </cell>
          <cell r="L1478" t="str">
            <v>Coppel</v>
          </cell>
          <cell r="M1478" t="str">
            <v>Active</v>
          </cell>
          <cell r="N1478" t="str">
            <v>150983-3199</v>
          </cell>
        </row>
        <row r="1479">
          <cell r="A1479" t="str">
            <v>Speck</v>
          </cell>
          <cell r="B1479">
            <v>228969</v>
          </cell>
          <cell r="C1479" t="str">
            <v>150697-5085</v>
          </cell>
          <cell r="D1479" t="str">
            <v>840168540655</v>
          </cell>
          <cell r="E1479" t="str">
            <v>Speck iPhone 16 Gemshell Grip +Ms Clear/Clear</v>
          </cell>
          <cell r="F1479" t="str">
            <v>Cases iPhone</v>
          </cell>
          <cell r="G1479" t="str">
            <v>iPhone</v>
          </cell>
          <cell r="H1479" t="str">
            <v>iPhone 16</v>
          </cell>
          <cell r="I1479">
            <v>223.69</v>
          </cell>
          <cell r="J1479">
            <v>0.47999919839679361</v>
          </cell>
          <cell r="K1479">
            <v>499</v>
          </cell>
          <cell r="L1479" t="str">
            <v>Coppel</v>
          </cell>
          <cell r="M1479" t="str">
            <v>Active</v>
          </cell>
          <cell r="N1479" t="str">
            <v>150691-3199</v>
          </cell>
        </row>
        <row r="1480">
          <cell r="A1480" t="str">
            <v>Speck</v>
          </cell>
          <cell r="B1480">
            <v>229044</v>
          </cell>
          <cell r="C1480" t="str">
            <v>150443-3199</v>
          </cell>
          <cell r="D1480" t="str">
            <v>840168532865</v>
          </cell>
          <cell r="E1480" t="str">
            <v>Speck Presidio® Perfect-Clear Grip Magsafe® Clicklock™ Clear/Clear/Chrome iPhone 15</v>
          </cell>
          <cell r="F1480" t="str">
            <v>Cases iPhone</v>
          </cell>
          <cell r="G1480" t="str">
            <v>iPhone</v>
          </cell>
          <cell r="H1480" t="str">
            <v>iPhone 16e / 15 / 14 / 13</v>
          </cell>
          <cell r="I1480">
            <v>223.69</v>
          </cell>
          <cell r="J1480">
            <v>0.47999919839679361</v>
          </cell>
          <cell r="K1480">
            <v>499</v>
          </cell>
          <cell r="L1480" t="str">
            <v>Coppel</v>
          </cell>
          <cell r="M1480" t="str">
            <v>Active</v>
          </cell>
          <cell r="N1480" t="str">
            <v>150443-3199-M</v>
          </cell>
        </row>
        <row r="1481">
          <cell r="A1481" t="str">
            <v>Uniq</v>
          </cell>
          <cell r="B1481" t="str">
            <v>EXTUNQ025</v>
          </cell>
          <cell r="C1481" t="str">
            <v>UNIQ-49MM-STRVMSIL</v>
          </cell>
          <cell r="D1481" t="str">
            <v>8886463688151</v>
          </cell>
          <cell r="E1481" t="str">
            <v>UNIQ STROVA MAG APPLE WATCH SELF-ADJUSTABLE STEEL LINK BAND 49/46/45/44MM - TITANIUM (SILVER)</v>
          </cell>
          <cell r="F1481" t="str">
            <v>Straps</v>
          </cell>
          <cell r="G1481" t="str">
            <v>Apple Watch</v>
          </cell>
          <cell r="H1481" t="str">
            <v>49/45/44/42 mm</v>
          </cell>
          <cell r="I1481">
            <v>691.35</v>
          </cell>
          <cell r="J1481">
            <v>0.46499933288859241</v>
          </cell>
          <cell r="K1481">
            <v>1499</v>
          </cell>
          <cell r="L1481" t="str">
            <v>MacStore</v>
          </cell>
          <cell r="M1481" t="str">
            <v>Active</v>
          </cell>
          <cell r="N1481" t="str">
            <v>UNIQ-49MM-STRVMSIL</v>
          </cell>
        </row>
        <row r="1482">
          <cell r="A1482" t="str">
            <v>Uniq</v>
          </cell>
          <cell r="B1482" t="str">
            <v>EXTUNQ026</v>
          </cell>
          <cell r="C1482" t="str">
            <v>UNIQ-49MM-OSTABLK</v>
          </cell>
          <cell r="D1482" t="str">
            <v>8886463684634</v>
          </cell>
          <cell r="E1482" t="str">
            <v>UNIQ OSTA APPLE WATCH STEEL STRAP WITH SELF-ADJUSTABLE LINKS 49/46/45/44MM - MIDNIGHT (BLACK)</v>
          </cell>
          <cell r="F1482" t="str">
            <v>Straps</v>
          </cell>
          <cell r="G1482" t="str">
            <v>Apple Watch</v>
          </cell>
          <cell r="H1482" t="str">
            <v>49/45/44/42 mm</v>
          </cell>
          <cell r="I1482">
            <v>691.35</v>
          </cell>
          <cell r="J1482">
            <v>0.46499933288859241</v>
          </cell>
          <cell r="K1482">
            <v>1499</v>
          </cell>
          <cell r="L1482" t="str">
            <v>MacStore</v>
          </cell>
          <cell r="M1482" t="str">
            <v>Active</v>
          </cell>
          <cell r="N1482" t="str">
            <v>UNIQ-49MM-OSTABLK</v>
          </cell>
        </row>
        <row r="1483">
          <cell r="A1483" t="str">
            <v>Uniq</v>
          </cell>
          <cell r="B1483" t="str">
            <v>EXTUNQ027</v>
          </cell>
          <cell r="C1483" t="str">
            <v>UNIQ-45MM-REVPNKBEG</v>
          </cell>
          <cell r="D1483" t="str">
            <v>8886463679159</v>
          </cell>
          <cell r="E1483" t="str">
            <v>UNIQ REVIX REVERSIBLE MAGNETIC APPLE WATCH STRAP 49/46/45/44MM - BLUSH (PINK/BEIGE)</v>
          </cell>
          <cell r="F1483" t="str">
            <v>Straps</v>
          </cell>
          <cell r="G1483" t="str">
            <v>Apple Watch</v>
          </cell>
          <cell r="H1483" t="str">
            <v>49/45/44/42 mm</v>
          </cell>
          <cell r="I1483">
            <v>506.87</v>
          </cell>
          <cell r="J1483">
            <v>0.46499617834394902</v>
          </cell>
          <cell r="K1483">
            <v>1099</v>
          </cell>
          <cell r="L1483" t="str">
            <v>MacStore</v>
          </cell>
          <cell r="M1483" t="str">
            <v>Active</v>
          </cell>
          <cell r="N1483" t="str">
            <v>UNIQ-45MM-REVPNKBEG</v>
          </cell>
        </row>
        <row r="1484">
          <cell r="A1484" t="str">
            <v>Uniq</v>
          </cell>
          <cell r="B1484" t="str">
            <v>EXTUNQ028</v>
          </cell>
          <cell r="C1484" t="str">
            <v>UNIQ-49MM-DANPGBLK</v>
          </cell>
          <cell r="D1484" t="str">
            <v>8886463692257</v>
          </cell>
          <cell r="E1484" t="str">
            <v>UNIQ DANTE PRO APPLE WATCH SELF-ADJUSTABLE MESH STEEL BAND 49/46/45/44MM - GRAPHITE BLACK (GRAPHITE BLACK)</v>
          </cell>
          <cell r="F1484" t="str">
            <v>Straps</v>
          </cell>
          <cell r="G1484" t="str">
            <v>Apple Watch</v>
          </cell>
          <cell r="H1484" t="str">
            <v>49/45/44/42 mm</v>
          </cell>
          <cell r="I1484">
            <v>506.87</v>
          </cell>
          <cell r="J1484">
            <v>0.46499617834394902</v>
          </cell>
          <cell r="K1484">
            <v>1099</v>
          </cell>
          <cell r="L1484" t="str">
            <v>MacStore</v>
          </cell>
          <cell r="M1484" t="str">
            <v>Active</v>
          </cell>
          <cell r="N1484" t="str">
            <v xml:space="preserve">UNIQ-49MM-DANPGBLK	</v>
          </cell>
        </row>
        <row r="1485">
          <cell r="A1485" t="str">
            <v>Uniq</v>
          </cell>
          <cell r="B1485" t="str">
            <v>EXTUNQ029</v>
          </cell>
          <cell r="C1485" t="str">
            <v>UNIQ-49MM-DANPMRSE</v>
          </cell>
          <cell r="D1485" t="str">
            <v>8886463692264</v>
          </cell>
          <cell r="E1485" t="str">
            <v>UNIQ DANTE PRO APPLE WATCH SELF-ADJUSTABLE MESH STEEL BAND 49/46/45/44MM - METALLIC ROSE (METALLIC ROSE)</v>
          </cell>
          <cell r="F1485" t="str">
            <v>Straps</v>
          </cell>
          <cell r="G1485" t="str">
            <v>Apple Watch</v>
          </cell>
          <cell r="H1485" t="str">
            <v>49/45/44/42 mm</v>
          </cell>
          <cell r="I1485">
            <v>506.87</v>
          </cell>
          <cell r="J1485">
            <v>0.46499617834394902</v>
          </cell>
          <cell r="K1485">
            <v>1099</v>
          </cell>
          <cell r="L1485" t="str">
            <v>MacStore</v>
          </cell>
          <cell r="M1485" t="str">
            <v>Active</v>
          </cell>
          <cell r="N1485" t="str">
            <v xml:space="preserve">UNIQ-49MM-DANPMRSE	</v>
          </cell>
        </row>
        <row r="1486">
          <cell r="A1486" t="str">
            <v>Uniq</v>
          </cell>
          <cell r="B1486" t="str">
            <v>FUNUNQ136</v>
          </cell>
          <cell r="C1486" t="str">
            <v>UNIQ-AIRPODS(2024)-NEXOBLK</v>
          </cell>
          <cell r="D1486" t="str">
            <v>8886463691342</v>
          </cell>
          <cell r="E1486" t="str">
            <v xml:space="preserve">UNIQ NEXO ACTIVE HYBRID SILICONE AIRPODS 4TH GEN (2024) CASE WITH SPORTS EAR HOOKS - BLACK (BLACK) </v>
          </cell>
          <cell r="F1486" t="str">
            <v>Cases Airpods</v>
          </cell>
          <cell r="G1486" t="str">
            <v>Airpods</v>
          </cell>
          <cell r="H1486" t="str">
            <v>Airpods 4</v>
          </cell>
          <cell r="I1486">
            <v>207.08</v>
          </cell>
          <cell r="J1486">
            <v>0.46500489977728288</v>
          </cell>
          <cell r="K1486">
            <v>449</v>
          </cell>
          <cell r="L1486" t="str">
            <v>MacStore</v>
          </cell>
          <cell r="M1486" t="str">
            <v>Active</v>
          </cell>
          <cell r="N1486" t="str">
            <v>UNIQ-AIRPODS(2024)-NEXOBLK</v>
          </cell>
        </row>
        <row r="1487">
          <cell r="A1487" t="str">
            <v>Uniq</v>
          </cell>
          <cell r="B1487" t="str">
            <v>FUNUNQ137</v>
          </cell>
          <cell r="C1487" t="str">
            <v>UNIQ-AIRPODS(2024)-NEXOPBLU</v>
          </cell>
          <cell r="D1487" t="str">
            <v>8886463691359</v>
          </cell>
          <cell r="E1487" t="str">
            <v>UNIQ NEXO ACTIVE HYBRID SILICONE AIRPODS 4TH GEN (2024) CASE WITH SPORTS EAR HOOKS - PACIFIC BLUE (PACIFIC BLUE)</v>
          </cell>
          <cell r="F1487" t="str">
            <v>Cases Airpods</v>
          </cell>
          <cell r="G1487" t="str">
            <v>Airpods</v>
          </cell>
          <cell r="H1487" t="str">
            <v>Airpods 4</v>
          </cell>
          <cell r="I1487">
            <v>207.08</v>
          </cell>
          <cell r="J1487">
            <v>0.46500489977728288</v>
          </cell>
          <cell r="K1487">
            <v>449</v>
          </cell>
          <cell r="L1487" t="str">
            <v>MacStore</v>
          </cell>
          <cell r="M1487" t="str">
            <v>Active</v>
          </cell>
          <cell r="N1487" t="str">
            <v>UNIQ-AIRPODS(2024)-NEXOPBLU</v>
          </cell>
        </row>
        <row r="1488">
          <cell r="A1488" t="str">
            <v>Uniq</v>
          </cell>
          <cell r="B1488" t="str">
            <v>FUNUNQ140</v>
          </cell>
          <cell r="C1488" t="str">
            <v>UNIQ-IP6.3P(2025)-COMAMFCLRLL</v>
          </cell>
          <cell r="D1488" t="str">
            <v>8886463696231</v>
          </cell>
          <cell r="E1488" t="str">
            <v xml:space="preserve">UNIQ HYBRID IPHONE 17 PRO MAGCLICK CHARGING COMBAT ACTIVE - FROST CLEAR / LUME-LIME (FROST CLEAR / LUME-LIME) </v>
          </cell>
          <cell r="F1488" t="str">
            <v>Cases iPhone</v>
          </cell>
          <cell r="G1488" t="str">
            <v>iPhone 17</v>
          </cell>
          <cell r="H1488" t="str">
            <v>iPhone 17 Pro</v>
          </cell>
          <cell r="I1488">
            <v>402.94</v>
          </cell>
          <cell r="J1488">
            <v>0.41500575719649568</v>
          </cell>
          <cell r="K1488">
            <v>799</v>
          </cell>
          <cell r="L1488" t="str">
            <v>MacStore</v>
          </cell>
          <cell r="M1488" t="str">
            <v>Active</v>
          </cell>
          <cell r="N1488" t="str">
            <v>UNIQ-IP6.3P(2025)-COMAMFCLRLL</v>
          </cell>
        </row>
        <row r="1489">
          <cell r="A1489" t="str">
            <v>Uniq</v>
          </cell>
          <cell r="B1489" t="str">
            <v>FUNUNQ141</v>
          </cell>
          <cell r="C1489" t="str">
            <v>UNIQ-IP6.3P(2025)-COMAMFSMKO</v>
          </cell>
          <cell r="D1489" t="str">
            <v>8886463696224</v>
          </cell>
          <cell r="E1489" t="str">
            <v xml:space="preserve">UNIQ HYBRID IPHONE 17 PRO MAGCLICK CHARGING COMBAT ACTIVE - FROST SMOKE / ORANGE (FROST SMOKE / ORANGE) </v>
          </cell>
          <cell r="F1489" t="str">
            <v>Cases iPhone</v>
          </cell>
          <cell r="G1489" t="str">
            <v>iPhone 17</v>
          </cell>
          <cell r="H1489" t="str">
            <v>iPhone 17 Pro</v>
          </cell>
          <cell r="I1489">
            <v>402.94</v>
          </cell>
          <cell r="J1489">
            <v>0.41500575719649568</v>
          </cell>
          <cell r="K1489">
            <v>799</v>
          </cell>
          <cell r="L1489" t="str">
            <v>MacStore</v>
          </cell>
          <cell r="M1489" t="str">
            <v>Active</v>
          </cell>
          <cell r="N1489" t="str">
            <v>UNIQ-IP6.3P(2025)-COMAMFSMKO</v>
          </cell>
        </row>
        <row r="1490">
          <cell r="A1490" t="str">
            <v>Uniq</v>
          </cell>
          <cell r="B1490" t="str">
            <v>FUNUNQ138</v>
          </cell>
          <cell r="C1490" t="str">
            <v>UNIQ-IP6.3P(2025)-KEVAMCBLK</v>
          </cell>
          <cell r="D1490" t="str">
            <v>8886463694688</v>
          </cell>
          <cell r="E1490" t="str">
            <v>UNIQ HYBRID IPHONE 17 PRO MAGCLICK CHARGING KEVA - CARBON BLACK (CARBON BLACK)</v>
          </cell>
          <cell r="F1490" t="str">
            <v>Cases iPhone</v>
          </cell>
          <cell r="G1490" t="str">
            <v>iPhone 17</v>
          </cell>
          <cell r="H1490" t="str">
            <v>iPhone 17 Pro</v>
          </cell>
          <cell r="I1490">
            <v>554.24</v>
          </cell>
          <cell r="J1490">
            <v>0.41499690627843488</v>
          </cell>
          <cell r="K1490">
            <v>1099</v>
          </cell>
          <cell r="L1490" t="str">
            <v>MacStore</v>
          </cell>
          <cell r="M1490" t="str">
            <v>Active</v>
          </cell>
          <cell r="N1490" t="str">
            <v>UNIQ-IP6.3P(2025)-KEVAMCBLK</v>
          </cell>
        </row>
        <row r="1491">
          <cell r="A1491" t="str">
            <v>Uniq</v>
          </cell>
          <cell r="B1491" t="str">
            <v>FUNUNQ142</v>
          </cell>
          <cell r="C1491" t="str">
            <v>UNIQ-IP6.9P(2025)-COMAMFSMKO</v>
          </cell>
          <cell r="D1491" t="str">
            <v>8886463696255</v>
          </cell>
          <cell r="E1491" t="str">
            <v>UNIQ HYBRID IPHONE 17 PRO MAX MAGCLICK CHARGING COMBAT ACTIVE - FROST SMOKE / ORANGE (FROST SMOKE / ORANGE)</v>
          </cell>
          <cell r="F1491" t="str">
            <v>Cases iPhone</v>
          </cell>
          <cell r="G1491" t="str">
            <v>iPhone 17</v>
          </cell>
          <cell r="H1491" t="str">
            <v>iPhone 17 Pro Max</v>
          </cell>
          <cell r="I1491">
            <v>402.94</v>
          </cell>
          <cell r="J1491">
            <v>0.41500575719649568</v>
          </cell>
          <cell r="K1491">
            <v>799</v>
          </cell>
          <cell r="L1491" t="str">
            <v>MacStore</v>
          </cell>
          <cell r="M1491" t="str">
            <v>Active</v>
          </cell>
          <cell r="N1491" t="str">
            <v>UNIQ-IP6.9P(2025)-COMAMFSMKO</v>
          </cell>
        </row>
        <row r="1492">
          <cell r="A1492" t="str">
            <v>Uniq</v>
          </cell>
          <cell r="B1492" t="str">
            <v>FUNUNQ143</v>
          </cell>
          <cell r="C1492" t="str">
            <v>UNIQ-IP6.9P(2025)-COMAMFCLRTQ</v>
          </cell>
          <cell r="D1492" t="str">
            <v>8886463696279</v>
          </cell>
          <cell r="E1492" t="str">
            <v>UNIQ HYBRID IPHONE 17 PRO MAX MAGCLICK CHARGING COMBAT ACTIVE - FROST CLEAR / TURQUOISE (FROST CLEAR / TURQUOISE)</v>
          </cell>
          <cell r="F1492" t="str">
            <v>Cases iPhone</v>
          </cell>
          <cell r="G1492" t="str">
            <v>iPhone 17</v>
          </cell>
          <cell r="H1492" t="str">
            <v>iPhone 17 Pro Max</v>
          </cell>
          <cell r="I1492">
            <v>402.94</v>
          </cell>
          <cell r="J1492">
            <v>0.41500575719649568</v>
          </cell>
          <cell r="K1492">
            <v>799</v>
          </cell>
          <cell r="L1492" t="str">
            <v>MacStore</v>
          </cell>
          <cell r="M1492" t="str">
            <v>Active</v>
          </cell>
          <cell r="N1492" t="str">
            <v>UNIQ-IP6.9P(2025)-COMAMFCLRTQ</v>
          </cell>
        </row>
        <row r="1493">
          <cell r="A1493" t="str">
            <v>Uniq</v>
          </cell>
          <cell r="B1493" t="str">
            <v>FUNUNQ139</v>
          </cell>
          <cell r="C1493" t="str">
            <v>UNIQ-IP6.9P(2025)-KEVAMCBLK</v>
          </cell>
          <cell r="D1493" t="str">
            <v>8886463694701</v>
          </cell>
          <cell r="E1493" t="str">
            <v>UNIQ HYBRID IPHONE 17 PRO MAX MAGCLICK CHARGING KEVA - CARBON BLACK (CARBON BLACK)</v>
          </cell>
          <cell r="F1493" t="str">
            <v>Cases iPhone</v>
          </cell>
          <cell r="G1493" t="str">
            <v>iPhone 17</v>
          </cell>
          <cell r="H1493" t="str">
            <v>iPhone 17 Pro Max</v>
          </cell>
          <cell r="I1493">
            <v>554.24</v>
          </cell>
          <cell r="J1493">
            <v>0.41499690627843488</v>
          </cell>
          <cell r="K1493">
            <v>1099</v>
          </cell>
          <cell r="L1493" t="str">
            <v>MacStore</v>
          </cell>
          <cell r="M1493" t="str">
            <v>Active</v>
          </cell>
          <cell r="N1493" t="str">
            <v>UNIQ-IP6.9P(2025)-KEVAMCBLK</v>
          </cell>
        </row>
        <row r="1494">
          <cell r="A1494" t="str">
            <v>Speck</v>
          </cell>
          <cell r="B1494" t="str">
            <v>N.00734190</v>
          </cell>
          <cell r="C1494" t="str">
            <v>150983-3199</v>
          </cell>
          <cell r="D1494" t="str">
            <v>840168546541</v>
          </cell>
          <cell r="E1494" t="str">
            <v>Speck iPhone 17 Pro Max PRESIDIO PERFECT CLEAR GRIP + CL-CLEAR/CLEAR/SILVER</v>
          </cell>
          <cell r="F1494" t="str">
            <v>Cases iPhone</v>
          </cell>
          <cell r="G1494" t="str">
            <v>iPhone 17</v>
          </cell>
          <cell r="H1494" t="str">
            <v>iPhone 17 Pro Max</v>
          </cell>
          <cell r="I1494">
            <v>516.72</v>
          </cell>
          <cell r="J1494">
            <v>0.40000480480480471</v>
          </cell>
          <cell r="K1494">
            <v>999</v>
          </cell>
          <cell r="L1494" t="str">
            <v>ATT</v>
          </cell>
          <cell r="M1494" t="str">
            <v>Active</v>
          </cell>
          <cell r="N1494" t="str">
            <v>150983-3199</v>
          </cell>
        </row>
        <row r="1495">
          <cell r="A1495" t="str">
            <v>Tech21</v>
          </cell>
          <cell r="B1495">
            <v>840459608569</v>
          </cell>
          <cell r="C1495" t="str">
            <v>T21-11443</v>
          </cell>
          <cell r="D1495" t="str">
            <v>840459608569</v>
          </cell>
          <cell r="E1495" t="str">
            <v>Tech21 Apple MacBook Air 13 EvoShell - Clear</v>
          </cell>
          <cell r="F1495" t="str">
            <v>Cases Macbook</v>
          </cell>
          <cell r="G1495" t="str">
            <v>MacBook</v>
          </cell>
          <cell r="H1495" t="str">
            <v>MacBook Air 13" M4/M3/M2</v>
          </cell>
          <cell r="I1495">
            <v>581.47</v>
          </cell>
          <cell r="J1495">
            <v>0.49999614529280956</v>
          </cell>
          <cell r="K1495">
            <v>1349</v>
          </cell>
          <cell r="L1495" t="str">
            <v>iShop</v>
          </cell>
          <cell r="M1495" t="str">
            <v>Active</v>
          </cell>
          <cell r="N1495" t="str">
            <v>T21-11443</v>
          </cell>
        </row>
        <row r="1496">
          <cell r="A1496" t="str">
            <v>Speck</v>
          </cell>
          <cell r="B1496">
            <v>840168546688</v>
          </cell>
          <cell r="C1496" t="str">
            <v>150989-3267</v>
          </cell>
          <cell r="D1496" t="str">
            <v>840168546688</v>
          </cell>
          <cell r="E1496" t="str">
            <v>Speck Balance Folio iPad 11" (2022-2025) Ceramic Grey/Autumn Sky/Black</v>
          </cell>
          <cell r="F1496" t="str">
            <v>Cases iPad</v>
          </cell>
          <cell r="G1496" t="str">
            <v>iPad</v>
          </cell>
          <cell r="H1496" t="str">
            <v>iPad 10th /11th - 10.9"/11" (2022-2025)</v>
          </cell>
          <cell r="I1496">
            <v>430.6</v>
          </cell>
          <cell r="J1496">
            <v>0.50000400400400402</v>
          </cell>
          <cell r="K1496">
            <v>999</v>
          </cell>
          <cell r="L1496" t="str">
            <v>iShop</v>
          </cell>
          <cell r="M1496" t="str">
            <v>Active</v>
          </cell>
          <cell r="N1496" t="str">
            <v>T21-11443</v>
          </cell>
        </row>
        <row r="1497">
          <cell r="A1497" t="str">
            <v>Nomad</v>
          </cell>
          <cell r="B1497" t="str">
            <v>ACCNOM005</v>
          </cell>
          <cell r="C1497" t="str">
            <v>NM011741858</v>
          </cell>
          <cell r="D1497" t="str">
            <v>856504011741</v>
          </cell>
          <cell r="E1497" t="str">
            <v>Nomad Leather Mag Wallet with Find My Tracking - Black | Nomad Leather</v>
          </cell>
          <cell r="F1497" t="str">
            <v>Accesories</v>
          </cell>
          <cell r="G1497" t="str">
            <v>Wallet</v>
          </cell>
          <cell r="H1497" t="str">
            <v>Wallet</v>
          </cell>
          <cell r="I1497">
            <v>904.57</v>
          </cell>
          <cell r="J1497">
            <v>0.29999919946631093</v>
          </cell>
          <cell r="K1497">
            <v>1499</v>
          </cell>
          <cell r="L1497" t="str">
            <v>MacStore</v>
          </cell>
          <cell r="M1497" t="str">
            <v>New</v>
          </cell>
          <cell r="N1497" t="str">
            <v>NM011741858</v>
          </cell>
        </row>
        <row r="1498">
          <cell r="A1498" t="str">
            <v>Nomad</v>
          </cell>
          <cell r="B1498" t="str">
            <v>ACCNOM006</v>
          </cell>
          <cell r="C1498" t="str">
            <v>NM011758858</v>
          </cell>
          <cell r="D1498" t="str">
            <v>856504011758</v>
          </cell>
          <cell r="E1498" t="str">
            <v>Nomad Leather Mag Wallet with Find My Tracking - Brown | Nomad Leather</v>
          </cell>
          <cell r="F1498" t="str">
            <v>Accesories</v>
          </cell>
          <cell r="G1498" t="str">
            <v>Wallet</v>
          </cell>
          <cell r="H1498" t="str">
            <v>Wallet</v>
          </cell>
          <cell r="I1498">
            <v>904.57</v>
          </cell>
          <cell r="J1498">
            <v>0.29999919946631093</v>
          </cell>
          <cell r="K1498">
            <v>1499</v>
          </cell>
          <cell r="L1498" t="str">
            <v>MacStore</v>
          </cell>
          <cell r="M1498" t="str">
            <v>New</v>
          </cell>
          <cell r="N1498" t="str">
            <v>NM011758858</v>
          </cell>
        </row>
        <row r="1499">
          <cell r="A1499" t="str">
            <v>Nomad</v>
          </cell>
          <cell r="B1499" t="str">
            <v>ACCNOM007</v>
          </cell>
          <cell r="C1499" t="str">
            <v>NM01297185</v>
          </cell>
          <cell r="D1499" t="str">
            <v>856500012971</v>
          </cell>
          <cell r="E1499" t="str">
            <v>Nomad Tracking Card Air - Find My | Black</v>
          </cell>
          <cell r="F1499" t="str">
            <v>Accesories</v>
          </cell>
          <cell r="G1499" t="str">
            <v>Wallet</v>
          </cell>
          <cell r="H1499" t="str">
            <v>Wallet</v>
          </cell>
          <cell r="I1499">
            <v>421.81</v>
          </cell>
          <cell r="J1499">
            <v>0.30000057224606591</v>
          </cell>
          <cell r="K1499">
            <v>699</v>
          </cell>
          <cell r="L1499" t="str">
            <v>MacStore</v>
          </cell>
          <cell r="M1499" t="str">
            <v>New</v>
          </cell>
          <cell r="N1499" t="str">
            <v>NM01297185</v>
          </cell>
        </row>
        <row r="1500">
          <cell r="A1500" t="str">
            <v>Speck</v>
          </cell>
          <cell r="B1500" t="str">
            <v>FUNSPK402</v>
          </cell>
          <cell r="C1500" t="str">
            <v>127573-9166</v>
          </cell>
          <cell r="D1500" t="str">
            <v>848709087164</v>
          </cell>
          <cell r="E1500" t="str">
            <v>Speck Transfer Pro Pocket Universal Sleeve 13"/14" - Sweater Grey/Coastal Blue</v>
          </cell>
          <cell r="F1500" t="str">
            <v>Cases Sleeves</v>
          </cell>
          <cell r="G1500" t="str">
            <v>Sleeves</v>
          </cell>
          <cell r="H1500" t="str">
            <v>13" Sleeves</v>
          </cell>
          <cell r="I1500">
            <v>503.81</v>
          </cell>
          <cell r="J1500">
            <v>0.41499539539539543</v>
          </cell>
          <cell r="K1500">
            <v>999</v>
          </cell>
          <cell r="L1500" t="str">
            <v>MacStore</v>
          </cell>
          <cell r="M1500" t="str">
            <v>New</v>
          </cell>
          <cell r="N1500" t="str">
            <v>127573-9166</v>
          </cell>
        </row>
        <row r="1501">
          <cell r="A1501" t="str">
            <v>Nomad</v>
          </cell>
          <cell r="B1501" t="str">
            <v>EXHNOM000</v>
          </cell>
          <cell r="C1501" t="str">
            <v>N/A</v>
          </cell>
          <cell r="D1501" t="str">
            <v>N/A</v>
          </cell>
          <cell r="E1501" t="str">
            <v>Exhibidor Correas Nomad</v>
          </cell>
          <cell r="F1501" t="str">
            <v>NA</v>
          </cell>
          <cell r="G1501" t="str">
            <v>NA</v>
          </cell>
          <cell r="H1501" t="str">
            <v>NA</v>
          </cell>
          <cell r="I1501">
            <v>0.01</v>
          </cell>
          <cell r="J1501">
            <v>0.99</v>
          </cell>
          <cell r="K1501">
            <v>1.1599999999999999</v>
          </cell>
          <cell r="L1501" t="str">
            <v>MacStore</v>
          </cell>
          <cell r="M1501" t="str">
            <v>Discontinued</v>
          </cell>
        </row>
        <row r="1502">
          <cell r="A1502" t="str">
            <v>Speck</v>
          </cell>
          <cell r="B1502">
            <v>840168521821</v>
          </cell>
          <cell r="C1502" t="str">
            <v>150057-D143</v>
          </cell>
          <cell r="D1502">
            <v>840168521821</v>
          </cell>
          <cell r="E1502" t="str">
            <v>Speck Presidio2 Pro Compatible with MagSafe iPhone 17e/16e/15/14/13 - Black/Black/White</v>
          </cell>
          <cell r="F1502" t="str">
            <v>Cases iPhone</v>
          </cell>
          <cell r="G1502" t="str">
            <v>iPhone 15</v>
          </cell>
          <cell r="H1502" t="str">
            <v>iPhone 16e / 15 / 14 / 13</v>
          </cell>
          <cell r="I1502">
            <v>215.09</v>
          </cell>
          <cell r="J1502">
            <v>0.4999911823647295</v>
          </cell>
          <cell r="K1502">
            <v>499</v>
          </cell>
          <cell r="L1502" t="str">
            <v>iShop</v>
          </cell>
          <cell r="M1502" t="str">
            <v>Active</v>
          </cell>
          <cell r="N1502" t="str">
            <v>150057-D143</v>
          </cell>
        </row>
        <row r="1503">
          <cell r="A1503" t="str">
            <v>Speck</v>
          </cell>
          <cell r="B1503">
            <v>840168540280</v>
          </cell>
          <cell r="C1503" t="str">
            <v>150688-3205</v>
          </cell>
          <cell r="D1503">
            <v>840168540280</v>
          </cell>
          <cell r="E1503" t="str">
            <v>Speck Apple iPhone 16 PRESIDIO2 PRO+MS+CL BLACK / SLATE GREY / WHITE</v>
          </cell>
          <cell r="F1503" t="str">
            <v>Cases iPhone</v>
          </cell>
          <cell r="G1503" t="str">
            <v>iPhone 16</v>
          </cell>
          <cell r="H1503" t="str">
            <v>iPhone 16</v>
          </cell>
          <cell r="I1503">
            <v>215.09</v>
          </cell>
          <cell r="J1503">
            <v>0.4999911823647295</v>
          </cell>
          <cell r="K1503">
            <v>499</v>
          </cell>
          <cell r="L1503" t="str">
            <v>iShop</v>
          </cell>
          <cell r="M1503" t="str">
            <v>Active</v>
          </cell>
          <cell r="N1503" t="str">
            <v>150688-3205</v>
          </cell>
        </row>
        <row r="1504">
          <cell r="A1504" t="str">
            <v>Vivitar</v>
          </cell>
          <cell r="B1504" t="str">
            <v>VIV-VT4KIT1WM</v>
          </cell>
          <cell r="C1504" t="str">
            <v>VIV-VT4KIT1WM</v>
          </cell>
          <cell r="D1504" t="str">
            <v>681066891681</v>
          </cell>
          <cell r="E1504" t="str">
            <v>Vivitar Mini Soporte De Pistola. Combinación, De Soporte Para Teléfono, Selfie Stick Y Tripié En Un Solo</v>
          </cell>
          <cell r="F1504" t="str">
            <v>Hardware</v>
          </cell>
          <cell r="G1504" t="str">
            <v>Tripod</v>
          </cell>
          <cell r="H1504" t="str">
            <v>PISTOL GRIP</v>
          </cell>
          <cell r="I1504">
            <v>90</v>
          </cell>
          <cell r="J1504">
            <v>0.59691119691119687</v>
          </cell>
          <cell r="K1504">
            <v>259</v>
          </cell>
          <cell r="L1504" t="str">
            <v>Mercado Libre</v>
          </cell>
          <cell r="M1504" t="str">
            <v>Discontinued</v>
          </cell>
          <cell r="N1504" t="str">
            <v>VIV-VT4KIT1WM</v>
          </cell>
        </row>
        <row r="1505">
          <cell r="A1505" t="str">
            <v>Speck</v>
          </cell>
          <cell r="B1505">
            <v>840168534944</v>
          </cell>
          <cell r="C1505" t="str">
            <v>150491-5085</v>
          </cell>
          <cell r="D1505" t="str">
            <v>840168534944</v>
          </cell>
          <cell r="E1505" t="str">
            <v>Speck GemShell® iPhone 15</v>
          </cell>
          <cell r="F1505" t="str">
            <v>Cases iPhone</v>
          </cell>
          <cell r="G1505" t="str">
            <v>iPhone 15</v>
          </cell>
          <cell r="H1505" t="str">
            <v>iPhone 16e / 15 / 14 / 13</v>
          </cell>
          <cell r="I1505">
            <v>193.58</v>
          </cell>
          <cell r="J1505">
            <v>0.62512053422370617</v>
          </cell>
          <cell r="K1505">
            <v>599</v>
          </cell>
          <cell r="L1505" t="str">
            <v>iShop</v>
          </cell>
          <cell r="M1505" t="str">
            <v>Active</v>
          </cell>
          <cell r="N1505" t="str">
            <v>150491-5085-M</v>
          </cell>
        </row>
        <row r="1506">
          <cell r="A1506" t="str">
            <v>Nomad</v>
          </cell>
          <cell r="C1506" t="str">
            <v>NM00736685</v>
          </cell>
          <cell r="D1506" t="str">
            <v>855848007366</v>
          </cell>
          <cell r="E1506" t="str">
            <v>Nomad Sport Band - 45mm | Ultra Orange</v>
          </cell>
          <cell r="F1506" t="str">
            <v>Straps</v>
          </cell>
          <cell r="G1506" t="str">
            <v>Apple Watch</v>
          </cell>
          <cell r="H1506" t="str">
            <v>49/45/44/42 mm</v>
          </cell>
          <cell r="I1506">
            <v>516.72</v>
          </cell>
          <cell r="J1506">
            <v>0.40000480480480471</v>
          </cell>
          <cell r="K1506">
            <v>999</v>
          </cell>
          <cell r="L1506" t="str">
            <v>Liverpool</v>
          </cell>
          <cell r="M1506" t="str">
            <v>New</v>
          </cell>
          <cell r="N1506" t="str">
            <v>NM00736685-M</v>
          </cell>
        </row>
        <row r="1507">
          <cell r="A1507" t="str">
            <v>Nomad</v>
          </cell>
          <cell r="C1507" t="str">
            <v>NM1Am10000</v>
          </cell>
          <cell r="D1507" t="str">
            <v>856500018522</v>
          </cell>
          <cell r="E1507" t="str">
            <v>Nomad Sport Strap - 45/44mm/42mm | M/L | Black | FKM | V2</v>
          </cell>
          <cell r="F1507" t="str">
            <v>Straps</v>
          </cell>
          <cell r="G1507" t="str">
            <v>Apple Watch</v>
          </cell>
          <cell r="H1507" t="str">
            <v>49/45/44/42 mm</v>
          </cell>
          <cell r="I1507">
            <v>516.72</v>
          </cell>
          <cell r="J1507">
            <v>0.40000480480480471</v>
          </cell>
          <cell r="K1507">
            <v>999</v>
          </cell>
          <cell r="L1507" t="str">
            <v>Liverpool</v>
          </cell>
          <cell r="M1507" t="str">
            <v>New</v>
          </cell>
          <cell r="N1507" t="str">
            <v>NM1Am10000-M</v>
          </cell>
        </row>
        <row r="1508">
          <cell r="A1508" t="str">
            <v>Nomad</v>
          </cell>
          <cell r="C1508" t="str">
            <v>NM011291858</v>
          </cell>
          <cell r="D1508" t="str">
            <v>856504011291</v>
          </cell>
          <cell r="E1508" t="str">
            <v>Nomad Modern Leather Case - Airpods Pro 3 | Black | Horween</v>
          </cell>
          <cell r="F1508" t="str">
            <v>Cases Airpods</v>
          </cell>
          <cell r="G1508" t="str">
            <v>Airpods</v>
          </cell>
          <cell r="H1508" t="str">
            <v>Airpods Pro 3</v>
          </cell>
          <cell r="I1508">
            <v>361.55</v>
          </cell>
          <cell r="J1508">
            <v>0.40000286123032913</v>
          </cell>
          <cell r="K1508">
            <v>699</v>
          </cell>
          <cell r="L1508" t="str">
            <v>Liverpool</v>
          </cell>
          <cell r="M1508" t="str">
            <v>New</v>
          </cell>
          <cell r="N1508" t="str">
            <v>NM011291858</v>
          </cell>
        </row>
        <row r="1509">
          <cell r="A1509" t="str">
            <v>Nomad</v>
          </cell>
          <cell r="C1509" t="str">
            <v>NM011284858</v>
          </cell>
          <cell r="D1509" t="str">
            <v>856504011284</v>
          </cell>
          <cell r="E1509" t="str">
            <v>Nomad Modern Leather Case - Airpods Pro 3 | Rustic Brown | Horween</v>
          </cell>
          <cell r="F1509" t="str">
            <v>Cases Airpods</v>
          </cell>
          <cell r="G1509" t="str">
            <v>Airpods</v>
          </cell>
          <cell r="H1509" t="str">
            <v>Airpods Pro 3</v>
          </cell>
          <cell r="I1509">
            <v>361.55</v>
          </cell>
          <cell r="J1509">
            <v>0.40000286123032913</v>
          </cell>
          <cell r="K1509">
            <v>699</v>
          </cell>
          <cell r="L1509" t="str">
            <v>Liverpool</v>
          </cell>
          <cell r="M1509" t="str">
            <v>New</v>
          </cell>
          <cell r="N1509" t="str">
            <v>NM011284858</v>
          </cell>
        </row>
        <row r="1510">
          <cell r="A1510" t="str">
            <v>Nomad</v>
          </cell>
          <cell r="C1510" t="str">
            <v>NM014285858</v>
          </cell>
          <cell r="D1510">
            <v>856504014285</v>
          </cell>
          <cell r="E1510" t="str">
            <v>Nomad Modern Leather Case - iPhone 17 Pro Max | Black | Nomad Leather</v>
          </cell>
          <cell r="F1510" t="str">
            <v>Cases</v>
          </cell>
          <cell r="G1510" t="str">
            <v>iPhone 17</v>
          </cell>
          <cell r="H1510" t="str">
            <v>iPhone 17 Pro Max</v>
          </cell>
          <cell r="I1510">
            <v>516.72</v>
          </cell>
          <cell r="J1510">
            <v>0.40000480480480471</v>
          </cell>
          <cell r="K1510">
            <v>999</v>
          </cell>
          <cell r="L1510" t="str">
            <v>Liverpool</v>
          </cell>
          <cell r="M1510" t="str">
            <v>New</v>
          </cell>
          <cell r="N1510" t="str">
            <v>NM014285858</v>
          </cell>
        </row>
        <row r="1511">
          <cell r="A1511" t="str">
            <v>Nomad</v>
          </cell>
          <cell r="C1511" t="str">
            <v>NM014278858</v>
          </cell>
          <cell r="D1511">
            <v>856504014278</v>
          </cell>
          <cell r="E1511" t="str">
            <v>Nomad Modern Leather Case - iPhone 17 Pro Max | Brown | Nomad Leather</v>
          </cell>
          <cell r="F1511" t="str">
            <v>Cases</v>
          </cell>
          <cell r="G1511" t="str">
            <v>iPhone 17</v>
          </cell>
          <cell r="H1511" t="str">
            <v>iPhone 17 Pro Max</v>
          </cell>
          <cell r="I1511">
            <v>516.72</v>
          </cell>
          <cell r="J1511">
            <v>0.40000480480480471</v>
          </cell>
          <cell r="K1511">
            <v>999</v>
          </cell>
          <cell r="L1511" t="str">
            <v>Liverpool</v>
          </cell>
          <cell r="M1511" t="str">
            <v>New</v>
          </cell>
          <cell r="N1511" t="str">
            <v>NM014278858</v>
          </cell>
        </row>
        <row r="1512">
          <cell r="A1512" t="str">
            <v>Nomad</v>
          </cell>
          <cell r="C1512" t="str">
            <v>NM014339858</v>
          </cell>
          <cell r="D1512">
            <v>856504014339</v>
          </cell>
          <cell r="E1512" t="str">
            <v>Nomad Modern Leather Case - iPhone 17 Pro | Black | Nomad Leather</v>
          </cell>
          <cell r="F1512" t="str">
            <v>Cases</v>
          </cell>
          <cell r="G1512" t="str">
            <v>iPhone 17</v>
          </cell>
          <cell r="H1512" t="str">
            <v>iPhone 17 Pro</v>
          </cell>
          <cell r="I1512">
            <v>516.72</v>
          </cell>
          <cell r="J1512">
            <v>0.40000480480480471</v>
          </cell>
          <cell r="K1512">
            <v>999</v>
          </cell>
          <cell r="L1512" t="str">
            <v>Liverpool</v>
          </cell>
          <cell r="M1512" t="str">
            <v>New</v>
          </cell>
          <cell r="N1512" t="str">
            <v>NM014339858</v>
          </cell>
        </row>
        <row r="1513">
          <cell r="A1513" t="str">
            <v>Nomad</v>
          </cell>
          <cell r="C1513" t="str">
            <v>NM014322858</v>
          </cell>
          <cell r="D1513">
            <v>856504014322</v>
          </cell>
          <cell r="E1513" t="str">
            <v>Nomad Modern Leather Case - iPhone 17 Pro | Brown | Nomad Leather</v>
          </cell>
          <cell r="F1513" t="str">
            <v>Cases</v>
          </cell>
          <cell r="G1513" t="str">
            <v>iPhone 17</v>
          </cell>
          <cell r="H1513" t="str">
            <v>iPhone 17 Pro</v>
          </cell>
          <cell r="I1513">
            <v>516.72</v>
          </cell>
          <cell r="J1513">
            <v>0.40000480480480471</v>
          </cell>
          <cell r="K1513">
            <v>999</v>
          </cell>
          <cell r="L1513" t="str">
            <v>Liverpool</v>
          </cell>
          <cell r="M1513" t="str">
            <v>New</v>
          </cell>
          <cell r="N1513" t="str">
            <v>NM014322858</v>
          </cell>
        </row>
        <row r="1514">
          <cell r="A1514" t="str">
            <v>Raptic</v>
          </cell>
          <cell r="B1514" t="str">
            <v>6950941445276</v>
          </cell>
          <cell r="C1514" t="str">
            <v>6950941445276</v>
          </cell>
          <cell r="D1514" t="str">
            <v>6950941445276</v>
          </cell>
          <cell r="E1514" t="str">
            <v xml:space="preserve">Raptic RT1087 WaterproofPhone Case for 6.9 size-Black </v>
          </cell>
          <cell r="F1514" t="str">
            <v>Cases Universal</v>
          </cell>
          <cell r="G1514" t="str">
            <v>Universal</v>
          </cell>
          <cell r="H1514" t="str">
            <v>Phone</v>
          </cell>
          <cell r="I1514">
            <v>79.22</v>
          </cell>
          <cell r="J1514">
            <v>0.720683282674772</v>
          </cell>
          <cell r="K1514">
            <v>329</v>
          </cell>
          <cell r="L1514" t="str">
            <v>Mercado Libre</v>
          </cell>
          <cell r="M1514" t="str">
            <v>Active</v>
          </cell>
          <cell r="N1514" t="str">
            <v>445276-M</v>
          </cell>
        </row>
        <row r="1515">
          <cell r="A1515" t="str">
            <v>Nomad</v>
          </cell>
          <cell r="C1515" t="str">
            <v>NM009254858</v>
          </cell>
          <cell r="D1515">
            <v>855848009254</v>
          </cell>
          <cell r="E1515" t="str">
            <v>Nomad Modern Leather Case - iPhone 18 Pro | Black | Nomad Leather</v>
          </cell>
          <cell r="F1515" t="str">
            <v>Cases iPhone</v>
          </cell>
          <cell r="G1515" t="str">
            <v>iPhone 18</v>
          </cell>
          <cell r="H1515" t="str">
            <v>iPhone 18 Pro</v>
          </cell>
          <cell r="I1515">
            <v>516.72</v>
          </cell>
          <cell r="J1515">
            <v>0.40000480480480471</v>
          </cell>
          <cell r="K1515">
            <v>999</v>
          </cell>
          <cell r="L1515" t="str">
            <v>Liverpool</v>
          </cell>
          <cell r="M1515" t="str">
            <v>New</v>
          </cell>
          <cell r="N1515" t="str">
            <v>NM009254858</v>
          </cell>
        </row>
        <row r="1516">
          <cell r="A1516" t="str">
            <v>Nomad</v>
          </cell>
          <cell r="C1516" t="str">
            <v>NM009247858</v>
          </cell>
          <cell r="D1516">
            <v>855848009247</v>
          </cell>
          <cell r="E1516" t="str">
            <v>Nomad Modern Leather Case - iPhone 18 Pro | Brown | Nomad Leather</v>
          </cell>
          <cell r="F1516" t="str">
            <v>Cases iPhone</v>
          </cell>
          <cell r="G1516" t="str">
            <v>iPhone 18</v>
          </cell>
          <cell r="H1516" t="str">
            <v>iPhone 18 Pro</v>
          </cell>
          <cell r="I1516">
            <v>516.72</v>
          </cell>
          <cell r="J1516">
            <v>0.40000480480480471</v>
          </cell>
          <cell r="K1516">
            <v>999</v>
          </cell>
          <cell r="L1516" t="str">
            <v>Liverpool</v>
          </cell>
          <cell r="M1516" t="str">
            <v>New</v>
          </cell>
          <cell r="N1516" t="str">
            <v>NM009247858</v>
          </cell>
        </row>
        <row r="1517">
          <cell r="A1517" t="str">
            <v>Nomad</v>
          </cell>
          <cell r="C1517" t="str">
            <v>NM009179858</v>
          </cell>
          <cell r="D1517">
            <v>855848009179</v>
          </cell>
          <cell r="E1517" t="str">
            <v>Nomad Modern Leather Case - iPhone 18 Pro Max | Black | Nomad Leather</v>
          </cell>
          <cell r="F1517" t="str">
            <v>Cases iPhone</v>
          </cell>
          <cell r="G1517" t="str">
            <v>iPhone 18</v>
          </cell>
          <cell r="H1517" t="str">
            <v>iPhone 18 Pro Max</v>
          </cell>
          <cell r="I1517">
            <v>516.72</v>
          </cell>
          <cell r="J1517">
            <v>0.40000480480480471</v>
          </cell>
          <cell r="K1517">
            <v>999</v>
          </cell>
          <cell r="L1517" t="str">
            <v>Liverpool</v>
          </cell>
          <cell r="M1517" t="str">
            <v>New</v>
          </cell>
          <cell r="N1517" t="str">
            <v>NM009179858</v>
          </cell>
        </row>
        <row r="1518">
          <cell r="A1518" t="str">
            <v>Nomad</v>
          </cell>
          <cell r="C1518" t="str">
            <v>NM009162858</v>
          </cell>
          <cell r="D1518">
            <v>855848009162</v>
          </cell>
          <cell r="E1518" t="str">
            <v>Nomad Modern Leather Case - iPhone 18 Pro Max | Brown | Nomad Leather</v>
          </cell>
          <cell r="F1518" t="str">
            <v>Cases iPhone</v>
          </cell>
          <cell r="G1518" t="str">
            <v>iPhone 18</v>
          </cell>
          <cell r="H1518" t="str">
            <v>iPhone 18 Pro Max</v>
          </cell>
          <cell r="I1518">
            <v>516.72</v>
          </cell>
          <cell r="J1518">
            <v>0.40000480480480471</v>
          </cell>
          <cell r="K1518">
            <v>999</v>
          </cell>
          <cell r="L1518" t="str">
            <v>Liverpool</v>
          </cell>
          <cell r="M1518" t="str">
            <v>New</v>
          </cell>
          <cell r="N1518" t="str">
            <v>NM009162858</v>
          </cell>
        </row>
        <row r="1519">
          <cell r="A1519" t="str">
            <v>Speck</v>
          </cell>
          <cell r="C1519" t="str">
            <v>151089-1212</v>
          </cell>
          <cell r="D1519" t="str">
            <v>840168548378</v>
          </cell>
          <cell r="E1519" t="str">
            <v>Speck SmartShell for Apple MacBook Neo - Clear</v>
          </cell>
          <cell r="F1519" t="str">
            <v>Cases Macbook</v>
          </cell>
          <cell r="G1519" t="str">
            <v>MacBook</v>
          </cell>
          <cell r="H1519" t="str">
            <v>MacBook Neo</v>
          </cell>
          <cell r="I1519">
            <v>503.80603448275861</v>
          </cell>
          <cell r="J1519">
            <v>0.41499999999999998</v>
          </cell>
          <cell r="K1519">
            <v>999</v>
          </cell>
          <cell r="L1519" t="str">
            <v>MacStore</v>
          </cell>
          <cell r="M1519" t="str">
            <v>New</v>
          </cell>
          <cell r="N1519" t="str">
            <v>151089-1212</v>
          </cell>
        </row>
        <row r="1520">
          <cell r="A1520" t="str">
            <v>Speck</v>
          </cell>
          <cell r="B1520" t="str">
            <v>840168548378</v>
          </cell>
          <cell r="C1520" t="str">
            <v>151089-1212</v>
          </cell>
          <cell r="D1520" t="str">
            <v>840168548378</v>
          </cell>
          <cell r="E1520" t="str">
            <v>Speck SmartShell for Apple MacBook Neo - Clear</v>
          </cell>
          <cell r="F1520" t="str">
            <v>Cases Macbook</v>
          </cell>
          <cell r="G1520" t="str">
            <v>MacBook</v>
          </cell>
          <cell r="H1520" t="str">
            <v>MacBook Neo</v>
          </cell>
          <cell r="I1520">
            <v>430.6</v>
          </cell>
          <cell r="J1520">
            <v>0.50000400400400402</v>
          </cell>
          <cell r="K1520">
            <v>999</v>
          </cell>
          <cell r="L1520" t="str">
            <v>iShop</v>
          </cell>
          <cell r="M1520" t="str">
            <v>Active</v>
          </cell>
          <cell r="N1520" t="str">
            <v>151089-1212</v>
          </cell>
        </row>
        <row r="1521">
          <cell r="A1521" t="str">
            <v>Speck</v>
          </cell>
          <cell r="B1521" t="str">
            <v>840168546701</v>
          </cell>
          <cell r="C1521" t="str">
            <v>150991-3263</v>
          </cell>
          <cell r="D1521" t="str">
            <v>840168546701</v>
          </cell>
          <cell r="E1521" t="str">
            <v>Speck Balance Folio for iPad Air 11" (2026-MA-8th gen) - PICCARD'S BLUE/FROST BEIGE/FADED TEAL</v>
          </cell>
          <cell r="F1521" t="str">
            <v>Cases iPad</v>
          </cell>
          <cell r="G1521" t="str">
            <v>iPad</v>
          </cell>
          <cell r="H1521" t="str">
            <v>iPad Air M4-M2 / iPad Air 5th/4th</v>
          </cell>
          <cell r="I1521">
            <v>430.6</v>
          </cell>
          <cell r="J1521">
            <v>0.50000400400400402</v>
          </cell>
          <cell r="K1521">
            <v>999</v>
          </cell>
          <cell r="L1521" t="str">
            <v>iShop</v>
          </cell>
          <cell r="M1521" t="str">
            <v>Active</v>
          </cell>
          <cell r="N1521" t="str">
            <v>150991-3263</v>
          </cell>
        </row>
        <row r="1522">
          <cell r="A1522" t="str">
            <v>Speck</v>
          </cell>
          <cell r="B1522">
            <v>840168548378</v>
          </cell>
          <cell r="C1522" t="str">
            <v>151089-1212</v>
          </cell>
          <cell r="D1522" t="str">
            <v>840168548378</v>
          </cell>
          <cell r="E1522" t="str">
            <v>Speck SmartShell for Apple MacBook Neo - Clear</v>
          </cell>
          <cell r="F1522" t="str">
            <v>Cases Macbook</v>
          </cell>
          <cell r="G1522" t="str">
            <v>MacBook</v>
          </cell>
          <cell r="H1522" t="str">
            <v>MacBook Neo</v>
          </cell>
          <cell r="I1522">
            <v>430.6</v>
          </cell>
          <cell r="J1522">
            <v>0.50000400400400402</v>
          </cell>
          <cell r="K1522">
            <v>999</v>
          </cell>
          <cell r="L1522" t="str">
            <v>iShop</v>
          </cell>
          <cell r="M1522" t="str">
            <v>Active</v>
          </cell>
          <cell r="N1522" t="str">
            <v>151089-1212</v>
          </cell>
        </row>
        <row r="1523">
          <cell r="A1523" t="str">
            <v>Speck</v>
          </cell>
          <cell r="B1523" t="str">
            <v>TBD</v>
          </cell>
          <cell r="C1523" t="str">
            <v>151106-9221</v>
          </cell>
          <cell r="D1523" t="str">
            <v>AP-1041</v>
          </cell>
          <cell r="E1523" t="str">
            <v>Speck  Presidio Lux + C-MagSafe/CC  Gold Glitter  iPhone 18 Pro</v>
          </cell>
          <cell r="F1523" t="str">
            <v>Cases iPhone</v>
          </cell>
          <cell r="G1523" t="str">
            <v>iPhone 18</v>
          </cell>
          <cell r="H1523" t="str">
            <v>iPhone 18 Pro</v>
          </cell>
          <cell r="I1523">
            <v>460.74568965517238</v>
          </cell>
          <cell r="J1523">
            <v>0.46500000000000008</v>
          </cell>
          <cell r="K1523">
            <v>999</v>
          </cell>
          <cell r="L1523" t="str">
            <v>MacStore</v>
          </cell>
          <cell r="M1523" t="str">
            <v>New</v>
          </cell>
          <cell r="N1523" t="str">
            <v>151106-9221</v>
          </cell>
        </row>
        <row r="1524">
          <cell r="A1524" t="str">
            <v>Speck</v>
          </cell>
          <cell r="B1524" t="str">
            <v>TBD</v>
          </cell>
          <cell r="C1524" t="str">
            <v>151096-D143</v>
          </cell>
          <cell r="D1524" t="str">
            <v>AP-1041</v>
          </cell>
          <cell r="E1524" t="str">
            <v>Speck  Presidio2 Grip + MagSafe/CC  Black  iPhone 18 Pro</v>
          </cell>
          <cell r="F1524" t="str">
            <v>Cases iPhone</v>
          </cell>
          <cell r="G1524" t="str">
            <v>iPhone 18</v>
          </cell>
          <cell r="H1524" t="str">
            <v>iPhone 18 Pro</v>
          </cell>
          <cell r="I1524">
            <v>460.74568965517238</v>
          </cell>
          <cell r="J1524">
            <v>0.46500000000000008</v>
          </cell>
          <cell r="K1524">
            <v>999</v>
          </cell>
          <cell r="L1524" t="str">
            <v>MacStore</v>
          </cell>
          <cell r="M1524" t="str">
            <v>New</v>
          </cell>
          <cell r="N1524" t="str">
            <v>151096-D143</v>
          </cell>
        </row>
        <row r="1525">
          <cell r="A1525" t="str">
            <v>TECH21</v>
          </cell>
          <cell r="B1525" t="str">
            <v>TBD</v>
          </cell>
          <cell r="C1525" t="str">
            <v>T21-11640</v>
          </cell>
          <cell r="D1525" t="str">
            <v>AP-1041</v>
          </cell>
          <cell r="E1525" t="str">
            <v>Tech21  EvoCrystal w/C-MagSafe/CC  Black  iPhone 18 Pro</v>
          </cell>
          <cell r="F1525" t="str">
            <v>Cases iPhone</v>
          </cell>
          <cell r="G1525" t="str">
            <v>iPhone 18</v>
          </cell>
          <cell r="H1525" t="str">
            <v>iPhone 18 Pro</v>
          </cell>
          <cell r="I1525">
            <v>453.375</v>
          </cell>
          <cell r="J1525">
            <v>0.41500000000000004</v>
          </cell>
          <cell r="K1525">
            <v>899</v>
          </cell>
          <cell r="L1525" t="str">
            <v>MacStore</v>
          </cell>
          <cell r="M1525" t="str">
            <v>New</v>
          </cell>
          <cell r="N1525" t="str">
            <v>T21-11640</v>
          </cell>
        </row>
        <row r="1526">
          <cell r="A1526" t="str">
            <v>TECH21</v>
          </cell>
          <cell r="B1526" t="str">
            <v>TBD</v>
          </cell>
          <cell r="C1526" t="str">
            <v>T21-11641</v>
          </cell>
          <cell r="D1526" t="str">
            <v>AP-1041</v>
          </cell>
          <cell r="E1526" t="str">
            <v>Tech21  EvoCrystal w/C-MagSafe/CC  Gold  iPhone 18 Pro</v>
          </cell>
          <cell r="F1526" t="str">
            <v>Cases iPhone</v>
          </cell>
          <cell r="G1526" t="str">
            <v>iPhone 18</v>
          </cell>
          <cell r="H1526" t="str">
            <v>iPhone 18 Pro</v>
          </cell>
          <cell r="I1526">
            <v>453.375</v>
          </cell>
          <cell r="J1526">
            <v>0.41500000000000004</v>
          </cell>
          <cell r="K1526">
            <v>899</v>
          </cell>
          <cell r="L1526" t="str">
            <v>MacStore</v>
          </cell>
          <cell r="M1526" t="str">
            <v>New</v>
          </cell>
          <cell r="N1526" t="str">
            <v>T21-11641</v>
          </cell>
        </row>
        <row r="1527">
          <cell r="A1527" t="str">
            <v>TECH21</v>
          </cell>
          <cell r="B1527" t="str">
            <v>TBD</v>
          </cell>
          <cell r="C1527" t="str">
            <v>T21-11646</v>
          </cell>
          <cell r="D1527" t="str">
            <v>AP-1041</v>
          </cell>
          <cell r="E1527" t="str">
            <v>Tech21  EvoCrystal w/C-MagSafe/CC  Neo Green  iPhone 18 Pro</v>
          </cell>
          <cell r="F1527" t="str">
            <v>Cases iPhone</v>
          </cell>
          <cell r="G1527" t="str">
            <v>iPhone 18</v>
          </cell>
          <cell r="H1527" t="str">
            <v>iPhone 18 Pro</v>
          </cell>
          <cell r="I1527">
            <v>453.375</v>
          </cell>
          <cell r="J1527">
            <v>0.41500000000000004</v>
          </cell>
          <cell r="K1527">
            <v>899</v>
          </cell>
          <cell r="L1527" t="str">
            <v>MacStore</v>
          </cell>
          <cell r="M1527" t="str">
            <v>New</v>
          </cell>
          <cell r="N1527" t="str">
            <v>T21-11646</v>
          </cell>
        </row>
        <row r="1528">
          <cell r="A1528" t="str">
            <v>TECH21</v>
          </cell>
          <cell r="B1528" t="str">
            <v>TBD</v>
          </cell>
          <cell r="C1528" t="str">
            <v>T21-11630</v>
          </cell>
          <cell r="D1528" t="str">
            <v>AP-1041</v>
          </cell>
          <cell r="E1528" t="str">
            <v>Tech21  EvoPulse Satin Mirror w/MagSafe/CC  Lilac  iPhone 18 Pro</v>
          </cell>
          <cell r="F1528" t="str">
            <v>Cases iPhone</v>
          </cell>
          <cell r="G1528" t="str">
            <v>iPhone 18</v>
          </cell>
          <cell r="H1528" t="str">
            <v>iPhone 18 Pro</v>
          </cell>
          <cell r="I1528">
            <v>503.80603448275861</v>
          </cell>
          <cell r="J1528">
            <v>0.41500000000000004</v>
          </cell>
          <cell r="K1528">
            <v>999</v>
          </cell>
          <cell r="L1528" t="str">
            <v>MacStore</v>
          </cell>
          <cell r="M1528" t="str">
            <v>New</v>
          </cell>
          <cell r="N1528" t="str">
            <v>T21-11630</v>
          </cell>
        </row>
        <row r="1529">
          <cell r="A1529" t="str">
            <v>Nomad</v>
          </cell>
          <cell r="B1529" t="str">
            <v>TBD</v>
          </cell>
          <cell r="C1529" t="str">
            <v>NM009254858</v>
          </cell>
          <cell r="D1529">
            <v>855848009254</v>
          </cell>
          <cell r="E1529" t="str">
            <v>Nomad Modern Leather Case - iPhone 18 Pro | Black | Nomad Leather</v>
          </cell>
          <cell r="F1529" t="str">
            <v>Cases iPhone</v>
          </cell>
          <cell r="G1529" t="str">
            <v>iPhone 18</v>
          </cell>
          <cell r="H1529" t="str">
            <v>iPhone 18 Pro</v>
          </cell>
          <cell r="I1529">
            <v>602.84482758620686</v>
          </cell>
          <cell r="J1529">
            <v>0.30000000000000004</v>
          </cell>
          <cell r="K1529">
            <v>999</v>
          </cell>
          <cell r="L1529" t="str">
            <v>MacStore</v>
          </cell>
          <cell r="M1529" t="str">
            <v>New</v>
          </cell>
          <cell r="N1529" t="str">
            <v>NM009254858</v>
          </cell>
        </row>
        <row r="1530">
          <cell r="A1530" t="str">
            <v>Nomad</v>
          </cell>
          <cell r="B1530" t="str">
            <v>TBD</v>
          </cell>
          <cell r="C1530" t="str">
            <v>NM009247858</v>
          </cell>
          <cell r="D1530">
            <v>855848009247</v>
          </cell>
          <cell r="E1530" t="str">
            <v>Nomad Modern Leather Case - iPhone 18 Pro | Brown | Nomad Leather</v>
          </cell>
          <cell r="F1530" t="str">
            <v>Cases iPhone</v>
          </cell>
          <cell r="G1530" t="str">
            <v>iPhone 18</v>
          </cell>
          <cell r="H1530" t="str">
            <v>iPhone 18 Pro</v>
          </cell>
          <cell r="I1530">
            <v>602.84482758620686</v>
          </cell>
          <cell r="J1530">
            <v>0.30000000000000004</v>
          </cell>
          <cell r="K1530">
            <v>999</v>
          </cell>
          <cell r="L1530" t="str">
            <v>MacStore</v>
          </cell>
          <cell r="M1530" t="str">
            <v>New</v>
          </cell>
          <cell r="N1530" t="str">
            <v>NM009247858</v>
          </cell>
        </row>
        <row r="1531">
          <cell r="A1531" t="str">
            <v>Tech21</v>
          </cell>
          <cell r="B1531" t="str">
            <v>TBD</v>
          </cell>
          <cell r="C1531" t="str">
            <v>T21-11408</v>
          </cell>
          <cell r="E1531" t="str">
            <v>Tech21 Tempered Glass iPhone 18 Pro</v>
          </cell>
          <cell r="F1531" t="str">
            <v>Micas</v>
          </cell>
          <cell r="G1531" t="str">
            <v>iPhone 18</v>
          </cell>
          <cell r="H1531" t="str">
            <v>iPhone 18 Pro</v>
          </cell>
          <cell r="I1531">
            <v>276.26</v>
          </cell>
          <cell r="J1531">
            <v>0.46500567612687815</v>
          </cell>
          <cell r="K1531">
            <v>599</v>
          </cell>
          <cell r="L1531" t="str">
            <v>MacStore</v>
          </cell>
          <cell r="M1531" t="str">
            <v>New</v>
          </cell>
          <cell r="N1531" t="str">
            <v>T21-11408</v>
          </cell>
        </row>
        <row r="1532">
          <cell r="A1532" t="str">
            <v>Uniq</v>
          </cell>
          <cell r="B1532" t="str">
            <v>TBD</v>
          </cell>
          <cell r="C1532" t="str">
            <v>UNIQ-IP6.3P(2026)-COMMDBRG</v>
          </cell>
          <cell r="D1532">
            <v>8886463698969</v>
          </cell>
          <cell r="E1532" t="str">
            <v>UNIQ HYBRID IPHONE 18 PRO (2026) 6.3 MAGCLICK CHARGING COMBAT - DEEP BURGUNDY</v>
          </cell>
          <cell r="F1532" t="str">
            <v>Cases iPhone</v>
          </cell>
          <cell r="G1532" t="str">
            <v>iPhone 18</v>
          </cell>
          <cell r="H1532" t="str">
            <v>iPhone 18 Pro</v>
          </cell>
          <cell r="I1532">
            <v>402.94396551724139</v>
          </cell>
          <cell r="J1532">
            <v>0.41500000000000004</v>
          </cell>
          <cell r="K1532">
            <v>799</v>
          </cell>
          <cell r="L1532" t="str">
            <v>MacStore</v>
          </cell>
          <cell r="M1532" t="str">
            <v>New</v>
          </cell>
          <cell r="N1532" t="str">
            <v>UNIQ-IP6.3P(2026)-COMMDBRG</v>
          </cell>
        </row>
        <row r="1533">
          <cell r="A1533" t="str">
            <v>Uniq</v>
          </cell>
          <cell r="B1533" t="str">
            <v>TBD</v>
          </cell>
          <cell r="C1533" t="str">
            <v>UNIQ-IP6.3P(2026)-CLARMGMNT</v>
          </cell>
          <cell r="D1533">
            <v>8886463699058</v>
          </cell>
          <cell r="E1533" t="str">
            <v>UNIQ HYBRID IPHONE 18 PRO (2026) 6.3 MAGCLICK CHARGING CLARIO (ECO) - GLACIER MINT</v>
          </cell>
          <cell r="F1533" t="str">
            <v>Cases iPhone</v>
          </cell>
          <cell r="G1533" t="str">
            <v>iPhone 18</v>
          </cell>
          <cell r="H1533" t="str">
            <v>iPhone 18 Pro</v>
          </cell>
          <cell r="I1533">
            <v>402.94396551724139</v>
          </cell>
          <cell r="J1533">
            <v>0.41500000000000004</v>
          </cell>
          <cell r="K1533">
            <v>799</v>
          </cell>
          <cell r="L1533" t="str">
            <v>MacStore</v>
          </cell>
          <cell r="M1533" t="str">
            <v>New</v>
          </cell>
          <cell r="N1533" t="str">
            <v>UNIQ-IP6.3P(2026)-CLARMGMNT</v>
          </cell>
        </row>
        <row r="1534">
          <cell r="A1534" t="str">
            <v>Uniq</v>
          </cell>
          <cell r="B1534" t="str">
            <v>TBD</v>
          </cell>
          <cell r="C1534" t="str">
            <v>UNIQ-IP6.3P(2026)-SWVLCLR</v>
          </cell>
          <cell r="D1534">
            <v>8886463699164</v>
          </cell>
          <cell r="E1534" t="str">
            <v>UNIQ HYBRID IPHONE 18 PRO (2026) 6.3 SWIVIX WITH 360 ROTATING KICKSTAND - LUCENT CLEAR</v>
          </cell>
          <cell r="F1534" t="str">
            <v>Cases iPhone</v>
          </cell>
          <cell r="G1534" t="str">
            <v>iPhone 18</v>
          </cell>
          <cell r="H1534" t="str">
            <v>iPhone 18 Pro</v>
          </cell>
          <cell r="I1534">
            <v>453.375</v>
          </cell>
          <cell r="J1534">
            <v>0.41500000000000004</v>
          </cell>
          <cell r="K1534">
            <v>899</v>
          </cell>
          <cell r="L1534" t="str">
            <v>MacStore</v>
          </cell>
          <cell r="M1534" t="str">
            <v>New</v>
          </cell>
          <cell r="N1534" t="str">
            <v>UNIQ-IP6.3P(2026)-SWVLCLR</v>
          </cell>
        </row>
        <row r="1535">
          <cell r="A1535" t="str">
            <v>Uniq</v>
          </cell>
          <cell r="B1535" t="str">
            <v>TBD</v>
          </cell>
          <cell r="C1535" t="str">
            <v>UNIQ-IP6.3P(2026)-KEVAMCBLK</v>
          </cell>
          <cell r="D1535">
            <v>8886463699508</v>
          </cell>
          <cell r="E1535" t="str">
            <v>UNIQ HYBRID IPHONE 18 PRO (2026) 6.3 MAGCLICK CHARGING KEVA - CARBON BLACK</v>
          </cell>
          <cell r="F1535" t="str">
            <v>Cases iPhone</v>
          </cell>
          <cell r="G1535" t="str">
            <v>iPhone 18</v>
          </cell>
          <cell r="H1535" t="str">
            <v>iPhone 18 Pro</v>
          </cell>
          <cell r="I1535">
            <v>554.23706896551721</v>
          </cell>
          <cell r="J1535">
            <v>0.41500000000000004</v>
          </cell>
          <cell r="K1535">
            <v>1099</v>
          </cell>
          <cell r="L1535" t="str">
            <v>MacStore</v>
          </cell>
          <cell r="M1535" t="str">
            <v>New</v>
          </cell>
          <cell r="N1535" t="str">
            <v>UNIQ-IP6.3P(2026)-KEVAMCBLK</v>
          </cell>
        </row>
        <row r="1536">
          <cell r="A1536" t="str">
            <v>Uniq</v>
          </cell>
          <cell r="B1536" t="str">
            <v>TBD</v>
          </cell>
          <cell r="C1536" t="str">
            <v>UNIQ-IP6.3P(2026)-COMMBWHT</v>
          </cell>
          <cell r="D1536">
            <v>8886463698945</v>
          </cell>
          <cell r="E1536" t="str">
            <v>UNIQ HYBRID IPHONE 18 PRO (2026) 6.3 MAGCLICK CHARGING COMBAT - BLANC WHITE</v>
          </cell>
          <cell r="F1536" t="str">
            <v>Cases iPhone</v>
          </cell>
          <cell r="G1536" t="str">
            <v>iPhone 18</v>
          </cell>
          <cell r="H1536" t="str">
            <v>iPhone 18 Pro</v>
          </cell>
          <cell r="I1536">
            <v>402.94396551724139</v>
          </cell>
          <cell r="J1536">
            <v>0.41500000000000004</v>
          </cell>
          <cell r="K1536">
            <v>799</v>
          </cell>
          <cell r="L1536" t="str">
            <v>MacStore</v>
          </cell>
          <cell r="M1536" t="str">
            <v>New</v>
          </cell>
          <cell r="N1536" t="str">
            <v>UNIQ-IP6.3P(2026)-COMMBWHT</v>
          </cell>
        </row>
        <row r="1537">
          <cell r="A1537" t="str">
            <v>Speck</v>
          </cell>
          <cell r="B1537" t="str">
            <v>TBD</v>
          </cell>
          <cell r="C1537" t="str">
            <v>151118-9221</v>
          </cell>
          <cell r="D1537" t="str">
            <v>AP-1042</v>
          </cell>
          <cell r="E1537" t="str">
            <v>Speck  Presidio Lux + C-MagSafe/CC  Gold Glitter  iPhone 18 Pro Max</v>
          </cell>
          <cell r="F1537" t="str">
            <v>Cases iPhone</v>
          </cell>
          <cell r="G1537" t="str">
            <v>iPhone 18</v>
          </cell>
          <cell r="H1537" t="str">
            <v>iPhone 18 Pro Max</v>
          </cell>
          <cell r="I1537">
            <v>460.74568965517238</v>
          </cell>
          <cell r="J1537">
            <v>0.46500000000000008</v>
          </cell>
          <cell r="K1537">
            <v>999</v>
          </cell>
          <cell r="L1537" t="str">
            <v>MacStore</v>
          </cell>
          <cell r="M1537" t="str">
            <v>New</v>
          </cell>
          <cell r="N1537" t="str">
            <v>151118-9221</v>
          </cell>
        </row>
        <row r="1538">
          <cell r="A1538" t="str">
            <v>Speck</v>
          </cell>
          <cell r="B1538" t="str">
            <v>TBD</v>
          </cell>
          <cell r="C1538" t="str">
            <v>151110-3240</v>
          </cell>
          <cell r="D1538" t="str">
            <v>AP-1042</v>
          </cell>
          <cell r="E1538" t="str">
            <v>Speck  Presidio Perfect Clear + C-MagSafe/CC  Clear  iPhone 18 Pro Max</v>
          </cell>
          <cell r="F1538" t="str">
            <v>Cases iPhone</v>
          </cell>
          <cell r="G1538" t="str">
            <v>iPhone 18</v>
          </cell>
          <cell r="H1538" t="str">
            <v>iPhone 18 Pro Max</v>
          </cell>
          <cell r="I1538">
            <v>460.74568965517238</v>
          </cell>
          <cell r="J1538">
            <v>0.46500000000000008</v>
          </cell>
          <cell r="K1538">
            <v>999</v>
          </cell>
          <cell r="L1538" t="str">
            <v>MacStore</v>
          </cell>
          <cell r="M1538" t="str">
            <v>New</v>
          </cell>
          <cell r="N1538" t="str">
            <v>151110-3240</v>
          </cell>
        </row>
        <row r="1539">
          <cell r="A1539" t="str">
            <v>Speck</v>
          </cell>
          <cell r="B1539" t="str">
            <v>TBD</v>
          </cell>
          <cell r="C1539" t="str">
            <v>151108-D143</v>
          </cell>
          <cell r="D1539" t="str">
            <v>AP-1042</v>
          </cell>
          <cell r="E1539" t="str">
            <v>Speck  Presidio2 Grip + MagSafe/CC  Black  iPhone 18 Pro Max</v>
          </cell>
          <cell r="F1539" t="str">
            <v>Cases iPhone</v>
          </cell>
          <cell r="G1539" t="str">
            <v>iPhone 18</v>
          </cell>
          <cell r="H1539" t="str">
            <v>iPhone 18 Pro Max</v>
          </cell>
          <cell r="I1539">
            <v>460.74568965517238</v>
          </cell>
          <cell r="J1539">
            <v>0.46500000000000008</v>
          </cell>
          <cell r="K1539">
            <v>999</v>
          </cell>
          <cell r="L1539" t="str">
            <v>MacStore</v>
          </cell>
          <cell r="M1539" t="str">
            <v>New</v>
          </cell>
          <cell r="N1539" t="str">
            <v>151108-D143</v>
          </cell>
        </row>
        <row r="1540">
          <cell r="A1540" t="str">
            <v>TECH21</v>
          </cell>
          <cell r="B1540" t="str">
            <v>TBD</v>
          </cell>
          <cell r="C1540" t="str">
            <v>T21-11699</v>
          </cell>
          <cell r="D1540" t="str">
            <v>AP-1042</v>
          </cell>
          <cell r="E1540" t="str">
            <v>Tech21  EvoCrystal w/C-MagSafe/CC  Black  iPhone 18 Pro Max</v>
          </cell>
          <cell r="F1540" t="str">
            <v>Cases iPhone</v>
          </cell>
          <cell r="G1540" t="str">
            <v>iPhone 18</v>
          </cell>
          <cell r="H1540" t="str">
            <v>iPhone 18 Pro Max</v>
          </cell>
          <cell r="I1540">
            <v>453.375</v>
          </cell>
          <cell r="J1540">
            <v>0.41500000000000004</v>
          </cell>
          <cell r="K1540">
            <v>899</v>
          </cell>
          <cell r="L1540" t="str">
            <v>MacStore</v>
          </cell>
          <cell r="M1540" t="str">
            <v>New</v>
          </cell>
          <cell r="N1540" t="str">
            <v>T21-11699</v>
          </cell>
        </row>
        <row r="1541">
          <cell r="A1541" t="str">
            <v>TECH21</v>
          </cell>
          <cell r="B1541" t="str">
            <v>TBD</v>
          </cell>
          <cell r="C1541" t="str">
            <v>T21-11700</v>
          </cell>
          <cell r="D1541" t="str">
            <v>AP-1042</v>
          </cell>
          <cell r="E1541" t="str">
            <v>Tech21  EvoCrystal w/C-MagSafe/CC  Gold  iPhone 18 Pro Max</v>
          </cell>
          <cell r="F1541" t="str">
            <v>Cases iPhone</v>
          </cell>
          <cell r="G1541" t="str">
            <v>iPhone 18</v>
          </cell>
          <cell r="H1541" t="str">
            <v>iPhone 18 Pro Max</v>
          </cell>
          <cell r="I1541">
            <v>453.375</v>
          </cell>
          <cell r="J1541">
            <v>0.41500000000000004</v>
          </cell>
          <cell r="K1541">
            <v>899</v>
          </cell>
          <cell r="L1541" t="str">
            <v>MacStore</v>
          </cell>
          <cell r="M1541" t="str">
            <v>New</v>
          </cell>
          <cell r="N1541" t="str">
            <v>T21-11700</v>
          </cell>
        </row>
        <row r="1542">
          <cell r="A1542" t="str">
            <v>TECH21</v>
          </cell>
          <cell r="B1542" t="str">
            <v>TBD</v>
          </cell>
          <cell r="C1542" t="str">
            <v>T21-11705</v>
          </cell>
          <cell r="D1542" t="str">
            <v>AP-1042</v>
          </cell>
          <cell r="E1542" t="str">
            <v>Tech21  EvoCrystal w/C-MagSafe/CC  Neo Green  iPhone 18 Pro Max</v>
          </cell>
          <cell r="F1542" t="str">
            <v>Cases iPhone</v>
          </cell>
          <cell r="G1542" t="str">
            <v>iPhone 18</v>
          </cell>
          <cell r="H1542" t="str">
            <v>iPhone 18 Pro Max</v>
          </cell>
          <cell r="I1542">
            <v>453.375</v>
          </cell>
          <cell r="J1542">
            <v>0.41500000000000004</v>
          </cell>
          <cell r="K1542">
            <v>899</v>
          </cell>
          <cell r="L1542" t="str">
            <v>MacStore</v>
          </cell>
          <cell r="M1542" t="str">
            <v>New</v>
          </cell>
          <cell r="N1542" t="str">
            <v>T21-11705</v>
          </cell>
        </row>
        <row r="1543">
          <cell r="A1543" t="str">
            <v>TECH21</v>
          </cell>
          <cell r="B1543" t="str">
            <v>TBD</v>
          </cell>
          <cell r="C1543" t="str">
            <v>T21-11689</v>
          </cell>
          <cell r="D1543" t="str">
            <v>AP-1042</v>
          </cell>
          <cell r="E1543" t="str">
            <v>Tech21  EvoPulse Satin Mirror w/MagSafe/CC  Lilac  iPhone 18 Pro Max</v>
          </cell>
          <cell r="F1543" t="str">
            <v>Cases iPhone</v>
          </cell>
          <cell r="G1543" t="str">
            <v>iPhone 18</v>
          </cell>
          <cell r="H1543" t="str">
            <v>iPhone 18 Pro Max</v>
          </cell>
          <cell r="I1543">
            <v>503.80603448275861</v>
          </cell>
          <cell r="J1543">
            <v>0.41500000000000004</v>
          </cell>
          <cell r="K1543">
            <v>999</v>
          </cell>
          <cell r="L1543" t="str">
            <v>MacStore</v>
          </cell>
          <cell r="M1543" t="str">
            <v>New</v>
          </cell>
          <cell r="N1543" t="str">
            <v>T21-11689</v>
          </cell>
        </row>
        <row r="1544">
          <cell r="A1544" t="str">
            <v>Nomad</v>
          </cell>
          <cell r="B1544" t="str">
            <v>TBD</v>
          </cell>
          <cell r="C1544" t="str">
            <v>NM009179858</v>
          </cell>
          <cell r="D1544">
            <v>855848009179</v>
          </cell>
          <cell r="E1544" t="str">
            <v>Nomad Modern Leather Case - iPhone 18 Pro Max | Black | Nomad Leather</v>
          </cell>
          <cell r="F1544" t="str">
            <v>Cases iPhone</v>
          </cell>
          <cell r="G1544" t="str">
            <v>iPhone 18</v>
          </cell>
          <cell r="H1544" t="str">
            <v>iPhone 18 Pro Max</v>
          </cell>
          <cell r="I1544">
            <v>602.84482758620686</v>
          </cell>
          <cell r="J1544">
            <v>0.30000000000000004</v>
          </cell>
          <cell r="K1544">
            <v>999</v>
          </cell>
          <cell r="L1544" t="str">
            <v>MacStore</v>
          </cell>
          <cell r="M1544" t="str">
            <v>New</v>
          </cell>
          <cell r="N1544" t="str">
            <v>NM009179858</v>
          </cell>
        </row>
        <row r="1545">
          <cell r="A1545" t="str">
            <v>Nomad</v>
          </cell>
          <cell r="B1545" t="str">
            <v>TBD</v>
          </cell>
          <cell r="C1545" t="str">
            <v>NM009162858</v>
          </cell>
          <cell r="D1545">
            <v>855848009162</v>
          </cell>
          <cell r="E1545" t="str">
            <v>Nomad Modern Leather Case - iPhone 18 Pro Max | Brown | Nomad Leather</v>
          </cell>
          <cell r="F1545" t="str">
            <v>Cases iPhone</v>
          </cell>
          <cell r="G1545" t="str">
            <v>iPhone 18</v>
          </cell>
          <cell r="H1545" t="str">
            <v>iPhone 18 Pro Max</v>
          </cell>
          <cell r="I1545">
            <v>602.84482758620686</v>
          </cell>
          <cell r="J1545">
            <v>0.30000000000000004</v>
          </cell>
          <cell r="K1545">
            <v>999</v>
          </cell>
          <cell r="L1545" t="str">
            <v>MacStore</v>
          </cell>
          <cell r="M1545" t="str">
            <v>New</v>
          </cell>
          <cell r="N1545" t="str">
            <v>NM009162858</v>
          </cell>
        </row>
        <row r="1546">
          <cell r="A1546" t="str">
            <v>Tech21</v>
          </cell>
          <cell r="B1546" t="str">
            <v>TBD</v>
          </cell>
          <cell r="C1546" t="str">
            <v>T21-11441</v>
          </cell>
          <cell r="E1546" t="str">
            <v>Tech21 Tempered Glass iPhone 18 Pro Max</v>
          </cell>
          <cell r="F1546" t="str">
            <v>Micas</v>
          </cell>
          <cell r="G1546" t="str">
            <v>iPhone 18</v>
          </cell>
          <cell r="H1546" t="str">
            <v>iPhone 18 Pro Max</v>
          </cell>
          <cell r="I1546">
            <v>276.26</v>
          </cell>
          <cell r="J1546">
            <v>0.46500567612687815</v>
          </cell>
          <cell r="K1546">
            <v>599</v>
          </cell>
          <cell r="L1546" t="str">
            <v>MacStore</v>
          </cell>
          <cell r="M1546" t="str">
            <v>New</v>
          </cell>
          <cell r="N1546" t="str">
            <v>T21-11441</v>
          </cell>
        </row>
        <row r="1547">
          <cell r="A1547" t="str">
            <v>Uniq</v>
          </cell>
          <cell r="B1547" t="str">
            <v>TBD</v>
          </cell>
          <cell r="C1547" t="str">
            <v>UNIQ-IP6.9P(2026)-COMMDBRG</v>
          </cell>
          <cell r="D1547">
            <v>8886463699003</v>
          </cell>
          <cell r="E1547" t="str">
            <v>UNIQ HYBRID IPHONE 18 PRO MAX (2026) 6.9 MAGCLICK CHARGING COMBAT - DEEP BURGUNDY</v>
          </cell>
          <cell r="F1547" t="str">
            <v>Cases iPhone</v>
          </cell>
          <cell r="G1547" t="str">
            <v>iPhone 18</v>
          </cell>
          <cell r="H1547" t="str">
            <v>iPhone 18 Pro Max</v>
          </cell>
          <cell r="I1547">
            <v>402.94396551724139</v>
          </cell>
          <cell r="J1547">
            <v>0.41500000000000004</v>
          </cell>
          <cell r="K1547">
            <v>799</v>
          </cell>
          <cell r="L1547" t="str">
            <v>MacStore</v>
          </cell>
          <cell r="M1547" t="str">
            <v>New</v>
          </cell>
          <cell r="N1547" t="str">
            <v>UNIQ-IP6.9P(2026)-COMMDBRG</v>
          </cell>
        </row>
        <row r="1548">
          <cell r="A1548" t="str">
            <v>Uniq</v>
          </cell>
          <cell r="B1548" t="str">
            <v>TBD</v>
          </cell>
          <cell r="C1548" t="str">
            <v>UNIQ-IP6.9P(2026)-CLARMGMNT</v>
          </cell>
          <cell r="D1548">
            <v>8886463699096</v>
          </cell>
          <cell r="E1548" t="str">
            <v>UNIQ HYBRID IPHONE 18 PRO MAX (2026) 6.9 MAGCLICK CHARGING CLARIO (ECO) - GLACIER MINT</v>
          </cell>
          <cell r="F1548" t="str">
            <v>Cases iPhone</v>
          </cell>
          <cell r="G1548" t="str">
            <v>iPhone 18</v>
          </cell>
          <cell r="H1548" t="str">
            <v>iPhone 18 Pro Max</v>
          </cell>
          <cell r="I1548">
            <v>402.94396551724139</v>
          </cell>
          <cell r="J1548">
            <v>0.41500000000000004</v>
          </cell>
          <cell r="K1548">
            <v>799</v>
          </cell>
          <cell r="L1548" t="str">
            <v>MacStore</v>
          </cell>
          <cell r="M1548" t="str">
            <v>New</v>
          </cell>
          <cell r="N1548" t="str">
            <v>UNIQ-IP6.9P(2026)-CLARMGMNT</v>
          </cell>
        </row>
        <row r="1549">
          <cell r="A1549" t="str">
            <v>Uniq</v>
          </cell>
          <cell r="B1549" t="str">
            <v>TBD</v>
          </cell>
          <cell r="C1549" t="str">
            <v>UNIQ-IP6.9P(2026)-SWVLCLR</v>
          </cell>
          <cell r="D1549">
            <v>8886463699201</v>
          </cell>
          <cell r="E1549" t="str">
            <v>UNIQ HYBRID IPHONE 18 PRO MAX (2026) 6.9 SWIVIX WITH 360 ROTATING KICKSTAND - LUCENT CLEAR</v>
          </cell>
          <cell r="F1549" t="str">
            <v>Cases iPhone</v>
          </cell>
          <cell r="G1549" t="str">
            <v>iPhone 18</v>
          </cell>
          <cell r="H1549" t="str">
            <v>iPhone 18 Pro Max</v>
          </cell>
          <cell r="I1549">
            <v>453.375</v>
          </cell>
          <cell r="J1549">
            <v>0.41500000000000004</v>
          </cell>
          <cell r="K1549">
            <v>899</v>
          </cell>
          <cell r="L1549" t="str">
            <v>MacStore</v>
          </cell>
          <cell r="M1549" t="str">
            <v>New</v>
          </cell>
          <cell r="N1549" t="str">
            <v>UNIQ-IP6.9P(2026)-SWVLCLR</v>
          </cell>
        </row>
        <row r="1550">
          <cell r="A1550" t="str">
            <v>Uniq</v>
          </cell>
          <cell r="B1550" t="str">
            <v>TBD</v>
          </cell>
          <cell r="C1550" t="str">
            <v>UNIQ-IP6.9P(2026)-KEVAMCBLK</v>
          </cell>
          <cell r="D1550">
            <v>8886463699515</v>
          </cell>
          <cell r="E1550" t="str">
            <v>UNIQ HYBRID IPHONE 18 PRO MAX (2026) 6.9 MAGCLICK CHARGING KEVA - CARBON BLACK</v>
          </cell>
          <cell r="F1550" t="str">
            <v>Cases iPhone</v>
          </cell>
          <cell r="G1550" t="str">
            <v>iPhone 18</v>
          </cell>
          <cell r="H1550" t="str">
            <v>iPhone 18 Pro Max</v>
          </cell>
          <cell r="I1550">
            <v>554.23706896551721</v>
          </cell>
          <cell r="J1550">
            <v>0.41500000000000004</v>
          </cell>
          <cell r="K1550">
            <v>1099</v>
          </cell>
          <cell r="L1550" t="str">
            <v>MacStore</v>
          </cell>
          <cell r="M1550" t="str">
            <v>New</v>
          </cell>
          <cell r="N1550" t="str">
            <v>UNIQ-IP6.9P(2026)-KEVAMCBLK</v>
          </cell>
        </row>
        <row r="1551">
          <cell r="A1551" t="str">
            <v>Uniq</v>
          </cell>
          <cell r="B1551" t="str">
            <v>TBD</v>
          </cell>
          <cell r="C1551" t="str">
            <v>UNIQ-IP6.9P(2026)-COMMBWHT</v>
          </cell>
          <cell r="D1551">
            <v>8886463698983</v>
          </cell>
          <cell r="E1551" t="str">
            <v>UNIQ HYBRID IPHONE 18 PRO MAX (2026) 6.9 MAGCLICK CHARGING COMBAT - BLANC WHITE</v>
          </cell>
          <cell r="F1551" t="str">
            <v>Cases iPhone</v>
          </cell>
          <cell r="G1551" t="str">
            <v>iPhone 18</v>
          </cell>
          <cell r="H1551" t="str">
            <v>iPhone 18 Pro Max</v>
          </cell>
          <cell r="I1551">
            <v>402.94396551724139</v>
          </cell>
          <cell r="J1551">
            <v>0.41500000000000004</v>
          </cell>
          <cell r="K1551">
            <v>799</v>
          </cell>
          <cell r="L1551" t="str">
            <v>MacStore</v>
          </cell>
          <cell r="M1551" t="str">
            <v>New</v>
          </cell>
          <cell r="N1551" t="str">
            <v>UNIQ-IP6.9P(2026)-COMMBWHT</v>
          </cell>
        </row>
        <row r="1552">
          <cell r="A1552" t="str">
            <v>Speck</v>
          </cell>
          <cell r="C1552" t="str">
            <v>151106-9221</v>
          </cell>
          <cell r="D1552">
            <v>840168548910</v>
          </cell>
          <cell r="E1552" t="str">
            <v>Speck  Presidio Lux + C-MagSafe/CC  Gold Glitter  iPhone 18 Pro</v>
          </cell>
          <cell r="F1552" t="str">
            <v>Cases iPhone</v>
          </cell>
          <cell r="G1552" t="str">
            <v>iPhone 18</v>
          </cell>
          <cell r="H1552" t="str">
            <v>iPhone 18 Pro</v>
          </cell>
          <cell r="I1552">
            <v>516.72</v>
          </cell>
          <cell r="J1552">
            <v>0.40000480480480471</v>
          </cell>
          <cell r="K1552">
            <v>999</v>
          </cell>
          <cell r="L1552" t="str">
            <v>ATT</v>
          </cell>
          <cell r="M1552" t="str">
            <v>New</v>
          </cell>
          <cell r="N1552" t="str">
            <v>151106-9221</v>
          </cell>
        </row>
        <row r="1553">
          <cell r="A1553" t="str">
            <v>Speck</v>
          </cell>
          <cell r="C1553" t="str">
            <v>151118-9221</v>
          </cell>
          <cell r="D1553">
            <v>840168549436</v>
          </cell>
          <cell r="E1553" t="str">
            <v>Speck  Presidio Lux + C-MagSafe/CC  Gold Glitter  iPhone 18 Pro Max</v>
          </cell>
          <cell r="F1553" t="str">
            <v>Cases iPhone</v>
          </cell>
          <cell r="G1553" t="str">
            <v>iPhone 18</v>
          </cell>
          <cell r="H1553" t="str">
            <v>iPhone 18 Pro Max</v>
          </cell>
          <cell r="I1553">
            <v>516.72</v>
          </cell>
          <cell r="J1553">
            <v>0.40000480480480471</v>
          </cell>
          <cell r="K1553">
            <v>999</v>
          </cell>
          <cell r="L1553" t="str">
            <v>ATT</v>
          </cell>
          <cell r="M1553" t="str">
            <v>New</v>
          </cell>
          <cell r="N1553" t="str">
            <v>151118-9221</v>
          </cell>
        </row>
        <row r="1554">
          <cell r="A1554" t="str">
            <v>TECH21</v>
          </cell>
          <cell r="C1554" t="str">
            <v>T21-11640</v>
          </cell>
          <cell r="D1554">
            <v>840459610685</v>
          </cell>
          <cell r="E1554" t="str">
            <v>Tech21  EvoCrystal w/C-MagSafe/CC  Black  iPhone 18 Pro</v>
          </cell>
          <cell r="F1554" t="str">
            <v>Cases iPhone</v>
          </cell>
          <cell r="G1554" t="str">
            <v>iPhone 18</v>
          </cell>
          <cell r="H1554" t="str">
            <v>iPhone 18 Pro</v>
          </cell>
          <cell r="I1554">
            <v>465</v>
          </cell>
          <cell r="J1554">
            <v>0.4</v>
          </cell>
          <cell r="K1554">
            <v>899</v>
          </cell>
          <cell r="L1554" t="str">
            <v>ATT</v>
          </cell>
          <cell r="M1554" t="str">
            <v>New</v>
          </cell>
          <cell r="N1554" t="str">
            <v>T21-11640</v>
          </cell>
        </row>
        <row r="1555">
          <cell r="A1555" t="str">
            <v>TECH21</v>
          </cell>
          <cell r="C1555" t="str">
            <v>T21-11699</v>
          </cell>
          <cell r="D1555">
            <v>840459611279</v>
          </cell>
          <cell r="E1555" t="str">
            <v>Tech21  EvoCrystal w/C-MagSafe/CC  Black  iPhone 18 Pro Max</v>
          </cell>
          <cell r="F1555" t="str">
            <v>Cases iPhone</v>
          </cell>
          <cell r="G1555" t="str">
            <v>iPhone 18</v>
          </cell>
          <cell r="H1555" t="str">
            <v>iPhone 18 Pro Max</v>
          </cell>
          <cell r="I1555">
            <v>465</v>
          </cell>
          <cell r="J1555">
            <v>0.4</v>
          </cell>
          <cell r="K1555">
            <v>899</v>
          </cell>
          <cell r="L1555" t="str">
            <v>ATT</v>
          </cell>
          <cell r="M1555" t="str">
            <v>New</v>
          </cell>
          <cell r="N1555" t="str">
            <v>T21-11699</v>
          </cell>
        </row>
        <row r="1556">
          <cell r="A1556" t="str">
            <v>Speck</v>
          </cell>
          <cell r="C1556" t="str">
            <v>151103-3296</v>
          </cell>
          <cell r="D1556">
            <v>840168548668</v>
          </cell>
          <cell r="E1556" t="str">
            <v>Speck  CandyShell Icon + MagSafe/CC  Black Licorice  iPhone 18 Pro</v>
          </cell>
          <cell r="F1556" t="str">
            <v>Cases iPhone</v>
          </cell>
          <cell r="G1556" t="str">
            <v>iPhone 18</v>
          </cell>
          <cell r="H1556" t="str">
            <v>iPhone 18 Pro</v>
          </cell>
          <cell r="I1556">
            <v>465</v>
          </cell>
          <cell r="J1556">
            <v>0.4</v>
          </cell>
          <cell r="K1556">
            <v>899</v>
          </cell>
          <cell r="L1556" t="str">
            <v>ATT</v>
          </cell>
          <cell r="M1556" t="str">
            <v>New</v>
          </cell>
          <cell r="N1556" t="str">
            <v>151103-3296</v>
          </cell>
        </row>
        <row r="1557">
          <cell r="A1557" t="str">
            <v>Speck</v>
          </cell>
          <cell r="C1557" t="str">
            <v>151115-3296</v>
          </cell>
          <cell r="D1557">
            <v>840168549184</v>
          </cell>
          <cell r="E1557" t="str">
            <v>Speck  CandyShell Icon + MagSafe/CC  Black Licorice  iPhone 18 Pro Max</v>
          </cell>
          <cell r="F1557" t="str">
            <v>Cases iPhone</v>
          </cell>
          <cell r="G1557" t="str">
            <v>iPhone 18</v>
          </cell>
          <cell r="H1557" t="str">
            <v>iPhone 18 Pro Max</v>
          </cell>
          <cell r="I1557">
            <v>516.72</v>
          </cell>
          <cell r="J1557">
            <v>0.40000480480480471</v>
          </cell>
          <cell r="K1557">
            <v>999</v>
          </cell>
          <cell r="L1557" t="str">
            <v>ATT</v>
          </cell>
          <cell r="M1557" t="str">
            <v>New</v>
          </cell>
          <cell r="N1557" t="str">
            <v>151115-3296</v>
          </cell>
        </row>
        <row r="1558">
          <cell r="A1558" t="str">
            <v>Speck</v>
          </cell>
          <cell r="C1558" t="str">
            <v>151103-3303</v>
          </cell>
          <cell r="D1558">
            <v>840168548736</v>
          </cell>
          <cell r="E1558" t="str">
            <v>Speck  CandyShell Icon + MagSafe/CC  Bubblegum Pop  iPhone 18 Pro</v>
          </cell>
          <cell r="F1558" t="str">
            <v>Cases iPhone</v>
          </cell>
          <cell r="G1558" t="str">
            <v>iPhone 18</v>
          </cell>
          <cell r="H1558" t="str">
            <v>iPhone 18 Pro</v>
          </cell>
          <cell r="I1558">
            <v>516.72</v>
          </cell>
          <cell r="J1558">
            <v>0.40000480480480471</v>
          </cell>
          <cell r="K1558">
            <v>999</v>
          </cell>
          <cell r="L1558" t="str">
            <v>ATT</v>
          </cell>
          <cell r="M1558" t="str">
            <v>New</v>
          </cell>
          <cell r="N1558" t="str">
            <v>151103-3303</v>
          </cell>
        </row>
        <row r="1559">
          <cell r="A1559" t="str">
            <v>Speck</v>
          </cell>
          <cell r="C1559" t="str">
            <v>151115-3303</v>
          </cell>
          <cell r="D1559">
            <v>840168549252</v>
          </cell>
          <cell r="E1559" t="str">
            <v>Speck  CandyShell Icon + MagSafe/CC  Bubblegum Pop  iPhone 18 Pro Max</v>
          </cell>
          <cell r="F1559" t="str">
            <v>Cases iPhone</v>
          </cell>
          <cell r="G1559" t="str">
            <v>iPhone 18</v>
          </cell>
          <cell r="H1559" t="str">
            <v>iPhone 18 Pro Max</v>
          </cell>
          <cell r="I1559">
            <v>516.72</v>
          </cell>
          <cell r="J1559">
            <v>0.40000480480480471</v>
          </cell>
          <cell r="K1559">
            <v>999</v>
          </cell>
          <cell r="L1559" t="str">
            <v>ATT</v>
          </cell>
          <cell r="M1559" t="str">
            <v>New</v>
          </cell>
          <cell r="N1559" t="str">
            <v>151115-3303</v>
          </cell>
        </row>
        <row r="1560">
          <cell r="A1560" t="str">
            <v>Speck</v>
          </cell>
          <cell r="C1560" t="str">
            <v>151103-3297</v>
          </cell>
          <cell r="D1560">
            <v>840168548675</v>
          </cell>
          <cell r="E1560" t="str">
            <v>Speck  CandyShell Icon + MagSafe/CC  Vanilla Frost  iPhone 18 Pro</v>
          </cell>
          <cell r="F1560" t="str">
            <v>Cases iPhone</v>
          </cell>
          <cell r="G1560" t="str">
            <v>iPhone 18</v>
          </cell>
          <cell r="H1560" t="str">
            <v>iPhone 18 Pro</v>
          </cell>
          <cell r="I1560">
            <v>516.72</v>
          </cell>
          <cell r="J1560">
            <v>0.40000480480480471</v>
          </cell>
          <cell r="K1560">
            <v>999</v>
          </cell>
          <cell r="L1560" t="str">
            <v>ATT</v>
          </cell>
          <cell r="M1560" t="str">
            <v>New</v>
          </cell>
          <cell r="N1560" t="str">
            <v>151103-3297</v>
          </cell>
        </row>
        <row r="1561">
          <cell r="A1561" t="str">
            <v>Speck</v>
          </cell>
          <cell r="C1561" t="str">
            <v>151115-3297</v>
          </cell>
          <cell r="D1561">
            <v>840168549191</v>
          </cell>
          <cell r="E1561" t="str">
            <v>Speck  CandyShell Icon + MagSafe/CC  Vanilla Frost  iPhone 18 Pro Max</v>
          </cell>
          <cell r="F1561" t="str">
            <v>Cases iPhone</v>
          </cell>
          <cell r="G1561" t="str">
            <v>iPhone 18</v>
          </cell>
          <cell r="H1561" t="str">
            <v>iPhone 18 Pro Max</v>
          </cell>
          <cell r="I1561">
            <v>516.72</v>
          </cell>
          <cell r="J1561">
            <v>0.40000480480480471</v>
          </cell>
          <cell r="K1561">
            <v>999</v>
          </cell>
          <cell r="L1561" t="str">
            <v>ATT</v>
          </cell>
          <cell r="M1561" t="str">
            <v>New</v>
          </cell>
          <cell r="N1561" t="str">
            <v>151115-3297</v>
          </cell>
        </row>
        <row r="1562">
          <cell r="A1562" t="str">
            <v>Speck</v>
          </cell>
          <cell r="C1562" t="str">
            <v>151119-5085</v>
          </cell>
          <cell r="D1562">
            <v>840168549504</v>
          </cell>
          <cell r="E1562" t="str">
            <v>Speck  Presidio Perfect Clear Fold + MagSafe  Clear  iPhone 18 FOLD</v>
          </cell>
          <cell r="F1562" t="str">
            <v>Cases iPhone</v>
          </cell>
          <cell r="G1562" t="str">
            <v>iPhone 18</v>
          </cell>
          <cell r="H1562" t="str">
            <v>iPhone 18 FOLD</v>
          </cell>
          <cell r="I1562">
            <v>516.72</v>
          </cell>
          <cell r="J1562">
            <v>0.40000480480480471</v>
          </cell>
          <cell r="K1562">
            <v>999</v>
          </cell>
          <cell r="L1562" t="str">
            <v>ATT</v>
          </cell>
          <cell r="M1562" t="str">
            <v>New</v>
          </cell>
          <cell r="N1562" t="str">
            <v>151119-5085</v>
          </cell>
        </row>
        <row r="1563">
          <cell r="A1563" t="str">
            <v>Speck</v>
          </cell>
          <cell r="C1563" t="str">
            <v>151104-9984</v>
          </cell>
          <cell r="D1563">
            <v>840168548743</v>
          </cell>
          <cell r="E1563" t="str">
            <v>Speck  Presidio Lux Grip + C-MagSafe/CC  Obsidian  iPhone 18 Pro</v>
          </cell>
          <cell r="F1563" t="str">
            <v>Cases iPhone</v>
          </cell>
          <cell r="G1563" t="str">
            <v>iPhone 18</v>
          </cell>
          <cell r="H1563" t="str">
            <v>iPhone 18 Pro</v>
          </cell>
          <cell r="I1563">
            <v>516.72</v>
          </cell>
          <cell r="J1563">
            <v>0.40000480480480471</v>
          </cell>
          <cell r="K1563">
            <v>999</v>
          </cell>
          <cell r="L1563" t="str">
            <v>ATT</v>
          </cell>
          <cell r="M1563" t="str">
            <v>New</v>
          </cell>
          <cell r="N1563" t="str">
            <v>151104-9984</v>
          </cell>
        </row>
        <row r="1564">
          <cell r="A1564" t="str">
            <v>Speck</v>
          </cell>
          <cell r="C1564" t="str">
            <v>151116-9984</v>
          </cell>
          <cell r="D1564">
            <v>840168549269</v>
          </cell>
          <cell r="E1564" t="str">
            <v>Speck  Presidio Lux Grip + C-MagSafe/CC  Obsidian  iPhone 18 Pro Max</v>
          </cell>
          <cell r="F1564" t="str">
            <v>Cases iPhone</v>
          </cell>
          <cell r="G1564" t="str">
            <v>iPhone 18</v>
          </cell>
          <cell r="H1564" t="str">
            <v>iPhone 18 Pro Max</v>
          </cell>
          <cell r="I1564">
            <v>516.72</v>
          </cell>
          <cell r="J1564">
            <v>0.40000480480480471</v>
          </cell>
          <cell r="K1564">
            <v>999</v>
          </cell>
          <cell r="L1564" t="str">
            <v>ATT</v>
          </cell>
          <cell r="M1564" t="str">
            <v>New</v>
          </cell>
          <cell r="N1564" t="str">
            <v>151116-9984</v>
          </cell>
        </row>
        <row r="1565">
          <cell r="A1565" t="str">
            <v>Speck</v>
          </cell>
          <cell r="C1565" t="str">
            <v>151104-3288</v>
          </cell>
          <cell r="D1565">
            <v>840168548774</v>
          </cell>
          <cell r="E1565" t="str">
            <v>Speck  Presidio Lux Grip + C-MagSafe/CC  Sable  iPhone 18 Pro</v>
          </cell>
          <cell r="F1565" t="str">
            <v>Cases iPhone</v>
          </cell>
          <cell r="G1565" t="str">
            <v>iPhone 18</v>
          </cell>
          <cell r="H1565" t="str">
            <v>iPhone 18 Pro</v>
          </cell>
          <cell r="I1565">
            <v>516.72</v>
          </cell>
          <cell r="J1565">
            <v>0.40000480480480471</v>
          </cell>
          <cell r="K1565">
            <v>999</v>
          </cell>
          <cell r="L1565" t="str">
            <v>ATT</v>
          </cell>
          <cell r="M1565" t="str">
            <v>New</v>
          </cell>
          <cell r="N1565" t="str">
            <v>151104-3288</v>
          </cell>
        </row>
        <row r="1566">
          <cell r="A1566" t="str">
            <v>Speck</v>
          </cell>
          <cell r="C1566" t="str">
            <v>151116-3288</v>
          </cell>
          <cell r="D1566">
            <v>840168549290</v>
          </cell>
          <cell r="E1566" t="str">
            <v>Speck  Presidio Lux Grip + C-MagSafe/CC  Sable  iPhone 18 Pro Max</v>
          </cell>
          <cell r="F1566" t="str">
            <v>Cases iPhone</v>
          </cell>
          <cell r="G1566" t="str">
            <v>iPhone 18</v>
          </cell>
          <cell r="H1566" t="str">
            <v>iPhone 18 Pro Max</v>
          </cell>
          <cell r="I1566">
            <v>516.72</v>
          </cell>
          <cell r="J1566">
            <v>0.40000480480480471</v>
          </cell>
          <cell r="K1566">
            <v>999</v>
          </cell>
          <cell r="L1566" t="str">
            <v>ATT</v>
          </cell>
          <cell r="M1566" t="str">
            <v>New</v>
          </cell>
          <cell r="N1566" t="str">
            <v>151116-3288</v>
          </cell>
        </row>
        <row r="1567">
          <cell r="A1567" t="str">
            <v>TECH21</v>
          </cell>
          <cell r="C1567" t="str">
            <v>T21-11730</v>
          </cell>
          <cell r="D1567">
            <v>840459611583</v>
          </cell>
          <cell r="E1567" t="str">
            <v>Tech21  EvoClear w/MagSafe  Clear  iPhone 18 FOLD</v>
          </cell>
          <cell r="F1567" t="str">
            <v>Cases iPhone</v>
          </cell>
          <cell r="G1567" t="str">
            <v>iPhone 18</v>
          </cell>
          <cell r="H1567" t="str">
            <v>iPhone 18 FOLD</v>
          </cell>
          <cell r="I1567">
            <v>465</v>
          </cell>
          <cell r="J1567">
            <v>0.4</v>
          </cell>
          <cell r="K1567">
            <v>899</v>
          </cell>
          <cell r="L1567" t="str">
            <v>ATT</v>
          </cell>
          <cell r="M1567" t="str">
            <v>New</v>
          </cell>
          <cell r="N1567" t="str">
            <v>T21-11730</v>
          </cell>
        </row>
        <row r="1568">
          <cell r="A1568" t="str">
            <v>TECH21</v>
          </cell>
          <cell r="C1568" t="str">
            <v>T21-11653</v>
          </cell>
          <cell r="D1568">
            <v>840459610814</v>
          </cell>
          <cell r="E1568" t="str">
            <v>Tech21  EvoCrystal Satin Mirror w/C-MagSafe/CC  Cherry  iPhone 18 Pro</v>
          </cell>
          <cell r="F1568" t="str">
            <v>Cases iPhone</v>
          </cell>
          <cell r="G1568" t="str">
            <v>iPhone 18</v>
          </cell>
          <cell r="H1568" t="str">
            <v>iPhone 18 Pro</v>
          </cell>
          <cell r="I1568">
            <v>465</v>
          </cell>
          <cell r="J1568">
            <v>0.4</v>
          </cell>
          <cell r="K1568">
            <v>899</v>
          </cell>
          <cell r="L1568" t="str">
            <v>ATT</v>
          </cell>
          <cell r="M1568" t="str">
            <v>New</v>
          </cell>
          <cell r="N1568" t="str">
            <v>T21-11653</v>
          </cell>
        </row>
        <row r="1569">
          <cell r="A1569" t="str">
            <v>TECH21</v>
          </cell>
          <cell r="C1569" t="str">
            <v>T21-11712</v>
          </cell>
          <cell r="D1569">
            <v>840459611408</v>
          </cell>
          <cell r="E1569" t="str">
            <v>Tech21  EvoCrystal Satin Mirror w/C-MagSafe/CC  Cherry  iPhone 18 Pro Max</v>
          </cell>
          <cell r="F1569" t="str">
            <v>Cases iPhone</v>
          </cell>
          <cell r="G1569" t="str">
            <v>iPhone 18</v>
          </cell>
          <cell r="H1569" t="str">
            <v>iPhone 18 Pro Max</v>
          </cell>
          <cell r="I1569">
            <v>465</v>
          </cell>
          <cell r="J1569">
            <v>0.4</v>
          </cell>
          <cell r="K1569">
            <v>899</v>
          </cell>
          <cell r="L1569" t="str">
            <v>ATT</v>
          </cell>
          <cell r="M1569" t="str">
            <v>New</v>
          </cell>
          <cell r="N1569" t="str">
            <v>T21-11712</v>
          </cell>
        </row>
        <row r="1570">
          <cell r="A1570" t="str">
            <v>TECH21</v>
          </cell>
          <cell r="C1570" t="str">
            <v>T21-11641</v>
          </cell>
          <cell r="D1570">
            <v>840459610692</v>
          </cell>
          <cell r="E1570" t="str">
            <v>Tech21  EvoCrystal w/C-MagSafe/CC  Gold  iPhone 18 Pro</v>
          </cell>
          <cell r="F1570" t="str">
            <v>Cases iPhone</v>
          </cell>
          <cell r="G1570" t="str">
            <v>iPhone 18</v>
          </cell>
          <cell r="H1570" t="str">
            <v>iPhone 18 Pro</v>
          </cell>
          <cell r="I1570">
            <v>465</v>
          </cell>
          <cell r="J1570">
            <v>0.4</v>
          </cell>
          <cell r="K1570">
            <v>899</v>
          </cell>
          <cell r="L1570" t="str">
            <v>ATT</v>
          </cell>
          <cell r="M1570" t="str">
            <v>New</v>
          </cell>
          <cell r="N1570" t="str">
            <v>T21-11641</v>
          </cell>
        </row>
        <row r="1571">
          <cell r="A1571" t="str">
            <v>TECH21</v>
          </cell>
          <cell r="C1571" t="str">
            <v>T21-11700</v>
          </cell>
          <cell r="D1571">
            <v>840459611286</v>
          </cell>
          <cell r="E1571" t="str">
            <v>Tech21  EvoCrystal w/C-MagSafe/CC  Gold  iPhone 18 Pro Max</v>
          </cell>
          <cell r="F1571" t="str">
            <v>Cases iPhone</v>
          </cell>
          <cell r="G1571" t="str">
            <v>iPhone 18</v>
          </cell>
          <cell r="H1571" t="str">
            <v>iPhone 18 Pro Max</v>
          </cell>
          <cell r="I1571">
            <v>465</v>
          </cell>
          <cell r="J1571">
            <v>0.4</v>
          </cell>
          <cell r="K1571">
            <v>899</v>
          </cell>
          <cell r="L1571" t="str">
            <v>ATT</v>
          </cell>
          <cell r="M1571" t="str">
            <v>New</v>
          </cell>
          <cell r="N1571" t="str">
            <v>T21-11700</v>
          </cell>
        </row>
        <row r="1572">
          <cell r="A1572" t="str">
            <v>TECH21</v>
          </cell>
          <cell r="C1572" t="str">
            <v>T21-11628</v>
          </cell>
          <cell r="D1572">
            <v>840459610562</v>
          </cell>
          <cell r="E1572" t="str">
            <v>Tech21  EvoPulse Satin Mirror w/MagSafe/CC  Deep Sea  iPhone 18 Pro</v>
          </cell>
          <cell r="F1572" t="str">
            <v>Cases iPhone</v>
          </cell>
          <cell r="G1572" t="str">
            <v>iPhone 18</v>
          </cell>
          <cell r="H1572" t="str">
            <v>iPhone 18 Pro</v>
          </cell>
          <cell r="I1572">
            <v>465</v>
          </cell>
          <cell r="J1572">
            <v>0.4</v>
          </cell>
          <cell r="K1572">
            <v>899</v>
          </cell>
          <cell r="L1572" t="str">
            <v>ATT</v>
          </cell>
          <cell r="M1572" t="str">
            <v>New</v>
          </cell>
          <cell r="N1572" t="str">
            <v>T21-11628</v>
          </cell>
        </row>
        <row r="1573">
          <cell r="A1573" t="str">
            <v>TECH21</v>
          </cell>
          <cell r="C1573" t="str">
            <v>T21-11687</v>
          </cell>
          <cell r="D1573">
            <v>840459611156</v>
          </cell>
          <cell r="E1573" t="str">
            <v>Tech21  EvoPulse Satin Mirror w/MagSafe/CC  Deep Sea  iPhone 18 Pro Max</v>
          </cell>
          <cell r="F1573" t="str">
            <v>Cases iPhone</v>
          </cell>
          <cell r="G1573" t="str">
            <v>iPhone 18</v>
          </cell>
          <cell r="H1573" t="str">
            <v>iPhone 18 Pro Max</v>
          </cell>
          <cell r="I1573">
            <v>465</v>
          </cell>
          <cell r="J1573">
            <v>0.4</v>
          </cell>
          <cell r="K1573">
            <v>899</v>
          </cell>
          <cell r="L1573" t="str">
            <v>ATT</v>
          </cell>
          <cell r="M1573" t="str">
            <v>New</v>
          </cell>
          <cell r="N1573" t="str">
            <v>T21-11687</v>
          </cell>
        </row>
        <row r="1574">
          <cell r="A1574" t="str">
            <v>Uniq</v>
          </cell>
          <cell r="B1574" t="str">
            <v>FUNUNQ144</v>
          </cell>
          <cell r="C1574" t="str">
            <v>UNIQ-AIRPODS(2024)-GLSPGSMK</v>
          </cell>
          <cell r="D1574">
            <v>8886463693674</v>
          </cell>
          <cell r="E1574" t="str">
            <v xml:space="preserve">UNIQ GLASE PRO AIRPODS 4TH GEN LOCK CASE - GLOSSY SMOKE (GLOSSY SMOKE) </v>
          </cell>
          <cell r="F1574" t="str">
            <v>Cases Airpods</v>
          </cell>
          <cell r="G1574" t="str">
            <v>Airpods</v>
          </cell>
          <cell r="H1574" t="str">
            <v>Airpods 4th</v>
          </cell>
          <cell r="I1574">
            <v>184.02155172413794</v>
          </cell>
          <cell r="J1574">
            <v>0.46499999999999997</v>
          </cell>
          <cell r="K1574">
            <v>399</v>
          </cell>
          <cell r="L1574" t="str">
            <v>MacStore</v>
          </cell>
          <cell r="M1574" t="str">
            <v>New</v>
          </cell>
          <cell r="N1574" t="str">
            <v>UNIQ-AIRPODS(2024)-GLSPGSMK</v>
          </cell>
        </row>
        <row r="1575">
          <cell r="A1575" t="str">
            <v>Uniq</v>
          </cell>
          <cell r="B1575" t="str">
            <v>FUNUNQ145</v>
          </cell>
          <cell r="C1575" t="str">
            <v>UNIQ-AIRPODS(2024)-GLSPGCLR</v>
          </cell>
          <cell r="D1575">
            <v>8886463693667</v>
          </cell>
          <cell r="E1575" t="str">
            <v>UNIQ GLASE PRO AIRPODS 4TH GEN LOCK CASE - GLOSSY CLEAR (GLOSSY CLEAR)</v>
          </cell>
          <cell r="F1575" t="str">
            <v>Cases Airpods</v>
          </cell>
          <cell r="G1575" t="str">
            <v>Airpods</v>
          </cell>
          <cell r="H1575" t="str">
            <v>Airpods 4th</v>
          </cell>
          <cell r="I1575">
            <v>184.02155172413794</v>
          </cell>
          <cell r="J1575">
            <v>0.46499999999999997</v>
          </cell>
          <cell r="K1575">
            <v>399</v>
          </cell>
          <cell r="L1575" t="str">
            <v>MacStore</v>
          </cell>
          <cell r="M1575" t="str">
            <v>New</v>
          </cell>
          <cell r="N1575" t="str">
            <v>UNIQ-AIRPODS(2024)-GLSPGCLR</v>
          </cell>
        </row>
        <row r="1576">
          <cell r="A1576" t="str">
            <v>Uniq</v>
          </cell>
          <cell r="B1576" t="str">
            <v>FUNUNQ146</v>
          </cell>
          <cell r="C1576" t="str">
            <v>UNIQ-AIRPODS(2024)-GLSPCBLU</v>
          </cell>
          <cell r="D1576">
            <v>8886463693681</v>
          </cell>
          <cell r="E1576" t="str">
            <v xml:space="preserve">UNIQ GLASE PRO AIRPODS 4TH GEN LOCK CASE - CLOUDY BLUE (CLOUDY BLUE) </v>
          </cell>
          <cell r="F1576" t="str">
            <v>Cases Airpods</v>
          </cell>
          <cell r="G1576" t="str">
            <v>Airpods</v>
          </cell>
          <cell r="H1576" t="str">
            <v>Airpods 4th</v>
          </cell>
          <cell r="I1576">
            <v>184.02155172413794</v>
          </cell>
          <cell r="J1576">
            <v>0.46499999999999997</v>
          </cell>
          <cell r="K1576">
            <v>399</v>
          </cell>
          <cell r="L1576" t="str">
            <v>MacStore</v>
          </cell>
          <cell r="M1576" t="str">
            <v>New</v>
          </cell>
          <cell r="N1576" t="str">
            <v>UNIQ-AIRPODS(2024)-GLSPCBLU</v>
          </cell>
        </row>
        <row r="1577">
          <cell r="A1577" t="str">
            <v>Uniq</v>
          </cell>
          <cell r="B1577" t="str">
            <v>FUNUNQ147</v>
          </cell>
          <cell r="C1577" t="str">
            <v>UNIQ-AIRPODS(2024)-GLSPCPNK</v>
          </cell>
          <cell r="D1577">
            <v>8886463693698</v>
          </cell>
          <cell r="E1577" t="str">
            <v xml:space="preserve">UNIQ GLASE PRO AIRPODS 4TH GEN LOCK CASE - CANDY PINK (CANDY PINK) </v>
          </cell>
          <cell r="F1577" t="str">
            <v>Cases Airpods</v>
          </cell>
          <cell r="G1577" t="str">
            <v>Airpods</v>
          </cell>
          <cell r="H1577" t="str">
            <v>Airpods 4th</v>
          </cell>
          <cell r="I1577">
            <v>184.02155172413794</v>
          </cell>
          <cell r="J1577">
            <v>0.46499999999999997</v>
          </cell>
          <cell r="K1577">
            <v>399</v>
          </cell>
          <cell r="L1577" t="str">
            <v>MacStore</v>
          </cell>
          <cell r="M1577" t="str">
            <v>New</v>
          </cell>
          <cell r="N1577" t="str">
            <v>UNIQ-AIRPODS(2024)-GLSPCPNK</v>
          </cell>
        </row>
        <row r="1578">
          <cell r="A1578" t="str">
            <v>Uniq</v>
          </cell>
          <cell r="B1578" t="str">
            <v>FUNUNQ148</v>
          </cell>
          <cell r="C1578" t="str">
            <v>UNIQ-AIRPODS(2024)-GLSPLLIM</v>
          </cell>
          <cell r="D1578">
            <v>8886463693704</v>
          </cell>
          <cell r="E1578" t="str">
            <v xml:space="preserve">UNIQ GLASE PRO AIRPODS 4TH GEN LOCK CASE - LIGHT LIME (LIGHT LIME) </v>
          </cell>
          <cell r="F1578" t="str">
            <v>Cases Airpods</v>
          </cell>
          <cell r="G1578" t="str">
            <v>Airpods</v>
          </cell>
          <cell r="H1578" t="str">
            <v>Airpods 4th</v>
          </cell>
          <cell r="I1578">
            <v>184.02155172413794</v>
          </cell>
          <cell r="J1578">
            <v>0.46499999999999997</v>
          </cell>
          <cell r="K1578">
            <v>399</v>
          </cell>
          <cell r="L1578" t="str">
            <v>MacStore</v>
          </cell>
          <cell r="M1578" t="str">
            <v>New</v>
          </cell>
          <cell r="N1578" t="str">
            <v>UNIQ-AIRPODS(2024)-GLSPLLIM</v>
          </cell>
        </row>
        <row r="1579">
          <cell r="A1579" t="str">
            <v>Speck</v>
          </cell>
          <cell r="C1579" t="str">
            <v>151089-1212</v>
          </cell>
          <cell r="D1579" t="str">
            <v>840168548378</v>
          </cell>
          <cell r="E1579" t="str">
            <v>Speck SmartShell for Apple MacBook Neo - Clear</v>
          </cell>
          <cell r="F1579" t="str">
            <v>Cases Macbook</v>
          </cell>
          <cell r="G1579" t="str">
            <v>MacBook</v>
          </cell>
          <cell r="H1579" t="str">
            <v>MacBook Neo</v>
          </cell>
          <cell r="I1579">
            <v>503.81</v>
          </cell>
          <cell r="J1579">
            <v>0.41499539539539543</v>
          </cell>
          <cell r="K1579">
            <v>999</v>
          </cell>
          <cell r="L1579" t="str">
            <v>MacStore</v>
          </cell>
          <cell r="M1579" t="str">
            <v>New</v>
          </cell>
          <cell r="N1579" t="str">
            <v>151089-1212</v>
          </cell>
        </row>
        <row r="1580">
          <cell r="A1580" t="str">
            <v>Speck</v>
          </cell>
          <cell r="C1580" t="str">
            <v>151089-1212</v>
          </cell>
          <cell r="D1580" t="str">
            <v>840168548378</v>
          </cell>
          <cell r="E1580" t="str">
            <v>Speck SmartShell for Apple MacBook Neo - Clear</v>
          </cell>
          <cell r="F1580" t="str">
            <v>Cases Macbook</v>
          </cell>
          <cell r="G1580" t="str">
            <v>MacBook</v>
          </cell>
          <cell r="H1580" t="str">
            <v>MacBook Neo</v>
          </cell>
          <cell r="I1580">
            <v>430.6</v>
          </cell>
          <cell r="J1580">
            <v>0.50000400400400402</v>
          </cell>
          <cell r="K1580">
            <v>999</v>
          </cell>
          <cell r="L1580" t="str">
            <v>iShop</v>
          </cell>
          <cell r="M1580" t="str">
            <v>New</v>
          </cell>
          <cell r="N1580" t="str">
            <v>151089-1212</v>
          </cell>
        </row>
        <row r="1581">
          <cell r="A1581" t="str">
            <v>Speck</v>
          </cell>
          <cell r="B1581">
            <v>840168546701</v>
          </cell>
          <cell r="C1581" t="str">
            <v>150991-3263</v>
          </cell>
          <cell r="D1581" t="str">
            <v>840168546701</v>
          </cell>
          <cell r="E1581" t="str">
            <v>Speck Balance Folio for iPad Air 11" (2026-MA-8th gen) - PICCARD'S BLUE/FROST BEIGE/FADED TEAL</v>
          </cell>
          <cell r="F1581" t="str">
            <v>Cases iPad</v>
          </cell>
          <cell r="G1581" t="str">
            <v>iPad</v>
          </cell>
          <cell r="H1581" t="str">
            <v>iPad Air M4-M2 / iPad Air 5th/4th</v>
          </cell>
          <cell r="I1581">
            <v>430.6</v>
          </cell>
          <cell r="J1581">
            <v>0.50000400400400402</v>
          </cell>
          <cell r="K1581">
            <v>999</v>
          </cell>
          <cell r="L1581" t="str">
            <v>iShop</v>
          </cell>
          <cell r="M1581" t="str">
            <v>Active</v>
          </cell>
          <cell r="N1581" t="str">
            <v>150991-3263</v>
          </cell>
        </row>
        <row r="1582">
          <cell r="A1582" t="str">
            <v>Uniq</v>
          </cell>
          <cell r="B1582" t="str">
            <v>FUNUNQ159</v>
          </cell>
          <cell r="C1582" t="str">
            <v>UNIQ-42MM-VOURGLD</v>
          </cell>
          <cell r="D1582" t="str">
            <v>8886463691915</v>
          </cell>
          <cell r="E1582" t="str">
            <v>UNIQ VOUTE WATCH CASE WITH TEMPERED GLASS SCREEN 42MM - ROSE GOLD (ROSE GOLD)</v>
          </cell>
          <cell r="F1582" t="str">
            <v>Straps</v>
          </cell>
          <cell r="G1582" t="str">
            <v>Straps</v>
          </cell>
          <cell r="H1582" t="str">
            <v>42mm</v>
          </cell>
          <cell r="I1582">
            <v>207.08189655172413</v>
          </cell>
          <cell r="J1582">
            <v>0.46500000000000002</v>
          </cell>
          <cell r="K1582">
            <v>449</v>
          </cell>
          <cell r="L1582" t="str">
            <v>MacStore</v>
          </cell>
          <cell r="M1582" t="str">
            <v>New</v>
          </cell>
          <cell r="N1582" t="str">
            <v>UNIQ-42MM-VOURGLD</v>
          </cell>
        </row>
        <row r="1583">
          <cell r="A1583" t="str">
            <v>Uniq</v>
          </cell>
          <cell r="B1583" t="str">
            <v>FUNUNQ160</v>
          </cell>
          <cell r="C1583" t="str">
            <v>UNIQ-46MM-GARSMK</v>
          </cell>
          <cell r="D1583">
            <v>8886463691601</v>
          </cell>
          <cell r="E1583" t="str">
            <v>UNIQ GARDE HYBRID WATCH CASE WITH SCREEN PROTECTION 46MM -  SMOKE (SMOKE)</v>
          </cell>
          <cell r="F1583" t="str">
            <v>Cases Apple Watch</v>
          </cell>
          <cell r="G1583" t="str">
            <v>Cases Apple Watch</v>
          </cell>
          <cell r="H1583" t="str">
            <v>46mm</v>
          </cell>
          <cell r="I1583">
            <v>160.96120689655172</v>
          </cell>
          <cell r="J1583">
            <v>0.46500000000000002</v>
          </cell>
          <cell r="K1583">
            <v>349</v>
          </cell>
          <cell r="L1583" t="str">
            <v>MacStore</v>
          </cell>
          <cell r="M1583" t="str">
            <v>New</v>
          </cell>
          <cell r="N1583" t="str">
            <v>UNIQ-46MM-GARSMK</v>
          </cell>
        </row>
        <row r="1584">
          <cell r="A1584" t="str">
            <v>Uniq</v>
          </cell>
          <cell r="B1584" t="str">
            <v>FUNUNQ161</v>
          </cell>
          <cell r="C1584" t="str">
            <v>UNIQ-46MM-GARCLR</v>
          </cell>
          <cell r="D1584">
            <v>8886463691595</v>
          </cell>
          <cell r="E1584" t="str">
            <v>UNIQ GARDE HYBRID WATCH CASE WITH SCREEN PROTECTION 46MM -  CLEAR (CLEAR)</v>
          </cell>
          <cell r="F1584" t="str">
            <v>Cases Apple Watch</v>
          </cell>
          <cell r="G1584" t="str">
            <v>Cases Apple Watch</v>
          </cell>
          <cell r="H1584" t="str">
            <v>46mm</v>
          </cell>
          <cell r="I1584">
            <v>160.96120689655172</v>
          </cell>
          <cell r="J1584">
            <v>0.46500000000000002</v>
          </cell>
          <cell r="K1584">
            <v>349</v>
          </cell>
          <cell r="L1584" t="str">
            <v>MacStore</v>
          </cell>
          <cell r="M1584" t="str">
            <v>New</v>
          </cell>
          <cell r="N1584" t="str">
            <v>UNIQ-46MM-GARCLR</v>
          </cell>
        </row>
        <row r="1585">
          <cell r="A1585" t="str">
            <v>Speck</v>
          </cell>
          <cell r="B1585" t="str">
            <v>840168538355</v>
          </cell>
          <cell r="C1585">
            <v>840168538355</v>
          </cell>
          <cell r="D1585" t="str">
            <v>840168538355</v>
          </cell>
          <cell r="E1585" t="str">
            <v>Speck Tempered Glass iPhone15 Pro Max</v>
          </cell>
          <cell r="F1585" t="str">
            <v>Micas</v>
          </cell>
          <cell r="G1585" t="str">
            <v>iPhone 15</v>
          </cell>
          <cell r="H1585" t="str">
            <v>iPhone 15 Pro Max</v>
          </cell>
          <cell r="I1585">
            <v>439.88793103448279</v>
          </cell>
          <cell r="J1585">
            <v>0.27</v>
          </cell>
          <cell r="K1585">
            <v>699</v>
          </cell>
          <cell r="L1585" t="str">
            <v>Mercado Libre</v>
          </cell>
          <cell r="M1585" t="str">
            <v>Active2</v>
          </cell>
        </row>
        <row r="1586">
          <cell r="A1586" t="str">
            <v>Skinarma</v>
          </cell>
          <cell r="C1586" t="str">
            <v>SK-2026IPP6.3-SDOMS-CLR</v>
          </cell>
          <cell r="D1586" t="str">
            <v>8886461250749</v>
          </cell>
          <cell r="E1586" t="str">
            <v>Skinarma Iphone 18 Pro 6.3" (2026) Clear
Saido Mag-Charge</v>
          </cell>
          <cell r="F1586" t="str">
            <v>Cases iPhone</v>
          </cell>
          <cell r="G1586" t="str">
            <v>iPhone 18</v>
          </cell>
          <cell r="H1586" t="str">
            <v>iPhone 18 Pro</v>
          </cell>
          <cell r="I1586">
            <v>402.94396551724139</v>
          </cell>
          <cell r="J1586">
            <v>0.41499999999999998</v>
          </cell>
          <cell r="K1586">
            <v>799</v>
          </cell>
          <cell r="L1586" t="str">
            <v>MacStore</v>
          </cell>
          <cell r="M1586" t="str">
            <v>New</v>
          </cell>
          <cell r="N1586" t="str">
            <v>SK-2026IPP6.3-SDOMS-CLR</v>
          </cell>
        </row>
        <row r="1587">
          <cell r="A1587" t="str">
            <v>Skinarma</v>
          </cell>
          <cell r="C1587" t="str">
            <v>SK-2026IPP6.9-SDOMS-CLR</v>
          </cell>
          <cell r="D1587" t="str">
            <v>8886461250763</v>
          </cell>
          <cell r="E1587" t="str">
            <v>Skinarma Iphone 18 Pro Max 6.9" (2026) Clear
Saido Mag-Charge</v>
          </cell>
          <cell r="F1587" t="str">
            <v>Cases iPhone</v>
          </cell>
          <cell r="G1587" t="str">
            <v>iPhone 18</v>
          </cell>
          <cell r="H1587" t="str">
            <v>iPhone 18 Pro Max</v>
          </cell>
          <cell r="I1587">
            <v>402.94396551724139</v>
          </cell>
          <cell r="J1587">
            <v>0.41499999999999998</v>
          </cell>
          <cell r="K1587">
            <v>799</v>
          </cell>
          <cell r="L1587" t="str">
            <v>MacStore</v>
          </cell>
          <cell r="M1587" t="str">
            <v>New</v>
          </cell>
          <cell r="N1587" t="str">
            <v>SK-2026IPP6.9-SDOMS-CLR</v>
          </cell>
        </row>
        <row r="1588">
          <cell r="A1588" t="str">
            <v>Skinarma</v>
          </cell>
          <cell r="C1588" t="str">
            <v>SK-2026IPP6.3-MGMA-GRA</v>
          </cell>
          <cell r="D1588" t="str">
            <v>8886461250787</v>
          </cell>
          <cell r="E1588" t="str">
            <v>Skinarma Iphone 18 Pro 6.3" (2026) Graphite
Magma</v>
          </cell>
          <cell r="F1588" t="str">
            <v>Cases iPhone</v>
          </cell>
          <cell r="G1588" t="str">
            <v>iPhone 18</v>
          </cell>
          <cell r="H1588" t="str">
            <v>iPhone 18 Pro</v>
          </cell>
          <cell r="I1588">
            <v>402.94396551724139</v>
          </cell>
          <cell r="J1588">
            <v>0.41499999999999998</v>
          </cell>
          <cell r="K1588">
            <v>799</v>
          </cell>
          <cell r="L1588" t="str">
            <v>MacStore</v>
          </cell>
          <cell r="M1588" t="str">
            <v>New</v>
          </cell>
          <cell r="N1588" t="str">
            <v>SK-2026IPP6.3-MGMA-GRA</v>
          </cell>
        </row>
        <row r="1589">
          <cell r="A1589" t="str">
            <v>Skinarma</v>
          </cell>
          <cell r="C1589" t="str">
            <v>SK-2026IPP6.9-MGMA-GRA</v>
          </cell>
          <cell r="D1589" t="str">
            <v>8886461250817</v>
          </cell>
          <cell r="E1589" t="str">
            <v>Skinarma Iphone 18 Pro Max 6.9" (2026) Graphite
Magma</v>
          </cell>
          <cell r="F1589" t="str">
            <v>Cases iPhone</v>
          </cell>
          <cell r="G1589" t="str">
            <v>iPhone 18</v>
          </cell>
          <cell r="H1589" t="str">
            <v>iPhone 18 Pro Max</v>
          </cell>
          <cell r="I1589">
            <v>402.94396551724139</v>
          </cell>
          <cell r="J1589">
            <v>0.41499999999999998</v>
          </cell>
          <cell r="K1589">
            <v>799</v>
          </cell>
          <cell r="L1589" t="str">
            <v>MacStore</v>
          </cell>
          <cell r="M1589" t="str">
            <v>New</v>
          </cell>
          <cell r="N1589" t="str">
            <v>SK-2026IPP6.9-MGMA-GRA</v>
          </cell>
        </row>
        <row r="1590">
          <cell r="A1590" t="str">
            <v>Nomad</v>
          </cell>
          <cell r="B1590" t="str">
            <v>NM014278858</v>
          </cell>
          <cell r="C1590" t="str">
            <v>NM014278858</v>
          </cell>
          <cell r="D1590" t="str">
            <v>856504014278</v>
          </cell>
          <cell r="E1590" t="str">
            <v>Nomad Modern Leather Case - iPhone 17 Pro Max | Brown | Nomad Leather</v>
          </cell>
          <cell r="F1590" t="str">
            <v>Cases iPhone</v>
          </cell>
          <cell r="G1590" t="str">
            <v>iPhone 17</v>
          </cell>
          <cell r="H1590" t="str">
            <v>iPhone 17 Pro Max</v>
          </cell>
          <cell r="I1590">
            <v>663.18965517241384</v>
          </cell>
          <cell r="J1590">
            <v>0.3</v>
          </cell>
          <cell r="K1590">
            <v>1099</v>
          </cell>
          <cell r="L1590" t="str">
            <v>Mercado Libre</v>
          </cell>
          <cell r="M1590" t="str">
            <v>Active2</v>
          </cell>
        </row>
        <row r="1591">
          <cell r="A1591" t="str">
            <v>Speck</v>
          </cell>
          <cell r="B1591" t="str">
            <v>150701-3249</v>
          </cell>
          <cell r="C1591" t="str">
            <v>150701-3249</v>
          </cell>
          <cell r="D1591" t="str">
            <v>840168540808</v>
          </cell>
          <cell r="E1591" t="str">
            <v>Speck iPhone 16 Pro Presidio2 Grip +Cl True Pink/Shocking Pink/White</v>
          </cell>
          <cell r="F1591" t="str">
            <v>Cases iPhone</v>
          </cell>
          <cell r="G1591" t="str">
            <v>iPhone 16</v>
          </cell>
          <cell r="H1591" t="str">
            <v>iPhone 16 Pro / iPhone 17</v>
          </cell>
          <cell r="I1591">
            <v>602.84482758620686</v>
          </cell>
          <cell r="J1591">
            <v>0.3</v>
          </cell>
          <cell r="K1591">
            <v>999</v>
          </cell>
          <cell r="L1591" t="str">
            <v>Mercado Libre</v>
          </cell>
          <cell r="M1591" t="str">
            <v>Active2</v>
          </cell>
        </row>
        <row r="1592">
          <cell r="A1592" t="str">
            <v>Speck</v>
          </cell>
          <cell r="B1592" t="str">
            <v>150226-D143</v>
          </cell>
          <cell r="C1592" t="str">
            <v>150226-D143</v>
          </cell>
          <cell r="D1592" t="str">
            <v>840168528165</v>
          </cell>
          <cell r="E1592" t="str">
            <v>Speck Balance Folio Case for iPad 10th Gen - Black/Black/White</v>
          </cell>
          <cell r="F1592" t="str">
            <v>Cases iPad</v>
          </cell>
          <cell r="G1592" t="str">
            <v>iPad</v>
          </cell>
          <cell r="H1592" t="str">
            <v>iPad 10th /11th - 10.9"/11" (2022-2025)</v>
          </cell>
          <cell r="I1592">
            <v>602.84482758620686</v>
          </cell>
          <cell r="J1592">
            <v>0.3</v>
          </cell>
          <cell r="K1592">
            <v>999</v>
          </cell>
          <cell r="L1592" t="str">
            <v>Mercado Libre</v>
          </cell>
          <cell r="M1592" t="str">
            <v>Active2</v>
          </cell>
        </row>
        <row r="1593">
          <cell r="A1593" t="str">
            <v>Speck</v>
          </cell>
          <cell r="B1593" t="str">
            <v>150695-3205</v>
          </cell>
          <cell r="C1593" t="str">
            <v>150695-3205</v>
          </cell>
          <cell r="D1593" t="str">
            <v>840168544493</v>
          </cell>
          <cell r="E1593" t="str">
            <v>Speck iPhone 16 CandyShell Grip + MS Black Slate</v>
          </cell>
          <cell r="F1593" t="str">
            <v>Cases iPhone</v>
          </cell>
          <cell r="G1593" t="str">
            <v>iPhone 16</v>
          </cell>
          <cell r="H1593" t="str">
            <v>iPhone 16</v>
          </cell>
          <cell r="I1593">
            <v>542.5</v>
          </cell>
          <cell r="J1593">
            <v>0.3</v>
          </cell>
          <cell r="K1593">
            <v>899</v>
          </cell>
          <cell r="L1593" t="str">
            <v>Mercado Libre</v>
          </cell>
          <cell r="M1593" t="str">
            <v>Active2</v>
          </cell>
        </row>
        <row r="1594">
          <cell r="A1594" t="str">
            <v>Speck</v>
          </cell>
          <cell r="B1594" t="str">
            <v>133537-8640</v>
          </cell>
          <cell r="C1594" t="str">
            <v>133537-8640</v>
          </cell>
          <cell r="D1594" t="str">
            <v>848709080691</v>
          </cell>
          <cell r="E1594" t="str">
            <v>Speck Balance Folio Clear Case for iPad 10.2" 7/8/9 Gen - Rose Gold Woven Metallic</v>
          </cell>
          <cell r="F1594" t="str">
            <v>Cases iPad</v>
          </cell>
          <cell r="G1594" t="str">
            <v>iPad</v>
          </cell>
          <cell r="H1594" t="str">
            <v>iPad 10.2"</v>
          </cell>
          <cell r="I1594">
            <v>602.84482758620686</v>
          </cell>
          <cell r="J1594">
            <v>0.3</v>
          </cell>
          <cell r="K1594">
            <v>999</v>
          </cell>
          <cell r="L1594" t="str">
            <v>Mercado Libre</v>
          </cell>
          <cell r="M1594" t="str">
            <v>Active2</v>
          </cell>
        </row>
        <row r="1595">
          <cell r="A1595" t="str">
            <v>Speck</v>
          </cell>
          <cell r="B1595" t="str">
            <v>138658-9323</v>
          </cell>
          <cell r="C1595" t="str">
            <v>138658-9323</v>
          </cell>
          <cell r="D1595" t="str">
            <v>848709096494</v>
          </cell>
          <cell r="E1595" t="str">
            <v>Speck Case-E Run for iPad 10.2" 7/8/9 Gen - Charge Blue/Brave Blue</v>
          </cell>
          <cell r="F1595" t="str">
            <v>Cases iPad</v>
          </cell>
          <cell r="G1595" t="str">
            <v>iPad</v>
          </cell>
          <cell r="H1595" t="str">
            <v>iPad 10.2"</v>
          </cell>
          <cell r="I1595">
            <v>602.84482758620686</v>
          </cell>
          <cell r="J1595">
            <v>0.3</v>
          </cell>
          <cell r="K1595">
            <v>999</v>
          </cell>
          <cell r="L1595" t="str">
            <v>Mercado Libre</v>
          </cell>
          <cell r="M1595" t="str">
            <v>Active2</v>
          </cell>
        </row>
        <row r="1596">
          <cell r="A1596" t="str">
            <v>Nomad</v>
          </cell>
          <cell r="B1596" t="str">
            <v>NM014285858</v>
          </cell>
          <cell r="C1596" t="str">
            <v>NM014285858</v>
          </cell>
          <cell r="D1596" t="str">
            <v>856504014285</v>
          </cell>
          <cell r="E1596" t="str">
            <v>Nomad Modern Leather Case - iPhone 17 Pro Max | Black | Nomad Leather</v>
          </cell>
          <cell r="F1596" t="str">
            <v>Cases iPhone</v>
          </cell>
          <cell r="G1596" t="str">
            <v>iPhone 17</v>
          </cell>
          <cell r="H1596" t="str">
            <v>iPhone 17 Pro Max</v>
          </cell>
          <cell r="I1596">
            <v>663.18965517241384</v>
          </cell>
          <cell r="J1596">
            <v>0.3</v>
          </cell>
          <cell r="K1596">
            <v>1099</v>
          </cell>
          <cell r="L1596" t="str">
            <v>Mercado Libre</v>
          </cell>
          <cell r="M1596" t="str">
            <v>Active2</v>
          </cell>
        </row>
        <row r="1597">
          <cell r="A1597" t="str">
            <v>Speck</v>
          </cell>
          <cell r="B1597" t="str">
            <v>133537-8922</v>
          </cell>
          <cell r="C1597" t="str">
            <v>133537-8922</v>
          </cell>
          <cell r="D1597" t="str">
            <v>848709080707</v>
          </cell>
          <cell r="E1597" t="str">
            <v>Speck Balance Folio Clear Case for iPad 10.2" 7/8/9 Gen - Clear/Gunmetal Grey Meta</v>
          </cell>
          <cell r="F1597" t="str">
            <v>Cases iPad</v>
          </cell>
          <cell r="G1597" t="str">
            <v>iPad</v>
          </cell>
          <cell r="H1597" t="str">
            <v>iPad 10.2"</v>
          </cell>
          <cell r="I1597">
            <v>602.84482758620686</v>
          </cell>
          <cell r="J1597">
            <v>0.3</v>
          </cell>
          <cell r="K1597">
            <v>999</v>
          </cell>
          <cell r="L1597" t="str">
            <v>Mercado Libre</v>
          </cell>
          <cell r="M1597" t="str">
            <v>Active2</v>
          </cell>
        </row>
        <row r="1598">
          <cell r="A1598" t="str">
            <v>Raptic</v>
          </cell>
          <cell r="B1598" t="str">
            <v>633755142987</v>
          </cell>
          <cell r="C1598" t="str">
            <v>NM014278858</v>
          </cell>
          <cell r="D1598" t="e">
            <v>#VALUE!</v>
          </cell>
          <cell r="E1598" t="str">
            <v>Nomad Modern Leather Case - iPhone 17 Pro Max | Brown | Nomad Leather</v>
          </cell>
          <cell r="F1598" t="str">
            <v>Cases iPhone</v>
          </cell>
          <cell r="G1598" t="str">
            <v>iPhone 17</v>
          </cell>
          <cell r="H1598" t="str">
            <v>iPhone 17 Pro Max</v>
          </cell>
          <cell r="I1598">
            <v>663.18965517241384</v>
          </cell>
          <cell r="J1598">
            <v>0.3</v>
          </cell>
          <cell r="K1598">
            <v>1099</v>
          </cell>
          <cell r="L1598" t="str">
            <v>Mercado Libre</v>
          </cell>
          <cell r="M1598" t="str">
            <v>Active2</v>
          </cell>
        </row>
        <row r="1599">
          <cell r="A1599" t="str">
            <v>Speck</v>
          </cell>
          <cell r="B1599" t="str">
            <v>150727-3258</v>
          </cell>
          <cell r="C1599" t="str">
            <v>150727-3258</v>
          </cell>
          <cell r="D1599" t="str">
            <v>840168544530</v>
          </cell>
          <cell r="E1599" t="str">
            <v>Speck iPhone 16 Pro Max Presidio Perfect Clear Clear Frosted Blk</v>
          </cell>
          <cell r="F1599" t="str">
            <v>Cases iPhone</v>
          </cell>
          <cell r="G1599" t="str">
            <v>iPhone 16</v>
          </cell>
          <cell r="H1599" t="str">
            <v>iPhone 16 Pro Max</v>
          </cell>
          <cell r="I1599">
            <v>602.84482758620686</v>
          </cell>
          <cell r="J1599">
            <v>0.3</v>
          </cell>
          <cell r="K1599">
            <v>999</v>
          </cell>
          <cell r="L1599" t="str">
            <v>Mercado Libre</v>
          </cell>
          <cell r="M1599" t="str">
            <v>Active2</v>
          </cell>
        </row>
        <row r="1600">
          <cell r="A1600" t="str">
            <v>Vivitar</v>
          </cell>
          <cell r="B1600" t="str">
            <v>VIVVT4KIT1-NOC</v>
          </cell>
          <cell r="C1600" t="str">
            <v>VIVVT4KIT1-NOC</v>
          </cell>
          <cell r="D1600" t="str">
            <v>681066891681</v>
          </cell>
          <cell r="E1600" t="str">
            <v>Vivitar Mini Soporte De Pistola. Combinación, De Soporte Para Teléfono, Selfie Stick Y Tripié En Un Solo</v>
          </cell>
          <cell r="F1600" t="str">
            <v>Hardware</v>
          </cell>
          <cell r="G1600" t="str">
            <v>Tripod</v>
          </cell>
          <cell r="H1600" t="str">
            <v>PISTOL GRIP</v>
          </cell>
          <cell r="I1600">
            <v>156.29310344827584</v>
          </cell>
          <cell r="J1600">
            <v>0.3</v>
          </cell>
          <cell r="K1600">
            <v>259</v>
          </cell>
          <cell r="L1600" t="str">
            <v>Mercado Libre</v>
          </cell>
          <cell r="M1600" t="str">
            <v>Active2</v>
          </cell>
        </row>
        <row r="1601">
          <cell r="A1601" t="str">
            <v>Speck</v>
          </cell>
          <cell r="B1601" t="str">
            <v>150989-3267</v>
          </cell>
          <cell r="C1601" t="str">
            <v>150989-3267</v>
          </cell>
          <cell r="D1601" t="str">
            <v>840168546688</v>
          </cell>
          <cell r="E1601" t="str">
            <v>Speck Balance Folio iPad 11" (2022-2025) Ceramic Grey/Autumn Sky/Black</v>
          </cell>
          <cell r="F1601" t="str">
            <v>Cases iPad</v>
          </cell>
          <cell r="G1601" t="str">
            <v>iPad</v>
          </cell>
          <cell r="H1601" t="str">
            <v>iPad 10th /11th - 10.9"/11" (2022-2025)</v>
          </cell>
          <cell r="I1601">
            <v>602.84482758620686</v>
          </cell>
          <cell r="J1601">
            <v>0.3</v>
          </cell>
          <cell r="K1601">
            <v>999</v>
          </cell>
          <cell r="L1601" t="str">
            <v>Mercado Libre</v>
          </cell>
          <cell r="M1601" t="str">
            <v>Active2</v>
          </cell>
        </row>
        <row r="1602">
          <cell r="A1602" t="str">
            <v>Speck</v>
          </cell>
          <cell r="B1602" t="str">
            <v>150986-D143</v>
          </cell>
          <cell r="C1602" t="str">
            <v>150986-D143</v>
          </cell>
          <cell r="D1602">
            <v>840168546589</v>
          </cell>
          <cell r="E1602" t="str">
            <v>Speck Presidio2 Grip iPhone 17 Pro Max Black</v>
          </cell>
          <cell r="F1602" t="str">
            <v>Cases iPhone</v>
          </cell>
          <cell r="G1602" t="str">
            <v>iPhone 17</v>
          </cell>
          <cell r="H1602" t="str">
            <v>iPhone 17 Pro Max</v>
          </cell>
          <cell r="I1602">
            <v>602.84482758620686</v>
          </cell>
          <cell r="J1602">
            <v>0.3</v>
          </cell>
          <cell r="K1602">
            <v>999</v>
          </cell>
          <cell r="L1602" t="str">
            <v>Mercado Libre</v>
          </cell>
          <cell r="M1602" t="str">
            <v>Active2</v>
          </cell>
        </row>
        <row r="1603">
          <cell r="A1603" t="str">
            <v>Nomad</v>
          </cell>
          <cell r="B1603" t="str">
            <v>NM014810858</v>
          </cell>
          <cell r="C1603" t="str">
            <v>NM014810858</v>
          </cell>
          <cell r="D1603" t="str">
            <v>856504014810</v>
          </cell>
          <cell r="E1603" t="str">
            <v>Nomad Rocky Point Band - 45mm | Sol | Black Hardware</v>
          </cell>
          <cell r="F1603" t="str">
            <v>Straps</v>
          </cell>
          <cell r="G1603" t="str">
            <v>Apple Watch</v>
          </cell>
          <cell r="H1603" t="str">
            <v>49/45/44/42 mm</v>
          </cell>
          <cell r="I1603">
            <v>1085.6034482758621</v>
          </cell>
          <cell r="J1603">
            <v>0.3</v>
          </cell>
          <cell r="K1603">
            <v>1799</v>
          </cell>
          <cell r="L1603" t="str">
            <v>Mercado Libre</v>
          </cell>
          <cell r="M1603" t="str">
            <v>Active2</v>
          </cell>
        </row>
        <row r="1604">
          <cell r="A1604" t="str">
            <v>Speck</v>
          </cell>
          <cell r="B1604" t="str">
            <v>150727-3199</v>
          </cell>
          <cell r="C1604" t="str">
            <v>150727-3199</v>
          </cell>
          <cell r="D1604" t="str">
            <v>840168544561</v>
          </cell>
          <cell r="E1604" t="str">
            <v>Speck iPhone 16 Pro Max Presidio Perfect Clear +Cl Clear/Clear/Chrome Finish/Serene Silver</v>
          </cell>
          <cell r="F1604" t="str">
            <v>Cases iPhone</v>
          </cell>
          <cell r="G1604" t="str">
            <v>iPhone 16</v>
          </cell>
          <cell r="H1604" t="str">
            <v>iPhone 16 Pro Max</v>
          </cell>
          <cell r="I1604">
            <v>602.84482758620686</v>
          </cell>
          <cell r="J1604">
            <v>0.3</v>
          </cell>
          <cell r="K1604">
            <v>999</v>
          </cell>
          <cell r="L1604" t="str">
            <v>Mercado Libre</v>
          </cell>
          <cell r="M1604" t="str">
            <v>Active2</v>
          </cell>
        </row>
        <row r="1605">
          <cell r="A1605" t="str">
            <v>Speck</v>
          </cell>
          <cell r="B1605" t="str">
            <v>150706-9221</v>
          </cell>
          <cell r="C1605" t="str">
            <v>150706-9221</v>
          </cell>
          <cell r="D1605" t="str">
            <v>840168540945</v>
          </cell>
          <cell r="E1605" t="str">
            <v>Speck iPhone 16 Pro Presidio Lux +Cl Clear/Clear /Gold Glitter?</v>
          </cell>
          <cell r="F1605" t="str">
            <v>Cases iPhone</v>
          </cell>
          <cell r="G1605" t="str">
            <v>iPhone 16</v>
          </cell>
          <cell r="H1605" t="str">
            <v>iPhone 16 Pro / iPhone 17</v>
          </cell>
          <cell r="I1605">
            <v>602.84482758620686</v>
          </cell>
          <cell r="J1605">
            <v>0.3</v>
          </cell>
          <cell r="K1605">
            <v>999</v>
          </cell>
          <cell r="L1605" t="str">
            <v>Mercado Libre</v>
          </cell>
          <cell r="M1605" t="str">
            <v>Active2</v>
          </cell>
        </row>
        <row r="1606">
          <cell r="A1606" t="str">
            <v>Speck</v>
          </cell>
          <cell r="B1606" t="str">
            <v>150698-9508</v>
          </cell>
          <cell r="C1606" t="str">
            <v>150698-9508</v>
          </cell>
          <cell r="D1606" t="str">
            <v>840168540662</v>
          </cell>
          <cell r="E1606" t="str">
            <v>Speck iPhone 16 Gemshell Clear/ Platinum Glitter</v>
          </cell>
          <cell r="F1606" t="str">
            <v>Cases iPhone</v>
          </cell>
          <cell r="G1606" t="str">
            <v>iPhone 16</v>
          </cell>
          <cell r="H1606" t="str">
            <v>iPhone 16</v>
          </cell>
          <cell r="I1606">
            <v>361.46551724137936</v>
          </cell>
          <cell r="J1606">
            <v>0.3</v>
          </cell>
          <cell r="K1606">
            <v>599</v>
          </cell>
          <cell r="L1606" t="str">
            <v>Mercado Libre</v>
          </cell>
          <cell r="M1606" t="str">
            <v>Active2</v>
          </cell>
        </row>
        <row r="1607">
          <cell r="A1607" t="str">
            <v>Speck</v>
          </cell>
          <cell r="B1607" t="str">
            <v>150775-3237</v>
          </cell>
          <cell r="C1607" t="str">
            <v>150775-3237</v>
          </cell>
          <cell r="D1607" t="str">
            <v>840168543656</v>
          </cell>
          <cell r="E1607" t="str">
            <v>Speck iPhone 16 Pro Max Presidio2 Lux +Ms Amazing Purple/Clear</v>
          </cell>
          <cell r="F1607" t="str">
            <v>Cases iPhone</v>
          </cell>
          <cell r="G1607" t="str">
            <v>iPhone 16</v>
          </cell>
          <cell r="H1607" t="str">
            <v>iPhone 16 Pro Max</v>
          </cell>
          <cell r="I1607">
            <v>602.84482758620686</v>
          </cell>
          <cell r="J1607">
            <v>0.3</v>
          </cell>
          <cell r="K1607">
            <v>999</v>
          </cell>
          <cell r="L1607" t="str">
            <v>Mercado Libre</v>
          </cell>
          <cell r="M1607" t="str">
            <v>Active2</v>
          </cell>
        </row>
        <row r="1608">
          <cell r="A1608" t="str">
            <v>Nomad</v>
          </cell>
          <cell r="B1608" t="str">
            <v>NM014339858</v>
          </cell>
          <cell r="C1608" t="str">
            <v>NM014339858</v>
          </cell>
          <cell r="D1608" t="str">
            <v>856504014339</v>
          </cell>
          <cell r="E1608" t="str">
            <v>Nomad Modern Leather Case - iPhone 17 Pro | Black | Nomad Leather</v>
          </cell>
          <cell r="F1608" t="str">
            <v>Cases iPhone</v>
          </cell>
          <cell r="G1608" t="str">
            <v>iPhone 17</v>
          </cell>
          <cell r="H1608" t="str">
            <v>iPhone 17 Pro</v>
          </cell>
          <cell r="I1608">
            <v>663.18965517241384</v>
          </cell>
          <cell r="J1608">
            <v>0.3</v>
          </cell>
          <cell r="K1608">
            <v>1099</v>
          </cell>
          <cell r="L1608" t="str">
            <v>Mercado Libre</v>
          </cell>
          <cell r="M1608" t="str">
            <v>Active2</v>
          </cell>
        </row>
        <row r="1609">
          <cell r="A1609" t="str">
            <v>Nomad</v>
          </cell>
          <cell r="B1609" t="str">
            <v>NM014322858</v>
          </cell>
          <cell r="C1609" t="str">
            <v>NM014322858</v>
          </cell>
          <cell r="D1609" t="str">
            <v>856504014322</v>
          </cell>
          <cell r="E1609" t="str">
            <v>Nomad Modern Leather Case - iPhone 17 Pro | Brown | Nomad Leather</v>
          </cell>
          <cell r="F1609" t="str">
            <v>Cases iPhone</v>
          </cell>
          <cell r="G1609" t="str">
            <v>iPhone 17</v>
          </cell>
          <cell r="H1609" t="str">
            <v>iPhone 17 Pro</v>
          </cell>
          <cell r="I1609">
            <v>663.18965517241384</v>
          </cell>
          <cell r="J1609">
            <v>0.3</v>
          </cell>
          <cell r="K1609">
            <v>1099</v>
          </cell>
          <cell r="L1609" t="str">
            <v>Mercado Libre</v>
          </cell>
          <cell r="M1609" t="str">
            <v>Active2</v>
          </cell>
        </row>
        <row r="1610">
          <cell r="A1610" t="str">
            <v>Speck</v>
          </cell>
          <cell r="B1610" t="str">
            <v>150226-7265</v>
          </cell>
          <cell r="C1610" t="str">
            <v>150226-7265</v>
          </cell>
          <cell r="D1610" t="str">
            <v>840168528202</v>
          </cell>
          <cell r="E1610" t="str">
            <v>Speck Balance Folio Case for iPad 10th Gen - Plumberry/Crushed Purple/Crepe Pink</v>
          </cell>
          <cell r="F1610" t="str">
            <v>Cases iPad</v>
          </cell>
          <cell r="G1610" t="str">
            <v>iPad</v>
          </cell>
          <cell r="H1610" t="str">
            <v>iPad 10th /11th - 10.9"/11" (2022-2025)</v>
          </cell>
          <cell r="I1610">
            <v>602.84482758620686</v>
          </cell>
          <cell r="J1610">
            <v>0.3</v>
          </cell>
          <cell r="K1610">
            <v>999</v>
          </cell>
          <cell r="L1610" t="str">
            <v>Mercado Libre</v>
          </cell>
          <cell r="M1610" t="str">
            <v>Active2</v>
          </cell>
        </row>
        <row r="1611">
          <cell r="A1611" t="str">
            <v>Tech21</v>
          </cell>
          <cell r="B1611" t="str">
            <v>T21-11314</v>
          </cell>
          <cell r="C1611" t="str">
            <v>T21-11314</v>
          </cell>
          <cell r="D1611" t="str">
            <v>840459607159</v>
          </cell>
          <cell r="E1611" t="str">
            <v>Tech21 EvoClear + MS iPhone 17 iPhone 17 Air Clear</v>
          </cell>
          <cell r="F1611" t="str">
            <v>Cases iPhone</v>
          </cell>
          <cell r="G1611" t="str">
            <v>iPhone 17</v>
          </cell>
          <cell r="H1611" t="str">
            <v>iPhone 17 Air</v>
          </cell>
          <cell r="I1611">
            <v>602.84482758620686</v>
          </cell>
          <cell r="J1611">
            <v>0.3</v>
          </cell>
          <cell r="K1611">
            <v>999</v>
          </cell>
          <cell r="L1611" t="str">
            <v>Mercado Libre</v>
          </cell>
          <cell r="M1611" t="str">
            <v>Active2</v>
          </cell>
        </row>
        <row r="1612">
          <cell r="A1612" t="str">
            <v>Tech21</v>
          </cell>
          <cell r="B1612" t="str">
            <v>T21-11349</v>
          </cell>
          <cell r="C1612" t="str">
            <v>T21-11349</v>
          </cell>
          <cell r="D1612" t="str">
            <v>840459607531</v>
          </cell>
          <cell r="E1612" t="str">
            <v>Tech21 EvoCrystal iPhone 17 Air Iridescent</v>
          </cell>
          <cell r="F1612" t="str">
            <v>Cases iPhone</v>
          </cell>
          <cell r="G1612" t="str">
            <v>iPhone 17</v>
          </cell>
          <cell r="H1612" t="str">
            <v>iPhone 17 Air</v>
          </cell>
          <cell r="I1612">
            <v>542.5</v>
          </cell>
          <cell r="J1612">
            <v>0.3</v>
          </cell>
          <cell r="K1612">
            <v>899</v>
          </cell>
          <cell r="L1612" t="str">
            <v>Mercado Libre</v>
          </cell>
          <cell r="M1612" t="str">
            <v>Active2</v>
          </cell>
        </row>
        <row r="1613">
          <cell r="A1613" t="str">
            <v>Nomad</v>
          </cell>
          <cell r="C1613" t="str">
            <v>NM011437858</v>
          </cell>
          <cell r="D1613">
            <v>856504011437</v>
          </cell>
          <cell r="E1613" t="str">
            <v>Nomad Tempo Band - 46mm | Crush</v>
          </cell>
          <cell r="F1613" t="str">
            <v>Straps</v>
          </cell>
          <cell r="G1613" t="str">
            <v>APPLE WATCH</v>
          </cell>
          <cell r="H1613" t="str">
            <v>45/44/42mm</v>
          </cell>
          <cell r="I1613">
            <v>559.78</v>
          </cell>
          <cell r="J1613">
            <v>0.35000520520520528</v>
          </cell>
          <cell r="K1613">
            <v>999</v>
          </cell>
          <cell r="L1613" t="str">
            <v>MacStore</v>
          </cell>
          <cell r="M1613" t="str">
            <v>New</v>
          </cell>
          <cell r="N1613" t="str">
            <v>NM011437858</v>
          </cell>
        </row>
        <row r="1614">
          <cell r="A1614" t="str">
            <v>Nomad</v>
          </cell>
          <cell r="C1614" t="str">
            <v>NM011413858</v>
          </cell>
          <cell r="D1614">
            <v>856504011413</v>
          </cell>
          <cell r="E1614" t="str">
            <v>Nomad Tempo Band - 46mm | Dusk</v>
          </cell>
          <cell r="F1614" t="str">
            <v>Straps</v>
          </cell>
          <cell r="G1614" t="str">
            <v>APPLE WATCH</v>
          </cell>
          <cell r="H1614" t="str">
            <v>45/44/42mm</v>
          </cell>
          <cell r="I1614">
            <v>559.78</v>
          </cell>
          <cell r="J1614">
            <v>0.35000520520520528</v>
          </cell>
          <cell r="K1614">
            <v>999</v>
          </cell>
          <cell r="L1614" t="str">
            <v>MacStore</v>
          </cell>
          <cell r="M1614" t="str">
            <v>New</v>
          </cell>
          <cell r="N1614" t="str">
            <v>NM011413858</v>
          </cell>
        </row>
        <row r="1615">
          <cell r="A1615" t="str">
            <v>Nomad</v>
          </cell>
          <cell r="C1615" t="str">
            <v>NM009766858</v>
          </cell>
          <cell r="D1615">
            <v>855848009766</v>
          </cell>
          <cell r="E1615" t="str">
            <v>Nomad Tempo Band - 46mm | Driftwood</v>
          </cell>
          <cell r="F1615" t="str">
            <v>Straps</v>
          </cell>
          <cell r="G1615" t="str">
            <v>APPLE WATCH</v>
          </cell>
          <cell r="H1615" t="str">
            <v>45/44/42mm</v>
          </cell>
          <cell r="I1615">
            <v>559.78</v>
          </cell>
          <cell r="J1615">
            <v>0.35000520520520528</v>
          </cell>
          <cell r="K1615">
            <v>999</v>
          </cell>
          <cell r="L1615" t="str">
            <v>MacStore</v>
          </cell>
          <cell r="M1615" t="str">
            <v>New</v>
          </cell>
          <cell r="N1615" t="str">
            <v>NM009766858</v>
          </cell>
        </row>
        <row r="1616">
          <cell r="A1616" t="str">
            <v>Nomad</v>
          </cell>
          <cell r="C1616" t="str">
            <v>NM009797858</v>
          </cell>
          <cell r="D1616">
            <v>855848009797</v>
          </cell>
          <cell r="E1616" t="str">
            <v>Nomad Tempo Band - 46mm | Seagrass</v>
          </cell>
          <cell r="F1616" t="str">
            <v>Straps</v>
          </cell>
          <cell r="G1616" t="str">
            <v>APPLE WATCH</v>
          </cell>
          <cell r="H1616" t="str">
            <v>45/44/42mm</v>
          </cell>
          <cell r="I1616">
            <v>559.78</v>
          </cell>
          <cell r="J1616">
            <v>0.35000520520520528</v>
          </cell>
          <cell r="K1616">
            <v>999</v>
          </cell>
          <cell r="L1616" t="str">
            <v>MacStore</v>
          </cell>
          <cell r="M1616" t="str">
            <v>New</v>
          </cell>
          <cell r="N1616" t="str">
            <v>NM009797858</v>
          </cell>
        </row>
        <row r="1617">
          <cell r="A1617" t="str">
            <v>Speck</v>
          </cell>
          <cell r="B1617">
            <v>840168538263</v>
          </cell>
          <cell r="C1617" t="str">
            <v>150553-3240</v>
          </cell>
          <cell r="D1617" t="str">
            <v>840168538263</v>
          </cell>
          <cell r="E1617" t="str">
            <v>Speck  iPhone 13/15/16e PRESIDIO CLEAR +MS (CLEAR/CLEAR/CHROME FINISH)</v>
          </cell>
          <cell r="F1617" t="str">
            <v>Cases iPhone</v>
          </cell>
          <cell r="G1617" t="str">
            <v>iPhone 15</v>
          </cell>
          <cell r="H1617" t="str">
            <v>iPhone 17e / 16e / 15 / 14 / 13</v>
          </cell>
          <cell r="I1617">
            <v>215.09</v>
          </cell>
          <cell r="J1617">
            <v>0.4999911823647295</v>
          </cell>
          <cell r="K1617">
            <v>499</v>
          </cell>
          <cell r="L1617" t="str">
            <v>iShop</v>
          </cell>
          <cell r="M1617" t="str">
            <v>Active</v>
          </cell>
          <cell r="N1617" t="str">
            <v>150553-3240</v>
          </cell>
        </row>
      </sheetData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D255"/>
  <sheetViews>
    <sheetView showGridLines="0" tabSelected="1" zoomScale="98" zoomScaleNormal="98" workbookViewId="0">
      <pane xSplit="3" ySplit="3" topLeftCell="DP4" activePane="bottomRight" state="frozen"/>
      <selection pane="topRight" activeCell="D1" sqref="D1"/>
      <selection pane="bottomLeft" activeCell="A4" sqref="A4"/>
      <selection pane="bottomRight"/>
    </sheetView>
  </sheetViews>
  <sheetFormatPr baseColWidth="10" defaultRowHeight="15" outlineLevelCol="1" x14ac:dyDescent="0.2"/>
  <cols>
    <col min="1" max="1" width="10.33203125" style="8" customWidth="1"/>
    <col min="2" max="2" width="16" style="8" customWidth="1"/>
    <col min="3" max="3" width="39.1640625" customWidth="1"/>
    <col min="4" max="4" width="11" hidden="1" customWidth="1" outlineLevel="1"/>
    <col min="5" max="5" width="18.5" hidden="1" customWidth="1" outlineLevel="1"/>
    <col min="6" max="7" width="17.6640625" hidden="1" customWidth="1" outlineLevel="1"/>
    <col min="8" max="8" width="16.33203125" style="2" customWidth="1" collapsed="1"/>
    <col min="9" max="10" width="12" style="2" customWidth="1"/>
    <col min="11" max="11" width="12" style="60" customWidth="1"/>
    <col min="12" max="12" width="11.6640625" style="2" bestFit="1" customWidth="1"/>
    <col min="13" max="14" width="12.83203125" style="1" customWidth="1"/>
    <col min="15" max="15" width="15" style="2" customWidth="1" outlineLevel="1"/>
    <col min="16" max="47" width="7.33203125" style="2" customWidth="1" outlineLevel="1"/>
    <col min="48" max="49" width="8.33203125" style="2" customWidth="1" outlineLevel="1"/>
    <col min="50" max="118" width="7.33203125" style="2" customWidth="1" outlineLevel="1"/>
    <col min="119" max="119" width="9.1640625" style="2" customWidth="1" outlineLevel="1"/>
    <col min="120" max="145" width="9.6640625" style="2" customWidth="1"/>
    <col min="146" max="146" width="13.83203125" style="2" customWidth="1"/>
    <col min="147" max="147" width="9.6640625" style="2" customWidth="1"/>
    <col min="148" max="148" width="16.5" style="2" customWidth="1"/>
    <col min="149" max="149" width="9.6640625" style="2" customWidth="1"/>
    <col min="150" max="153" width="9.6640625" style="2" customWidth="1" outlineLevel="1"/>
    <col min="154" max="154" width="8.1640625" style="2" customWidth="1"/>
    <col min="155" max="155" width="10.83203125" style="7" customWidth="1"/>
    <col min="156" max="156" width="57.1640625" customWidth="1"/>
    <col min="157" max="159" width="10.83203125" style="2" customWidth="1"/>
  </cols>
  <sheetData>
    <row r="1" spans="1:160" x14ac:dyDescent="0.2">
      <c r="DP1" s="2">
        <f>SUM(DP4:DP253)</f>
        <v>1386</v>
      </c>
      <c r="DQ1" s="2">
        <f>SUM(DQ4:DQ253)</f>
        <v>1230</v>
      </c>
      <c r="DR1" s="2">
        <f>SUM(DR4:DR253)</f>
        <v>778</v>
      </c>
      <c r="DS1" s="2">
        <f>SUM(DS4:DS253)</f>
        <v>691</v>
      </c>
      <c r="DT1" s="2">
        <f>SUM(DT4:DT253)</f>
        <v>760</v>
      </c>
      <c r="DU1" s="2">
        <f>SUM(DU4:DU253)</f>
        <v>673</v>
      </c>
      <c r="DV1" s="2">
        <f>SUM(DV4:DV253)</f>
        <v>549</v>
      </c>
      <c r="DW1" s="2">
        <f>SUM(DW4:DW253)</f>
        <v>870</v>
      </c>
      <c r="DX1" s="2">
        <f>SUM(DX4:DX253)</f>
        <v>910</v>
      </c>
      <c r="DY1" s="2">
        <f>SUM(DY4:DY253)</f>
        <v>803</v>
      </c>
      <c r="DZ1" s="2">
        <f>SUM(DZ4:DZ253)</f>
        <v>894</v>
      </c>
      <c r="EA1" s="2">
        <f>SUM(EA4:EA253)</f>
        <v>832</v>
      </c>
      <c r="EB1" s="2">
        <f>SUM(EB4:EB253)</f>
        <v>668</v>
      </c>
      <c r="EC1" s="2">
        <f>SUM(EC4:EC253)</f>
        <v>900</v>
      </c>
      <c r="ED1" s="2">
        <f>SUM(ED4:ED253)</f>
        <v>807</v>
      </c>
      <c r="EE1" s="2">
        <f>SUM(EE4:EE253)</f>
        <v>706</v>
      </c>
      <c r="EF1" s="2">
        <f>SUM(EF4:EF253)</f>
        <v>642</v>
      </c>
      <c r="EG1" s="2">
        <f>SUM(EG4:EG253)</f>
        <v>776</v>
      </c>
      <c r="EH1" s="2">
        <f>SUM(EH4:EH253)</f>
        <v>890</v>
      </c>
      <c r="EI1" s="2">
        <f>SUBTOTAL(9,EI4:EI253)</f>
        <v>850</v>
      </c>
      <c r="EJ1" s="2">
        <f>SUBTOTAL(9,EJ4:EJ253)</f>
        <v>644</v>
      </c>
      <c r="EK1" s="2">
        <f>SUBTOTAL(9,EK4:EK253)</f>
        <v>818</v>
      </c>
      <c r="EL1" s="2">
        <f>SUBTOTAL(9,EL4:EL253)</f>
        <v>742</v>
      </c>
      <c r="EM1" s="2">
        <f>SUBTOTAL(9,EM4:EM253)</f>
        <v>620</v>
      </c>
      <c r="EN1" s="2">
        <f>SUBTOTAL(9,EN4:EN253)</f>
        <v>695</v>
      </c>
      <c r="EO1" s="2">
        <f>SUBTOTAL(9,EO4:EO253)</f>
        <v>769</v>
      </c>
    </row>
    <row r="2" spans="1:160" x14ac:dyDescent="0.2">
      <c r="AB2" s="2">
        <v>2024</v>
      </c>
      <c r="BQ2" s="2">
        <v>2025</v>
      </c>
      <c r="DP2" s="3">
        <v>2026</v>
      </c>
      <c r="ER2" s="63">
        <f>SUBTOTAL(9,ER4:ER253)</f>
        <v>9293275.8779310249</v>
      </c>
      <c r="ES2" s="2">
        <f>SUBTOTAL(9,ES4:ES253)</f>
        <v>20903</v>
      </c>
      <c r="EX2" s="2">
        <f>SUBTOTAL(9,EX4:EX253)</f>
        <v>17541</v>
      </c>
      <c r="EY2" s="19" t="e" cm="1">
        <f t="array" ref="EY2">VLOOKUP(_xlfn.SINGLE(B:B),'[1]Price List'!$B:$N,{8,4,5,6,7},0)</f>
        <v>#N/A</v>
      </c>
      <c r="EZ2" s="9"/>
      <c r="FA2" s="12"/>
      <c r="FB2" s="12"/>
      <c r="FC2" s="12"/>
      <c r="FD2" s="23">
        <f>_xlfn.XLOOKUP(B:B,'[1]Price List'!$B:$B,'[1]Price List'!$A:$A)</f>
        <v>0</v>
      </c>
    </row>
    <row r="3" spans="1:160" ht="22" customHeight="1" x14ac:dyDescent="0.2">
      <c r="A3" s="22" t="s">
        <v>597</v>
      </c>
      <c r="B3" s="22" t="s">
        <v>0</v>
      </c>
      <c r="C3" s="3" t="s">
        <v>294</v>
      </c>
      <c r="D3" s="3" t="s">
        <v>297</v>
      </c>
      <c r="E3" s="3" t="s">
        <v>646</v>
      </c>
      <c r="F3" s="3" t="s">
        <v>299</v>
      </c>
      <c r="G3" s="3" t="s">
        <v>697</v>
      </c>
      <c r="H3" s="3" t="s">
        <v>293</v>
      </c>
      <c r="I3" s="3" t="s">
        <v>292</v>
      </c>
      <c r="J3" s="3" t="s">
        <v>295</v>
      </c>
      <c r="K3" s="61" t="s">
        <v>671</v>
      </c>
      <c r="L3" s="3" t="s">
        <v>291</v>
      </c>
      <c r="M3" s="3" t="s">
        <v>1</v>
      </c>
      <c r="N3" s="51" t="s">
        <v>657</v>
      </c>
      <c r="O3" s="3" t="s">
        <v>2</v>
      </c>
      <c r="P3" s="4" t="s">
        <v>322</v>
      </c>
      <c r="Q3" s="4" t="s">
        <v>323</v>
      </c>
      <c r="R3" s="4" t="s">
        <v>324</v>
      </c>
      <c r="S3" s="4" t="s">
        <v>325</v>
      </c>
      <c r="T3" s="4" t="s">
        <v>326</v>
      </c>
      <c r="U3" s="4" t="s">
        <v>327</v>
      </c>
      <c r="V3" s="4" t="s">
        <v>328</v>
      </c>
      <c r="W3" s="4" t="s">
        <v>337</v>
      </c>
      <c r="X3" s="4" t="s">
        <v>338</v>
      </c>
      <c r="Y3" s="4" t="s">
        <v>339</v>
      </c>
      <c r="Z3" s="4" t="s">
        <v>340</v>
      </c>
      <c r="AA3" s="4" t="s">
        <v>343</v>
      </c>
      <c r="AB3" s="4" t="s">
        <v>344</v>
      </c>
      <c r="AC3" s="4" t="s">
        <v>345</v>
      </c>
      <c r="AD3" s="4" t="s">
        <v>346</v>
      </c>
      <c r="AE3" s="4" t="s">
        <v>347</v>
      </c>
      <c r="AF3" s="4" t="s">
        <v>353</v>
      </c>
      <c r="AG3" s="4" t="s">
        <v>354</v>
      </c>
      <c r="AH3" s="4" t="s">
        <v>355</v>
      </c>
      <c r="AI3" s="4" t="s">
        <v>358</v>
      </c>
      <c r="AJ3" s="4" t="s">
        <v>359</v>
      </c>
      <c r="AK3" s="4" t="s">
        <v>360</v>
      </c>
      <c r="AL3" s="4" t="s">
        <v>361</v>
      </c>
      <c r="AM3" s="4" t="s">
        <v>362</v>
      </c>
      <c r="AN3" s="4" t="s">
        <v>363</v>
      </c>
      <c r="AO3" s="4" t="s">
        <v>364</v>
      </c>
      <c r="AP3" s="4" t="s">
        <v>365</v>
      </c>
      <c r="AQ3" s="4" t="s">
        <v>366</v>
      </c>
      <c r="AR3" s="4" t="s">
        <v>367</v>
      </c>
      <c r="AS3" s="4" t="s">
        <v>368</v>
      </c>
      <c r="AT3" s="4" t="s">
        <v>379</v>
      </c>
      <c r="AU3" s="4" t="s">
        <v>380</v>
      </c>
      <c r="AV3" s="4" t="s">
        <v>386</v>
      </c>
      <c r="AW3" s="4" t="s">
        <v>388</v>
      </c>
      <c r="AX3" s="4" t="s">
        <v>389</v>
      </c>
      <c r="AY3" s="4" t="s">
        <v>390</v>
      </c>
      <c r="AZ3" s="4" t="s">
        <v>391</v>
      </c>
      <c r="BA3" s="4" t="s">
        <v>392</v>
      </c>
      <c r="BB3" s="4" t="s">
        <v>393</v>
      </c>
      <c r="BC3" s="4" t="s">
        <v>407</v>
      </c>
      <c r="BD3" s="4" t="s">
        <v>412</v>
      </c>
      <c r="BE3" s="4" t="s">
        <v>439</v>
      </c>
      <c r="BF3" s="4" t="s">
        <v>322</v>
      </c>
      <c r="BG3" s="4" t="s">
        <v>324</v>
      </c>
      <c r="BH3" s="4" t="s">
        <v>325</v>
      </c>
      <c r="BI3" s="4" t="s">
        <v>326</v>
      </c>
      <c r="BJ3" s="4" t="s">
        <v>327</v>
      </c>
      <c r="BK3" s="4" t="s">
        <v>328</v>
      </c>
      <c r="BL3" s="4" t="s">
        <v>337</v>
      </c>
      <c r="BM3" s="4" t="s">
        <v>338</v>
      </c>
      <c r="BN3" s="4" t="s">
        <v>339</v>
      </c>
      <c r="BO3" s="4" t="s">
        <v>340</v>
      </c>
      <c r="BP3" s="4" t="s">
        <v>343</v>
      </c>
      <c r="BQ3" s="4" t="s">
        <v>344</v>
      </c>
      <c r="BR3" s="4" t="s">
        <v>345</v>
      </c>
      <c r="BS3" s="4" t="s">
        <v>346</v>
      </c>
      <c r="BT3" s="4" t="s">
        <v>347</v>
      </c>
      <c r="BU3" s="4" t="s">
        <v>353</v>
      </c>
      <c r="BV3" s="4" t="s">
        <v>354</v>
      </c>
      <c r="BW3" s="4" t="s">
        <v>355</v>
      </c>
      <c r="BX3" s="4" t="s">
        <v>358</v>
      </c>
      <c r="BY3" s="4" t="s">
        <v>359</v>
      </c>
      <c r="BZ3" s="4" t="s">
        <v>360</v>
      </c>
      <c r="CA3" s="4" t="s">
        <v>361</v>
      </c>
      <c r="CB3" s="4" t="s">
        <v>362</v>
      </c>
      <c r="CC3" s="4" t="s">
        <v>364</v>
      </c>
      <c r="CD3" s="4" t="s">
        <v>365</v>
      </c>
      <c r="CE3" s="4" t="s">
        <v>366</v>
      </c>
      <c r="CF3" s="4" t="s">
        <v>367</v>
      </c>
      <c r="CG3" s="4" t="s">
        <v>368</v>
      </c>
      <c r="CH3" s="4" t="s">
        <v>379</v>
      </c>
      <c r="CI3" s="4" t="s">
        <v>380</v>
      </c>
      <c r="CJ3" s="4" t="s">
        <v>386</v>
      </c>
      <c r="CK3" s="4" t="s">
        <v>465</v>
      </c>
      <c r="CL3" s="4" t="s">
        <v>388</v>
      </c>
      <c r="CM3" s="4" t="s">
        <v>468</v>
      </c>
      <c r="CN3" s="4" t="s">
        <v>389</v>
      </c>
      <c r="CO3" s="4" t="s">
        <v>469</v>
      </c>
      <c r="CP3" s="4" t="s">
        <v>390</v>
      </c>
      <c r="CQ3" s="36" t="s">
        <v>470</v>
      </c>
      <c r="CR3" s="36" t="s">
        <v>391</v>
      </c>
      <c r="CS3" s="36" t="s">
        <v>471</v>
      </c>
      <c r="CT3" s="36" t="s">
        <v>392</v>
      </c>
      <c r="CU3" s="35" t="s">
        <v>472</v>
      </c>
      <c r="CV3" s="35" t="s">
        <v>393</v>
      </c>
      <c r="CW3" s="35" t="s">
        <v>473</v>
      </c>
      <c r="CX3" s="35" t="s">
        <v>407</v>
      </c>
      <c r="CY3" s="34" t="s">
        <v>476</v>
      </c>
      <c r="CZ3" s="34" t="s">
        <v>412</v>
      </c>
      <c r="DA3" s="34" t="s">
        <v>592</v>
      </c>
      <c r="DB3" s="34" t="s">
        <v>439</v>
      </c>
      <c r="DC3" s="33" t="s">
        <v>593</v>
      </c>
      <c r="DD3" s="33" t="s">
        <v>322</v>
      </c>
      <c r="DE3" s="33" t="s">
        <v>323</v>
      </c>
      <c r="DF3" s="4" t="s">
        <v>324</v>
      </c>
      <c r="DG3" s="4" t="s">
        <v>325</v>
      </c>
      <c r="DH3" s="4" t="s">
        <v>326</v>
      </c>
      <c r="DI3" s="4" t="s">
        <v>327</v>
      </c>
      <c r="DJ3" s="4" t="s">
        <v>328</v>
      </c>
      <c r="DK3" s="4" t="s">
        <v>337</v>
      </c>
      <c r="DL3" s="4" t="s">
        <v>338</v>
      </c>
      <c r="DM3" s="4" t="s">
        <v>339</v>
      </c>
      <c r="DN3" s="4" t="s">
        <v>343</v>
      </c>
      <c r="DO3" s="4" t="s">
        <v>343</v>
      </c>
      <c r="DP3" s="4" t="s">
        <v>344</v>
      </c>
      <c r="DQ3" s="4" t="s">
        <v>345</v>
      </c>
      <c r="DR3" s="4" t="s">
        <v>346</v>
      </c>
      <c r="DS3" s="4" t="s">
        <v>347</v>
      </c>
      <c r="DT3" s="4" t="s">
        <v>353</v>
      </c>
      <c r="DU3" s="4" t="s">
        <v>354</v>
      </c>
      <c r="DV3" s="4" t="s">
        <v>355</v>
      </c>
      <c r="DW3" s="4" t="s">
        <v>358</v>
      </c>
      <c r="DX3" s="4" t="s">
        <v>359</v>
      </c>
      <c r="DY3" s="4" t="s">
        <v>360</v>
      </c>
      <c r="DZ3" s="4" t="s">
        <v>361</v>
      </c>
      <c r="EA3" s="4" t="s">
        <v>362</v>
      </c>
      <c r="EB3" s="4" t="s">
        <v>363</v>
      </c>
      <c r="EC3" s="4" t="s">
        <v>364</v>
      </c>
      <c r="ED3" s="4" t="s">
        <v>365</v>
      </c>
      <c r="EE3" s="4" t="s">
        <v>366</v>
      </c>
      <c r="EF3" s="4" t="s">
        <v>367</v>
      </c>
      <c r="EG3" s="4" t="s">
        <v>368</v>
      </c>
      <c r="EH3" s="4" t="s">
        <v>379</v>
      </c>
      <c r="EI3" s="4" t="s">
        <v>380</v>
      </c>
      <c r="EJ3" s="4" t="s">
        <v>386</v>
      </c>
      <c r="EK3" s="4" t="s">
        <v>465</v>
      </c>
      <c r="EL3" s="4" t="s">
        <v>388</v>
      </c>
      <c r="EM3" s="4" t="s">
        <v>468</v>
      </c>
      <c r="EN3" s="4" t="s">
        <v>389</v>
      </c>
      <c r="EO3" s="4" t="s">
        <v>469</v>
      </c>
      <c r="EP3" s="4" t="s">
        <v>702</v>
      </c>
      <c r="EQ3" s="64" t="s">
        <v>701</v>
      </c>
      <c r="ER3" s="4" t="s">
        <v>703</v>
      </c>
      <c r="ES3" s="4" t="s">
        <v>698</v>
      </c>
      <c r="ET3" s="49" t="s">
        <v>648</v>
      </c>
      <c r="EU3" s="48" t="s">
        <v>647</v>
      </c>
      <c r="EV3" s="52" t="s">
        <v>658</v>
      </c>
      <c r="EW3" s="59"/>
      <c r="EX3" s="4" t="s">
        <v>329</v>
      </c>
      <c r="EY3" s="6" t="s">
        <v>295</v>
      </c>
      <c r="EZ3" s="5" t="s">
        <v>296</v>
      </c>
      <c r="FA3" s="5" t="s">
        <v>297</v>
      </c>
      <c r="FB3" s="5" t="s">
        <v>298</v>
      </c>
      <c r="FC3" s="5" t="s">
        <v>299</v>
      </c>
      <c r="FD3" s="22" t="s">
        <v>597</v>
      </c>
    </row>
    <row r="4" spans="1:160" s="9" customFormat="1" x14ac:dyDescent="0.2">
      <c r="A4" s="23" t="s">
        <v>598</v>
      </c>
      <c r="B4" s="23">
        <v>855848007366</v>
      </c>
      <c r="C4" s="9" t="s">
        <v>330</v>
      </c>
      <c r="D4" s="9" t="s">
        <v>643</v>
      </c>
      <c r="E4" s="9" t="s">
        <v>635</v>
      </c>
      <c r="F4" s="9" t="s">
        <v>605</v>
      </c>
      <c r="G4" s="9" t="s">
        <v>336</v>
      </c>
      <c r="H4" s="10" t="s">
        <v>333</v>
      </c>
      <c r="I4" s="11">
        <v>1099</v>
      </c>
      <c r="J4" s="11">
        <v>473.71</v>
      </c>
      <c r="K4" s="62">
        <v>0</v>
      </c>
      <c r="L4" s="12">
        <v>0</v>
      </c>
      <c r="M4" s="13" t="s">
        <v>466</v>
      </c>
      <c r="N4" s="13" t="s">
        <v>383</v>
      </c>
      <c r="O4" s="14">
        <v>45233</v>
      </c>
      <c r="P4" s="12">
        <v>0</v>
      </c>
      <c r="Q4" s="12">
        <v>0</v>
      </c>
      <c r="R4" s="12">
        <v>0</v>
      </c>
      <c r="S4" s="12">
        <v>0</v>
      </c>
      <c r="T4" s="12">
        <v>0</v>
      </c>
      <c r="U4" s="12">
        <v>0</v>
      </c>
      <c r="V4" s="12">
        <v>19</v>
      </c>
      <c r="W4" s="12">
        <v>17</v>
      </c>
      <c r="X4" s="12">
        <v>22</v>
      </c>
      <c r="Y4" s="12">
        <v>20</v>
      </c>
      <c r="Z4" s="12">
        <v>34</v>
      </c>
      <c r="AA4" s="12">
        <v>53</v>
      </c>
      <c r="AB4" s="12">
        <v>43</v>
      </c>
      <c r="AC4" s="12">
        <v>21</v>
      </c>
      <c r="AD4" s="12">
        <v>12</v>
      </c>
      <c r="AE4" s="12">
        <v>36</v>
      </c>
      <c r="AF4" s="12">
        <v>23</v>
      </c>
      <c r="AG4" s="12">
        <v>23</v>
      </c>
      <c r="AH4" s="12">
        <v>13</v>
      </c>
      <c r="AI4" s="12">
        <v>20</v>
      </c>
      <c r="AJ4" s="12">
        <v>37</v>
      </c>
      <c r="AK4" s="12">
        <v>33</v>
      </c>
      <c r="AL4" s="12">
        <v>40</v>
      </c>
      <c r="AM4" s="12">
        <v>25</v>
      </c>
      <c r="AN4" s="12">
        <v>35</v>
      </c>
      <c r="AO4" s="12">
        <v>28</v>
      </c>
      <c r="AP4" s="12">
        <v>43</v>
      </c>
      <c r="AQ4" s="12">
        <v>29</v>
      </c>
      <c r="AR4" s="12">
        <v>20</v>
      </c>
      <c r="AS4" s="12">
        <v>31</v>
      </c>
      <c r="AT4" s="12">
        <v>36</v>
      </c>
      <c r="AU4" s="12">
        <v>31</v>
      </c>
      <c r="AV4" s="12">
        <v>27</v>
      </c>
      <c r="AW4" s="12">
        <v>59</v>
      </c>
      <c r="AX4" s="12">
        <v>52</v>
      </c>
      <c r="AY4" s="12">
        <v>70</v>
      </c>
      <c r="AZ4" s="12">
        <v>74</v>
      </c>
      <c r="BA4" s="12">
        <v>94</v>
      </c>
      <c r="BB4" s="12">
        <v>89</v>
      </c>
      <c r="BC4" s="12">
        <v>98</v>
      </c>
      <c r="BD4" s="12">
        <v>87</v>
      </c>
      <c r="BE4" s="12">
        <v>81</v>
      </c>
      <c r="BF4" s="12">
        <v>80</v>
      </c>
      <c r="BG4" s="12">
        <v>52</v>
      </c>
      <c r="BH4" s="12">
        <v>32</v>
      </c>
      <c r="BI4" s="12">
        <v>29</v>
      </c>
      <c r="BJ4" s="12">
        <v>48</v>
      </c>
      <c r="BK4" s="12">
        <v>47</v>
      </c>
      <c r="BL4" s="12">
        <v>36</v>
      </c>
      <c r="BM4" s="12">
        <v>29</v>
      </c>
      <c r="BN4" s="12">
        <v>25</v>
      </c>
      <c r="BO4" s="12">
        <v>61</v>
      </c>
      <c r="BP4" s="12">
        <v>69</v>
      </c>
      <c r="BQ4" s="12">
        <v>45</v>
      </c>
      <c r="BR4" s="12">
        <v>31</v>
      </c>
      <c r="BS4" s="12">
        <v>46</v>
      </c>
      <c r="BT4" s="12">
        <v>32</v>
      </c>
      <c r="BU4" s="12">
        <v>38</v>
      </c>
      <c r="BV4" s="12">
        <v>37</v>
      </c>
      <c r="BW4" s="12">
        <v>37</v>
      </c>
      <c r="BX4" s="12">
        <v>35</v>
      </c>
      <c r="BY4" s="12">
        <v>30</v>
      </c>
      <c r="BZ4" s="12">
        <v>25</v>
      </c>
      <c r="CA4" s="12">
        <v>33</v>
      </c>
      <c r="CB4" s="12">
        <v>18</v>
      </c>
      <c r="CC4" s="12">
        <v>34</v>
      </c>
      <c r="CD4" s="12">
        <v>26</v>
      </c>
      <c r="CE4" s="12">
        <v>41</v>
      </c>
      <c r="CF4" s="12">
        <v>37</v>
      </c>
      <c r="CG4" s="12">
        <v>42</v>
      </c>
      <c r="CH4" s="12">
        <v>25</v>
      </c>
      <c r="CI4" s="12">
        <v>35</v>
      </c>
      <c r="CJ4" s="12">
        <v>27</v>
      </c>
      <c r="CK4" s="12">
        <v>31</v>
      </c>
      <c r="CL4" s="12">
        <v>31</v>
      </c>
      <c r="CM4" s="12">
        <v>39</v>
      </c>
      <c r="CN4" s="12">
        <v>30</v>
      </c>
      <c r="CO4" s="12">
        <v>29</v>
      </c>
      <c r="CP4" s="12">
        <v>32</v>
      </c>
      <c r="CQ4" s="12">
        <v>29</v>
      </c>
      <c r="CR4" s="12">
        <v>34</v>
      </c>
      <c r="CS4" s="12">
        <v>24</v>
      </c>
      <c r="CT4" s="12">
        <v>34</v>
      </c>
      <c r="CU4" s="12">
        <v>25</v>
      </c>
      <c r="CV4" s="12">
        <v>32</v>
      </c>
      <c r="CW4" s="12">
        <v>24</v>
      </c>
      <c r="CX4" s="12">
        <v>21</v>
      </c>
      <c r="CY4" s="12">
        <v>23</v>
      </c>
      <c r="CZ4" s="12">
        <v>32</v>
      </c>
      <c r="DA4" s="12">
        <v>53</v>
      </c>
      <c r="DB4" s="12">
        <v>39</v>
      </c>
      <c r="DC4" s="12">
        <v>31</v>
      </c>
      <c r="DD4" s="12">
        <v>40</v>
      </c>
      <c r="DE4" s="12">
        <v>43</v>
      </c>
      <c r="DF4" s="12">
        <v>49</v>
      </c>
      <c r="DG4" s="12">
        <v>52</v>
      </c>
      <c r="DH4" s="12">
        <v>40</v>
      </c>
      <c r="DI4" s="12">
        <v>57</v>
      </c>
      <c r="DJ4" s="12">
        <v>56</v>
      </c>
      <c r="DK4" s="12">
        <v>55</v>
      </c>
      <c r="DL4" s="12">
        <v>45</v>
      </c>
      <c r="DM4" s="12">
        <v>45</v>
      </c>
      <c r="DN4" s="12">
        <v>69</v>
      </c>
      <c r="DO4" s="12">
        <v>74</v>
      </c>
      <c r="DP4" s="12">
        <v>42</v>
      </c>
      <c r="DQ4" s="12">
        <v>46</v>
      </c>
      <c r="DR4" s="12">
        <v>31</v>
      </c>
      <c r="DS4" s="12">
        <v>24</v>
      </c>
      <c r="DT4" s="12">
        <v>23</v>
      </c>
      <c r="DU4" s="12">
        <v>17</v>
      </c>
      <c r="DV4" s="12">
        <v>25</v>
      </c>
      <c r="DW4" s="12">
        <v>28</v>
      </c>
      <c r="DX4" s="12">
        <v>36</v>
      </c>
      <c r="DY4" s="12">
        <v>27</v>
      </c>
      <c r="DZ4" s="12">
        <v>41</v>
      </c>
      <c r="EA4" s="12">
        <v>33</v>
      </c>
      <c r="EB4" s="12">
        <v>23</v>
      </c>
      <c r="EC4" s="12">
        <v>36</v>
      </c>
      <c r="ED4" s="12">
        <v>36</v>
      </c>
      <c r="EE4" s="12">
        <v>31</v>
      </c>
      <c r="EF4" s="12">
        <v>26</v>
      </c>
      <c r="EG4" s="12">
        <v>32</v>
      </c>
      <c r="EH4" s="12">
        <v>47</v>
      </c>
      <c r="EI4" s="12">
        <v>37</v>
      </c>
      <c r="EJ4" s="12">
        <v>26</v>
      </c>
      <c r="EK4" s="12">
        <v>40</v>
      </c>
      <c r="EL4" s="12">
        <v>26</v>
      </c>
      <c r="EM4" s="12">
        <v>30</v>
      </c>
      <c r="EN4" s="12">
        <v>44</v>
      </c>
      <c r="EO4" s="12">
        <v>23</v>
      </c>
      <c r="EP4" s="12" t="str">
        <f t="shared" ref="EP4:EP11" si="0">IF(EL4=0,"🔴 Sin venta",IF(EL4&lt;EQ49*0.8,"🟠 Bajo",IF(EL49&lt;=EQ4*1.2,"🟢 Bien","🔵 Sobre promedio")))</f>
        <v>🟢 Bien</v>
      </c>
      <c r="EQ4" s="23">
        <f>AVERAGE(DP4:EM4)</f>
        <v>31.791666666666668</v>
      </c>
      <c r="ER4" s="19">
        <f>J4*ES4</f>
        <v>393179.3</v>
      </c>
      <c r="ES4" s="12">
        <f>SUM(DP4:EO4)</f>
        <v>830</v>
      </c>
      <c r="ET4" s="12">
        <f>SUM(DQ4:EP4)</f>
        <v>788</v>
      </c>
      <c r="EU4" s="12">
        <f>SUM(DR4:EQ4)</f>
        <v>773.79166666666663</v>
      </c>
      <c r="EV4" s="12">
        <f>SUM(DS4:ER4)</f>
        <v>393922.09166666667</v>
      </c>
      <c r="EW4" s="12">
        <f>SUM(DT4:ES4)</f>
        <v>394728.09166666667</v>
      </c>
      <c r="EX4" s="12">
        <v>219</v>
      </c>
      <c r="EY4" s="19" cm="1">
        <f t="array" ref="EY4:FC4">VLOOKUP(_xlfn.SINGLE(B:B),'[1]Price List'!$B:$N,{8,4,5,6,7},0)</f>
        <v>473.71</v>
      </c>
      <c r="EZ4" s="9" t="str">
        <v>Nomad Sport Band - 45mm | Ultra Orange</v>
      </c>
      <c r="FA4" s="12" t="str">
        <v>Straps</v>
      </c>
      <c r="FB4" s="12" t="str">
        <v>Apple Watch</v>
      </c>
      <c r="FC4" s="12" t="str">
        <v>49/45/44/42 mm</v>
      </c>
      <c r="FD4" s="23" t="str">
        <f>_xlfn.XLOOKUP(B:B,'[1]Price List'!$B:$B,'[1]Price List'!$A:$A)</f>
        <v>Nomad</v>
      </c>
    </row>
    <row r="5" spans="1:160" s="9" customFormat="1" x14ac:dyDescent="0.2">
      <c r="A5" s="23" t="s">
        <v>598</v>
      </c>
      <c r="B5" s="23">
        <v>856500018522</v>
      </c>
      <c r="C5" s="9" t="s">
        <v>331</v>
      </c>
      <c r="D5" s="9" t="s">
        <v>643</v>
      </c>
      <c r="E5" s="9" t="s">
        <v>635</v>
      </c>
      <c r="F5" s="9" t="s">
        <v>605</v>
      </c>
      <c r="G5" s="9" t="s">
        <v>336</v>
      </c>
      <c r="H5" s="10" t="s">
        <v>334</v>
      </c>
      <c r="I5" s="11">
        <v>1099</v>
      </c>
      <c r="J5" s="11">
        <v>473.71</v>
      </c>
      <c r="K5" s="62">
        <v>0</v>
      </c>
      <c r="L5" s="12">
        <v>0</v>
      </c>
      <c r="M5" s="13" t="s">
        <v>466</v>
      </c>
      <c r="N5" s="13" t="s">
        <v>383</v>
      </c>
      <c r="O5" s="14">
        <v>45233</v>
      </c>
      <c r="P5" s="12">
        <v>0</v>
      </c>
      <c r="Q5" s="12">
        <v>0</v>
      </c>
      <c r="R5" s="12">
        <v>0</v>
      </c>
      <c r="S5" s="12">
        <v>0</v>
      </c>
      <c r="T5" s="12">
        <v>0</v>
      </c>
      <c r="U5" s="12">
        <v>0</v>
      </c>
      <c r="V5" s="12">
        <v>12</v>
      </c>
      <c r="W5" s="12">
        <v>23</v>
      </c>
      <c r="X5" s="12">
        <v>16</v>
      </c>
      <c r="Y5" s="12">
        <v>33</v>
      </c>
      <c r="Z5" s="12">
        <v>20</v>
      </c>
      <c r="AA5" s="12">
        <v>67</v>
      </c>
      <c r="AB5" s="12">
        <v>29</v>
      </c>
      <c r="AC5" s="12">
        <v>25</v>
      </c>
      <c r="AD5" s="12">
        <v>11</v>
      </c>
      <c r="AE5" s="12">
        <v>22</v>
      </c>
      <c r="AF5" s="12">
        <v>20</v>
      </c>
      <c r="AG5" s="12">
        <v>21</v>
      </c>
      <c r="AH5" s="12">
        <v>14</v>
      </c>
      <c r="AI5" s="12">
        <v>17</v>
      </c>
      <c r="AJ5" s="12">
        <v>29</v>
      </c>
      <c r="AK5" s="12">
        <v>27</v>
      </c>
      <c r="AL5" s="12">
        <v>34</v>
      </c>
      <c r="AM5" s="12">
        <v>24</v>
      </c>
      <c r="AN5" s="12">
        <v>23</v>
      </c>
      <c r="AO5" s="12">
        <v>25</v>
      </c>
      <c r="AP5" s="12">
        <v>38</v>
      </c>
      <c r="AQ5" s="12">
        <v>32</v>
      </c>
      <c r="AR5" s="12">
        <v>19</v>
      </c>
      <c r="AS5" s="12">
        <v>16</v>
      </c>
      <c r="AT5" s="12">
        <v>15</v>
      </c>
      <c r="AU5" s="12">
        <v>11</v>
      </c>
      <c r="AV5" s="12">
        <v>31</v>
      </c>
      <c r="AW5" s="12">
        <v>65</v>
      </c>
      <c r="AX5" s="12">
        <v>51</v>
      </c>
      <c r="AY5" s="12">
        <v>117</v>
      </c>
      <c r="AZ5" s="12">
        <v>85</v>
      </c>
      <c r="BA5" s="12">
        <v>81</v>
      </c>
      <c r="BB5" s="12">
        <v>81</v>
      </c>
      <c r="BC5" s="12">
        <v>127</v>
      </c>
      <c r="BD5" s="12">
        <v>120</v>
      </c>
      <c r="BE5" s="12">
        <v>101</v>
      </c>
      <c r="BF5" s="12">
        <v>109</v>
      </c>
      <c r="BG5" s="12">
        <v>32</v>
      </c>
      <c r="BH5" s="12">
        <v>35</v>
      </c>
      <c r="BI5" s="12">
        <v>42</v>
      </c>
      <c r="BJ5" s="12">
        <v>47</v>
      </c>
      <c r="BK5" s="12">
        <v>28</v>
      </c>
      <c r="BL5" s="12">
        <v>41</v>
      </c>
      <c r="BM5" s="12">
        <v>35</v>
      </c>
      <c r="BN5" s="12">
        <v>51</v>
      </c>
      <c r="BO5" s="12">
        <v>60</v>
      </c>
      <c r="BP5" s="12">
        <v>67</v>
      </c>
      <c r="BQ5" s="12">
        <v>43</v>
      </c>
      <c r="BR5" s="12">
        <v>32</v>
      </c>
      <c r="BS5" s="12">
        <v>35</v>
      </c>
      <c r="BT5" s="12">
        <v>37</v>
      </c>
      <c r="BU5" s="12">
        <v>33</v>
      </c>
      <c r="BV5" s="12">
        <v>32</v>
      </c>
      <c r="BW5" s="12">
        <v>24</v>
      </c>
      <c r="BX5" s="12">
        <v>24</v>
      </c>
      <c r="BY5" s="12">
        <v>43</v>
      </c>
      <c r="BZ5" s="12">
        <v>19</v>
      </c>
      <c r="CA5" s="12">
        <v>17</v>
      </c>
      <c r="CB5" s="12">
        <v>12</v>
      </c>
      <c r="CC5" s="12">
        <v>22</v>
      </c>
      <c r="CD5" s="12">
        <v>27</v>
      </c>
      <c r="CE5" s="12">
        <v>36</v>
      </c>
      <c r="CF5" s="12">
        <v>22</v>
      </c>
      <c r="CG5" s="12">
        <v>33</v>
      </c>
      <c r="CH5" s="12">
        <v>23</v>
      </c>
      <c r="CI5" s="12">
        <v>38</v>
      </c>
      <c r="CJ5" s="12">
        <v>30</v>
      </c>
      <c r="CK5" s="12">
        <v>37</v>
      </c>
      <c r="CL5" s="12">
        <v>33</v>
      </c>
      <c r="CM5" s="12">
        <v>40</v>
      </c>
      <c r="CN5" s="12">
        <v>40</v>
      </c>
      <c r="CO5" s="12">
        <v>23</v>
      </c>
      <c r="CP5" s="12">
        <v>21</v>
      </c>
      <c r="CQ5" s="12">
        <v>26</v>
      </c>
      <c r="CR5" s="12">
        <v>28</v>
      </c>
      <c r="CS5" s="12">
        <v>26</v>
      </c>
      <c r="CT5" s="12">
        <v>36</v>
      </c>
      <c r="CU5" s="12">
        <v>33</v>
      </c>
      <c r="CV5" s="12">
        <v>21</v>
      </c>
      <c r="CW5" s="12">
        <v>33</v>
      </c>
      <c r="CX5" s="12">
        <v>22</v>
      </c>
      <c r="CY5" s="12">
        <v>23</v>
      </c>
      <c r="CZ5" s="12">
        <v>13</v>
      </c>
      <c r="DA5" s="12">
        <v>15</v>
      </c>
      <c r="DB5" s="12">
        <v>22</v>
      </c>
      <c r="DC5" s="12">
        <v>14</v>
      </c>
      <c r="DD5" s="12">
        <v>10</v>
      </c>
      <c r="DE5" s="12">
        <v>13</v>
      </c>
      <c r="DF5" s="12">
        <v>13</v>
      </c>
      <c r="DG5" s="12">
        <v>5</v>
      </c>
      <c r="DH5" s="12">
        <v>25</v>
      </c>
      <c r="DI5" s="12">
        <v>40</v>
      </c>
      <c r="DJ5" s="12">
        <v>26</v>
      </c>
      <c r="DK5" s="12">
        <v>18</v>
      </c>
      <c r="DL5" s="12">
        <v>42</v>
      </c>
      <c r="DM5" s="12">
        <v>51</v>
      </c>
      <c r="DN5" s="12">
        <v>46</v>
      </c>
      <c r="DO5" s="12">
        <v>65</v>
      </c>
      <c r="DP5" s="12">
        <v>43</v>
      </c>
      <c r="DQ5" s="12">
        <v>57</v>
      </c>
      <c r="DR5" s="12">
        <v>22</v>
      </c>
      <c r="DS5" s="12">
        <v>45</v>
      </c>
      <c r="DT5" s="12">
        <v>36</v>
      </c>
      <c r="DU5" s="12">
        <v>32</v>
      </c>
      <c r="DV5" s="12">
        <v>22</v>
      </c>
      <c r="DW5" s="12">
        <v>31</v>
      </c>
      <c r="DX5" s="12">
        <v>33</v>
      </c>
      <c r="DY5" s="12">
        <v>31</v>
      </c>
      <c r="DZ5" s="12">
        <v>33</v>
      </c>
      <c r="EA5" s="12">
        <v>44</v>
      </c>
      <c r="EB5" s="12">
        <v>32</v>
      </c>
      <c r="EC5" s="12">
        <v>30</v>
      </c>
      <c r="ED5" s="12">
        <v>25</v>
      </c>
      <c r="EE5" s="12">
        <v>35</v>
      </c>
      <c r="EF5" s="12">
        <v>22</v>
      </c>
      <c r="EG5" s="12">
        <v>25</v>
      </c>
      <c r="EH5" s="12">
        <v>32</v>
      </c>
      <c r="EI5" s="12">
        <v>37</v>
      </c>
      <c r="EJ5" s="12">
        <v>31</v>
      </c>
      <c r="EK5" s="12">
        <v>31</v>
      </c>
      <c r="EL5" s="12">
        <v>35</v>
      </c>
      <c r="EM5" s="12">
        <v>29</v>
      </c>
      <c r="EN5" s="12">
        <v>38</v>
      </c>
      <c r="EO5" s="12">
        <v>37</v>
      </c>
      <c r="EP5" s="12" t="str">
        <f t="shared" si="0"/>
        <v>🟢 Bien</v>
      </c>
      <c r="EQ5" s="23">
        <f t="shared" ref="EQ5:EQ70" si="1">AVERAGE(DP5:EM5)</f>
        <v>33.041666666666664</v>
      </c>
      <c r="ER5" s="19">
        <f t="shared" ref="ER5:ER69" si="2">J5*ES5</f>
        <v>411180.27999999997</v>
      </c>
      <c r="ES5" s="12">
        <f t="shared" ref="ES5:ES68" si="3">SUM(DP5:EO5)</f>
        <v>868</v>
      </c>
      <c r="ET5" s="23">
        <f t="shared" ref="ET5:ET9" si="4">ROUND((AVERAGE(CZ5:DG5)*4),2)</f>
        <v>52.5</v>
      </c>
      <c r="EU5" s="23">
        <f t="shared" ref="EU5:EU9" si="5">ROUND((AVERAGE(DH5:DO5)*4),2)</f>
        <v>156.5</v>
      </c>
      <c r="EV5" s="23">
        <f t="shared" ref="EV5:EV75" si="6">ROUND((AVERAGE(DP5:EG5)*4),2)</f>
        <v>132.88999999999999</v>
      </c>
      <c r="EW5" s="23"/>
      <c r="EX5" s="12">
        <v>290</v>
      </c>
      <c r="EY5" s="19" cm="1">
        <f t="array" ref="EY5:FC5">VLOOKUP(_xlfn.SINGLE(B:B),'[1]Price List'!$B:$N,{8,4,5,6,7},0)</f>
        <v>473.71</v>
      </c>
      <c r="EZ5" s="9" t="str">
        <v>Nomad Sport Strap - 45/44mm/42mm | M/L | Black | FKM | V2</v>
      </c>
      <c r="FA5" s="12" t="str">
        <v>Straps</v>
      </c>
      <c r="FB5" s="12" t="str">
        <v>Apple Watch</v>
      </c>
      <c r="FC5" s="12" t="str">
        <v>49/45/44/42 mm</v>
      </c>
      <c r="FD5" s="23" t="str">
        <f>_xlfn.XLOOKUP(B:B,'[1]Price List'!$B:$B,'[1]Price List'!$A:$A)</f>
        <v>Nomad</v>
      </c>
    </row>
    <row r="6" spans="1:160" s="9" customFormat="1" x14ac:dyDescent="0.2">
      <c r="A6" s="23" t="s">
        <v>598</v>
      </c>
      <c r="B6" s="25">
        <v>856504014919</v>
      </c>
      <c r="C6" s="9" t="s">
        <v>522</v>
      </c>
      <c r="D6" s="9" t="s">
        <v>643</v>
      </c>
      <c r="E6" s="20" t="s">
        <v>635</v>
      </c>
      <c r="F6" s="20" t="s">
        <v>605</v>
      </c>
      <c r="G6" s="9" t="s">
        <v>336</v>
      </c>
      <c r="H6" s="25" t="s">
        <v>442</v>
      </c>
      <c r="I6" s="21">
        <v>1099</v>
      </c>
      <c r="J6" s="11">
        <v>473.71</v>
      </c>
      <c r="K6" s="62">
        <v>0</v>
      </c>
      <c r="L6" s="12">
        <v>0</v>
      </c>
      <c r="M6" s="13" t="s">
        <v>466</v>
      </c>
      <c r="N6" s="13" t="s">
        <v>383</v>
      </c>
      <c r="O6" s="14"/>
      <c r="P6" s="12">
        <v>0</v>
      </c>
      <c r="Q6" s="12">
        <v>0</v>
      </c>
      <c r="R6" s="12">
        <v>0</v>
      </c>
      <c r="S6" s="12">
        <v>0</v>
      </c>
      <c r="T6" s="12">
        <v>0</v>
      </c>
      <c r="U6" s="12">
        <v>0</v>
      </c>
      <c r="V6" s="12">
        <v>0</v>
      </c>
      <c r="W6" s="12">
        <v>0</v>
      </c>
      <c r="X6" s="12">
        <v>0</v>
      </c>
      <c r="Y6" s="12">
        <v>0</v>
      </c>
      <c r="Z6" s="12">
        <v>0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  <c r="AI6" s="12">
        <v>0</v>
      </c>
      <c r="AJ6" s="12">
        <v>0</v>
      </c>
      <c r="AK6" s="12">
        <v>0</v>
      </c>
      <c r="AL6" s="12">
        <v>0</v>
      </c>
      <c r="AM6" s="12">
        <v>0</v>
      </c>
      <c r="AN6" s="12">
        <v>0</v>
      </c>
      <c r="AO6" s="12">
        <v>0</v>
      </c>
      <c r="AP6" s="12">
        <v>0</v>
      </c>
      <c r="AQ6" s="12">
        <v>0</v>
      </c>
      <c r="AR6" s="12">
        <v>0</v>
      </c>
      <c r="AS6" s="12">
        <v>0</v>
      </c>
      <c r="AT6" s="12">
        <v>0</v>
      </c>
      <c r="AU6" s="12">
        <v>0</v>
      </c>
      <c r="AV6" s="12">
        <v>0</v>
      </c>
      <c r="AW6" s="12">
        <v>0</v>
      </c>
      <c r="AX6" s="12">
        <v>0</v>
      </c>
      <c r="AY6" s="12">
        <v>0</v>
      </c>
      <c r="AZ6" s="12">
        <v>0</v>
      </c>
      <c r="BA6" s="12">
        <v>0</v>
      </c>
      <c r="BB6" s="12">
        <v>0</v>
      </c>
      <c r="BC6" s="12">
        <v>0</v>
      </c>
      <c r="BD6" s="12">
        <v>0</v>
      </c>
      <c r="BE6" s="12">
        <v>0</v>
      </c>
      <c r="BF6" s="12">
        <v>0</v>
      </c>
      <c r="BG6" s="12">
        <v>20</v>
      </c>
      <c r="BH6" s="12">
        <v>18</v>
      </c>
      <c r="BI6" s="12">
        <v>18</v>
      </c>
      <c r="BJ6" s="12">
        <v>29</v>
      </c>
      <c r="BK6" s="12">
        <v>17</v>
      </c>
      <c r="BL6" s="12">
        <v>19</v>
      </c>
      <c r="BM6" s="12">
        <v>31</v>
      </c>
      <c r="BN6" s="12">
        <v>20</v>
      </c>
      <c r="BO6" s="12">
        <v>27</v>
      </c>
      <c r="BP6" s="12">
        <v>38</v>
      </c>
      <c r="BQ6" s="12">
        <v>35</v>
      </c>
      <c r="BR6" s="12">
        <v>10</v>
      </c>
      <c r="BS6" s="12">
        <v>10</v>
      </c>
      <c r="BT6" s="12">
        <v>18</v>
      </c>
      <c r="BU6" s="12">
        <v>17</v>
      </c>
      <c r="BV6" s="12">
        <v>13</v>
      </c>
      <c r="BW6" s="12">
        <v>20</v>
      </c>
      <c r="BX6" s="12">
        <v>11</v>
      </c>
      <c r="BY6" s="12">
        <v>15</v>
      </c>
      <c r="BZ6" s="12">
        <v>10</v>
      </c>
      <c r="CA6" s="12">
        <v>15</v>
      </c>
      <c r="CB6" s="12">
        <v>18</v>
      </c>
      <c r="CC6" s="12">
        <v>12</v>
      </c>
      <c r="CD6" s="12">
        <v>13</v>
      </c>
      <c r="CE6" s="12">
        <v>15</v>
      </c>
      <c r="CF6" s="12">
        <v>14</v>
      </c>
      <c r="CG6" s="12">
        <v>23</v>
      </c>
      <c r="CH6" s="12">
        <v>14</v>
      </c>
      <c r="CI6" s="12">
        <v>14</v>
      </c>
      <c r="CJ6" s="12">
        <v>14</v>
      </c>
      <c r="CK6" s="12">
        <v>20</v>
      </c>
      <c r="CL6" s="12">
        <v>22</v>
      </c>
      <c r="CM6" s="12">
        <v>14</v>
      </c>
      <c r="CN6" s="12">
        <v>15</v>
      </c>
      <c r="CO6" s="12">
        <v>17</v>
      </c>
      <c r="CP6" s="12">
        <v>17</v>
      </c>
      <c r="CQ6" s="12">
        <v>15</v>
      </c>
      <c r="CR6" s="12">
        <v>11</v>
      </c>
      <c r="CS6" s="12">
        <v>16</v>
      </c>
      <c r="CT6" s="12">
        <v>15</v>
      </c>
      <c r="CU6" s="12">
        <v>17</v>
      </c>
      <c r="CV6" s="12">
        <v>17</v>
      </c>
      <c r="CW6" s="12">
        <v>11</v>
      </c>
      <c r="CX6" s="12">
        <v>22</v>
      </c>
      <c r="CY6" s="12">
        <v>25</v>
      </c>
      <c r="CZ6" s="12">
        <v>15</v>
      </c>
      <c r="DA6" s="12">
        <v>24</v>
      </c>
      <c r="DB6" s="12">
        <v>25</v>
      </c>
      <c r="DC6" s="12">
        <v>13</v>
      </c>
      <c r="DD6" s="12">
        <v>13</v>
      </c>
      <c r="DE6" s="12">
        <v>7</v>
      </c>
      <c r="DF6" s="12">
        <v>12</v>
      </c>
      <c r="DG6" s="12">
        <v>2</v>
      </c>
      <c r="DH6" s="12">
        <v>12</v>
      </c>
      <c r="DI6" s="12">
        <v>16</v>
      </c>
      <c r="DJ6" s="12">
        <v>12</v>
      </c>
      <c r="DK6" s="12">
        <v>14</v>
      </c>
      <c r="DL6" s="12">
        <v>16</v>
      </c>
      <c r="DM6" s="12">
        <v>26</v>
      </c>
      <c r="DN6" s="12">
        <v>25</v>
      </c>
      <c r="DO6" s="12">
        <v>39</v>
      </c>
      <c r="DP6" s="12">
        <v>23</v>
      </c>
      <c r="DQ6" s="12">
        <v>16</v>
      </c>
      <c r="DR6" s="12">
        <v>11</v>
      </c>
      <c r="DS6" s="12">
        <v>9</v>
      </c>
      <c r="DT6" s="12">
        <v>5</v>
      </c>
      <c r="DU6" s="12">
        <v>10</v>
      </c>
      <c r="DV6" s="12">
        <v>8</v>
      </c>
      <c r="DW6" s="12">
        <v>7</v>
      </c>
      <c r="DX6" s="12">
        <v>3</v>
      </c>
      <c r="DY6" s="12">
        <v>7</v>
      </c>
      <c r="DZ6" s="12">
        <v>12</v>
      </c>
      <c r="EA6" s="12">
        <v>9</v>
      </c>
      <c r="EB6" s="12">
        <v>2</v>
      </c>
      <c r="EC6" s="12">
        <v>6</v>
      </c>
      <c r="ED6" s="12">
        <v>16</v>
      </c>
      <c r="EE6" s="12">
        <v>16</v>
      </c>
      <c r="EF6" s="12">
        <v>8</v>
      </c>
      <c r="EG6" s="12">
        <v>17</v>
      </c>
      <c r="EH6" s="12">
        <v>20</v>
      </c>
      <c r="EI6" s="12">
        <v>21</v>
      </c>
      <c r="EJ6" s="12">
        <v>7</v>
      </c>
      <c r="EK6" s="12">
        <v>10</v>
      </c>
      <c r="EL6" s="12">
        <v>12</v>
      </c>
      <c r="EM6" s="12">
        <v>7</v>
      </c>
      <c r="EN6" s="12">
        <v>11</v>
      </c>
      <c r="EO6" s="12">
        <v>11</v>
      </c>
      <c r="EP6" s="12" t="str">
        <f t="shared" si="0"/>
        <v>🟢 Bien</v>
      </c>
      <c r="EQ6" s="23">
        <f t="shared" si="1"/>
        <v>10.916666666666666</v>
      </c>
      <c r="ER6" s="19">
        <f t="shared" si="2"/>
        <v>134533.63999999998</v>
      </c>
      <c r="ES6" s="12">
        <f t="shared" si="3"/>
        <v>284</v>
      </c>
      <c r="ET6" s="23">
        <f t="shared" si="4"/>
        <v>55.5</v>
      </c>
      <c r="EU6" s="23">
        <f t="shared" si="5"/>
        <v>80</v>
      </c>
      <c r="EV6" s="23">
        <f t="shared" si="6"/>
        <v>41.11</v>
      </c>
      <c r="EW6" s="23"/>
      <c r="EX6" s="12">
        <v>199</v>
      </c>
      <c r="EY6" s="19" cm="1">
        <f t="array" ref="EY6:FC6">VLOOKUP(_xlfn.SINGLE(B:B),'[1]Price List'!$B:$N,{8,4,5,6,7},0)</f>
        <v>473.71</v>
      </c>
      <c r="EZ6" s="9" t="str">
        <v>Nomad Sport Band - 49/45/44mm/42mm | M/L | Naval</v>
      </c>
      <c r="FA6" s="12" t="str">
        <v>Straps</v>
      </c>
      <c r="FB6" s="12" t="str">
        <v>Apple Watch</v>
      </c>
      <c r="FC6" s="12" t="str">
        <v>49/45/44/42 mm</v>
      </c>
      <c r="FD6" s="23" t="str">
        <f>_xlfn.XLOOKUP(B:B,'[1]Price List'!$B:$B,'[1]Price List'!$A:$A)</f>
        <v>Nomad</v>
      </c>
    </row>
    <row r="7" spans="1:160" s="9" customFormat="1" x14ac:dyDescent="0.2">
      <c r="A7" s="23" t="s">
        <v>598</v>
      </c>
      <c r="B7" s="23">
        <v>856500013602</v>
      </c>
      <c r="C7" s="9" t="s">
        <v>413</v>
      </c>
      <c r="D7" s="9" t="s">
        <v>643</v>
      </c>
      <c r="E7" s="9" t="s">
        <v>635</v>
      </c>
      <c r="F7" s="9" t="s">
        <v>606</v>
      </c>
      <c r="G7" s="9" t="s">
        <v>672</v>
      </c>
      <c r="H7" s="10" t="s">
        <v>416</v>
      </c>
      <c r="I7" s="11">
        <v>1799</v>
      </c>
      <c r="J7" s="21">
        <v>775.43</v>
      </c>
      <c r="K7" s="62">
        <v>0</v>
      </c>
      <c r="L7" s="12">
        <v>0</v>
      </c>
      <c r="M7" s="13" t="s">
        <v>467</v>
      </c>
      <c r="N7" s="13" t="s">
        <v>475</v>
      </c>
      <c r="O7" s="14"/>
      <c r="P7" s="12">
        <v>0</v>
      </c>
      <c r="Q7" s="12">
        <v>0</v>
      </c>
      <c r="R7" s="12">
        <v>0</v>
      </c>
      <c r="S7" s="12">
        <v>0</v>
      </c>
      <c r="T7" s="12">
        <v>0</v>
      </c>
      <c r="U7" s="12">
        <v>0</v>
      </c>
      <c r="V7" s="12">
        <v>0</v>
      </c>
      <c r="W7" s="12">
        <v>0</v>
      </c>
      <c r="X7" s="12">
        <v>0</v>
      </c>
      <c r="Y7" s="12">
        <v>0</v>
      </c>
      <c r="Z7" s="12">
        <v>0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  <c r="AI7" s="12">
        <v>0</v>
      </c>
      <c r="AJ7" s="12">
        <v>0</v>
      </c>
      <c r="AK7" s="12">
        <v>0</v>
      </c>
      <c r="AL7" s="12">
        <v>0</v>
      </c>
      <c r="AM7" s="12">
        <v>0</v>
      </c>
      <c r="AN7" s="12">
        <v>0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0</v>
      </c>
      <c r="AU7" s="12">
        <v>0</v>
      </c>
      <c r="AV7" s="12">
        <v>0</v>
      </c>
      <c r="AW7" s="12">
        <v>0</v>
      </c>
      <c r="AX7" s="12">
        <v>0</v>
      </c>
      <c r="AY7" s="12">
        <v>0</v>
      </c>
      <c r="AZ7" s="12">
        <v>0</v>
      </c>
      <c r="BA7" s="12">
        <v>0</v>
      </c>
      <c r="BB7" s="12">
        <v>0</v>
      </c>
      <c r="BC7" s="12">
        <v>0</v>
      </c>
      <c r="BD7" s="12">
        <v>9</v>
      </c>
      <c r="BE7" s="12">
        <v>49</v>
      </c>
      <c r="BF7" s="12">
        <v>50</v>
      </c>
      <c r="BG7" s="12">
        <v>22</v>
      </c>
      <c r="BH7" s="12">
        <v>22</v>
      </c>
      <c r="BI7" s="12">
        <v>27</v>
      </c>
      <c r="BJ7" s="12">
        <v>17</v>
      </c>
      <c r="BK7" s="12">
        <v>22</v>
      </c>
      <c r="BL7" s="12">
        <v>13</v>
      </c>
      <c r="BM7" s="12">
        <v>15</v>
      </c>
      <c r="BN7" s="12">
        <v>13</v>
      </c>
      <c r="BO7" s="12">
        <v>22</v>
      </c>
      <c r="BP7" s="12">
        <v>15</v>
      </c>
      <c r="BQ7" s="12">
        <v>16</v>
      </c>
      <c r="BR7" s="12">
        <v>11</v>
      </c>
      <c r="BS7" s="12">
        <v>7</v>
      </c>
      <c r="BT7" s="12">
        <v>7</v>
      </c>
      <c r="BU7" s="12">
        <v>8</v>
      </c>
      <c r="BV7" s="12">
        <v>9</v>
      </c>
      <c r="BW7" s="12">
        <v>6</v>
      </c>
      <c r="BX7" s="12">
        <v>2</v>
      </c>
      <c r="BY7" s="12">
        <v>19</v>
      </c>
      <c r="BZ7" s="12">
        <v>18</v>
      </c>
      <c r="CA7" s="12">
        <v>10</v>
      </c>
      <c r="CB7" s="12">
        <v>16</v>
      </c>
      <c r="CC7" s="12">
        <v>12</v>
      </c>
      <c r="CD7" s="12">
        <v>20</v>
      </c>
      <c r="CE7" s="12">
        <v>20</v>
      </c>
      <c r="CF7" s="12">
        <v>19</v>
      </c>
      <c r="CG7" s="12">
        <v>13</v>
      </c>
      <c r="CH7" s="12">
        <v>8</v>
      </c>
      <c r="CI7" s="12">
        <v>9</v>
      </c>
      <c r="CJ7" s="12">
        <v>5</v>
      </c>
      <c r="CK7" s="12">
        <v>9</v>
      </c>
      <c r="CL7" s="12">
        <v>14</v>
      </c>
      <c r="CM7" s="12">
        <v>12</v>
      </c>
      <c r="CN7" s="12">
        <v>17</v>
      </c>
      <c r="CO7" s="12">
        <v>12</v>
      </c>
      <c r="CP7" s="12">
        <v>16</v>
      </c>
      <c r="CQ7" s="12">
        <v>11</v>
      </c>
      <c r="CR7" s="12">
        <v>15</v>
      </c>
      <c r="CS7" s="12">
        <v>13</v>
      </c>
      <c r="CT7" s="12">
        <v>8</v>
      </c>
      <c r="CU7" s="12">
        <v>8</v>
      </c>
      <c r="CV7" s="12">
        <v>12</v>
      </c>
      <c r="CW7" s="12">
        <v>11</v>
      </c>
      <c r="CX7" s="12">
        <v>9</v>
      </c>
      <c r="CY7" s="12">
        <v>9</v>
      </c>
      <c r="CZ7" s="12">
        <v>4</v>
      </c>
      <c r="DA7" s="12">
        <v>12</v>
      </c>
      <c r="DB7" s="12">
        <v>15</v>
      </c>
      <c r="DC7" s="12">
        <v>9</v>
      </c>
      <c r="DD7" s="12">
        <v>7</v>
      </c>
      <c r="DE7" s="12">
        <v>2</v>
      </c>
      <c r="DF7" s="12">
        <v>10</v>
      </c>
      <c r="DG7" s="12">
        <v>14</v>
      </c>
      <c r="DH7" s="12">
        <v>20</v>
      </c>
      <c r="DI7" s="12">
        <v>11</v>
      </c>
      <c r="DJ7" s="12">
        <v>16</v>
      </c>
      <c r="DK7" s="12">
        <v>12</v>
      </c>
      <c r="DL7" s="12">
        <v>8</v>
      </c>
      <c r="DM7" s="12">
        <v>17</v>
      </c>
      <c r="DN7" s="12">
        <v>11</v>
      </c>
      <c r="DO7" s="12">
        <v>26</v>
      </c>
      <c r="DP7" s="12">
        <v>10</v>
      </c>
      <c r="DQ7" s="12">
        <v>11</v>
      </c>
      <c r="DR7" s="12">
        <v>9</v>
      </c>
      <c r="DS7" s="12">
        <v>11</v>
      </c>
      <c r="DT7" s="12">
        <v>4</v>
      </c>
      <c r="DU7" s="12">
        <v>11</v>
      </c>
      <c r="DV7" s="12">
        <v>6</v>
      </c>
      <c r="DW7" s="12">
        <v>2</v>
      </c>
      <c r="DX7" s="12">
        <v>4</v>
      </c>
      <c r="DY7" s="12">
        <v>2</v>
      </c>
      <c r="DZ7" s="12">
        <v>3</v>
      </c>
      <c r="EA7" s="12">
        <v>3</v>
      </c>
      <c r="EB7" s="12">
        <v>2</v>
      </c>
      <c r="EC7" s="12">
        <v>2</v>
      </c>
      <c r="ED7" s="12">
        <v>2</v>
      </c>
      <c r="EE7" s="12">
        <v>0</v>
      </c>
      <c r="EF7" s="12">
        <v>2</v>
      </c>
      <c r="EG7" s="12">
        <v>3</v>
      </c>
      <c r="EH7" s="12">
        <v>2</v>
      </c>
      <c r="EI7" s="12">
        <v>0</v>
      </c>
      <c r="EJ7" s="12">
        <v>0</v>
      </c>
      <c r="EK7" s="12">
        <v>3</v>
      </c>
      <c r="EL7" s="12">
        <v>2</v>
      </c>
      <c r="EM7" s="12">
        <v>0</v>
      </c>
      <c r="EN7" s="12">
        <v>3</v>
      </c>
      <c r="EO7" s="12">
        <v>1</v>
      </c>
      <c r="EP7" s="12" t="str">
        <f t="shared" si="0"/>
        <v>🟠 Bajo</v>
      </c>
      <c r="EQ7" s="23">
        <f t="shared" si="1"/>
        <v>3.9166666666666665</v>
      </c>
      <c r="ER7" s="19">
        <f t="shared" si="2"/>
        <v>75992.14</v>
      </c>
      <c r="ES7" s="12">
        <f t="shared" si="3"/>
        <v>98</v>
      </c>
      <c r="ET7" s="23">
        <f t="shared" si="4"/>
        <v>36.5</v>
      </c>
      <c r="EU7" s="23">
        <f t="shared" si="5"/>
        <v>60.5</v>
      </c>
      <c r="EV7" s="23">
        <f t="shared" si="6"/>
        <v>19.329999999999998</v>
      </c>
      <c r="EW7" s="23"/>
      <c r="EX7" s="12">
        <v>39</v>
      </c>
      <c r="EY7" s="19" cm="1">
        <f t="array" ref="EY7:FC7">VLOOKUP(_xlfn.SINGLE(B:B),'[1]Price List'!$B:$N,{8,4,5,6,7},0)</f>
        <v>775.43</v>
      </c>
      <c r="EZ7" s="9" t="str">
        <v>Nomad Rocky Point Band - 45mm | Sol</v>
      </c>
      <c r="FA7" s="12" t="str">
        <v>Straps</v>
      </c>
      <c r="FB7" s="12" t="str">
        <v>Apple Watch</v>
      </c>
      <c r="FC7" s="12" t="str">
        <v>49/45/44 mm</v>
      </c>
      <c r="FD7" s="23" t="str">
        <f>_xlfn.XLOOKUP(B:B,'[1]Price List'!$B:$B,'[1]Price List'!$A:$A)</f>
        <v>Nomad</v>
      </c>
    </row>
    <row r="8" spans="1:160" s="9" customFormat="1" x14ac:dyDescent="0.2">
      <c r="A8" s="23" t="s">
        <v>598</v>
      </c>
      <c r="B8" s="23">
        <v>856500013589</v>
      </c>
      <c r="C8" s="9" t="s">
        <v>414</v>
      </c>
      <c r="D8" s="9" t="s">
        <v>643</v>
      </c>
      <c r="E8" s="9" t="s">
        <v>635</v>
      </c>
      <c r="F8" s="9" t="s">
        <v>606</v>
      </c>
      <c r="G8" s="9" t="s">
        <v>672</v>
      </c>
      <c r="H8" s="10" t="s">
        <v>417</v>
      </c>
      <c r="I8" s="11">
        <v>1799</v>
      </c>
      <c r="J8" s="21">
        <v>775.43</v>
      </c>
      <c r="K8" s="62">
        <v>0</v>
      </c>
      <c r="L8" s="12">
        <v>0</v>
      </c>
      <c r="M8" s="13" t="s">
        <v>467</v>
      </c>
      <c r="N8" s="13" t="s">
        <v>475</v>
      </c>
      <c r="O8" s="14"/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  <c r="X8" s="12">
        <v>0</v>
      </c>
      <c r="Y8" s="12">
        <v>0</v>
      </c>
      <c r="Z8" s="12">
        <v>0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  <c r="AI8" s="12">
        <v>0</v>
      </c>
      <c r="AJ8" s="12">
        <v>0</v>
      </c>
      <c r="AK8" s="12">
        <v>0</v>
      </c>
      <c r="AL8" s="12">
        <v>0</v>
      </c>
      <c r="AM8" s="12">
        <v>0</v>
      </c>
      <c r="AN8" s="12">
        <v>0</v>
      </c>
      <c r="AO8" s="12">
        <v>0</v>
      </c>
      <c r="AP8" s="12">
        <v>0</v>
      </c>
      <c r="AQ8" s="12">
        <v>0</v>
      </c>
      <c r="AR8" s="12">
        <v>0</v>
      </c>
      <c r="AS8" s="12">
        <v>0</v>
      </c>
      <c r="AT8" s="12">
        <v>0</v>
      </c>
      <c r="AU8" s="12">
        <v>0</v>
      </c>
      <c r="AV8" s="12">
        <v>0</v>
      </c>
      <c r="AW8" s="12">
        <v>0</v>
      </c>
      <c r="AX8" s="12">
        <v>0</v>
      </c>
      <c r="AY8" s="12">
        <v>0</v>
      </c>
      <c r="AZ8" s="12">
        <v>0</v>
      </c>
      <c r="BA8" s="12">
        <v>0</v>
      </c>
      <c r="BB8" s="12">
        <v>0</v>
      </c>
      <c r="BC8" s="12">
        <v>0</v>
      </c>
      <c r="BD8" s="12">
        <v>11</v>
      </c>
      <c r="BE8" s="12">
        <v>52</v>
      </c>
      <c r="BF8" s="12">
        <v>45</v>
      </c>
      <c r="BG8" s="12">
        <v>12</v>
      </c>
      <c r="BH8" s="12">
        <v>15</v>
      </c>
      <c r="BI8" s="12">
        <v>16</v>
      </c>
      <c r="BJ8" s="12">
        <v>18</v>
      </c>
      <c r="BK8" s="12">
        <v>16</v>
      </c>
      <c r="BL8" s="12">
        <v>20</v>
      </c>
      <c r="BM8" s="12">
        <v>17</v>
      </c>
      <c r="BN8" s="12">
        <v>21</v>
      </c>
      <c r="BO8" s="12">
        <v>30</v>
      </c>
      <c r="BP8" s="12">
        <v>41</v>
      </c>
      <c r="BQ8" s="12">
        <v>27</v>
      </c>
      <c r="BR8" s="12">
        <v>16</v>
      </c>
      <c r="BS8" s="12">
        <v>17</v>
      </c>
      <c r="BT8" s="12">
        <v>24</v>
      </c>
      <c r="BU8" s="12">
        <v>19</v>
      </c>
      <c r="BV8" s="12">
        <v>11</v>
      </c>
      <c r="BW8" s="12">
        <v>22</v>
      </c>
      <c r="BX8" s="12">
        <v>18</v>
      </c>
      <c r="BY8" s="12">
        <v>15</v>
      </c>
      <c r="BZ8" s="12">
        <v>16</v>
      </c>
      <c r="CA8" s="12">
        <v>11</v>
      </c>
      <c r="CB8" s="12">
        <v>6</v>
      </c>
      <c r="CC8" s="12">
        <v>13</v>
      </c>
      <c r="CD8" s="12">
        <v>9</v>
      </c>
      <c r="CE8" s="12">
        <v>18</v>
      </c>
      <c r="CF8" s="12">
        <v>19</v>
      </c>
      <c r="CG8" s="12">
        <v>19</v>
      </c>
      <c r="CH8" s="12">
        <v>17</v>
      </c>
      <c r="CI8" s="12">
        <v>17</v>
      </c>
      <c r="CJ8" s="12">
        <v>10</v>
      </c>
      <c r="CK8" s="12">
        <v>13</v>
      </c>
      <c r="CL8" s="12">
        <v>26</v>
      </c>
      <c r="CM8" s="12">
        <v>29</v>
      </c>
      <c r="CN8" s="12">
        <v>16</v>
      </c>
      <c r="CO8" s="12">
        <v>15</v>
      </c>
      <c r="CP8" s="12">
        <v>11</v>
      </c>
      <c r="CQ8" s="12">
        <v>6</v>
      </c>
      <c r="CR8" s="12">
        <v>12</v>
      </c>
      <c r="CS8" s="12">
        <v>13</v>
      </c>
      <c r="CT8" s="12">
        <v>11</v>
      </c>
      <c r="CU8" s="12">
        <v>13</v>
      </c>
      <c r="CV8" s="12">
        <v>14</v>
      </c>
      <c r="CW8" s="12">
        <v>17</v>
      </c>
      <c r="CX8" s="12">
        <v>16</v>
      </c>
      <c r="CY8" s="12">
        <v>14</v>
      </c>
      <c r="CZ8" s="12">
        <v>12</v>
      </c>
      <c r="DA8" s="12">
        <v>17</v>
      </c>
      <c r="DB8" s="12">
        <v>10</v>
      </c>
      <c r="DC8" s="12">
        <v>11</v>
      </c>
      <c r="DD8" s="12">
        <v>11</v>
      </c>
      <c r="DE8" s="12">
        <v>9</v>
      </c>
      <c r="DF8" s="12">
        <v>17</v>
      </c>
      <c r="DG8" s="12">
        <v>17</v>
      </c>
      <c r="DH8" s="12">
        <v>10</v>
      </c>
      <c r="DI8" s="12">
        <v>15</v>
      </c>
      <c r="DJ8" s="12">
        <v>6</v>
      </c>
      <c r="DK8" s="12">
        <v>14</v>
      </c>
      <c r="DL8" s="12">
        <v>14</v>
      </c>
      <c r="DM8" s="12">
        <v>8</v>
      </c>
      <c r="DN8" s="12">
        <v>10</v>
      </c>
      <c r="DO8" s="12">
        <v>19</v>
      </c>
      <c r="DP8" s="12">
        <v>9</v>
      </c>
      <c r="DQ8" s="12">
        <v>7</v>
      </c>
      <c r="DR8" s="12">
        <v>3</v>
      </c>
      <c r="DS8" s="12">
        <v>5</v>
      </c>
      <c r="DT8" s="12">
        <v>1</v>
      </c>
      <c r="DU8" s="12">
        <v>2</v>
      </c>
      <c r="DV8" s="12">
        <v>4</v>
      </c>
      <c r="DW8" s="12">
        <v>1</v>
      </c>
      <c r="DX8" s="12">
        <v>1</v>
      </c>
      <c r="DY8" s="12">
        <v>1</v>
      </c>
      <c r="DZ8" s="12">
        <v>2</v>
      </c>
      <c r="EA8" s="12">
        <v>2</v>
      </c>
      <c r="EB8" s="12">
        <v>3</v>
      </c>
      <c r="EC8" s="12">
        <v>1</v>
      </c>
      <c r="ED8" s="12">
        <v>1</v>
      </c>
      <c r="EE8" s="12">
        <v>2</v>
      </c>
      <c r="EF8" s="12">
        <v>0</v>
      </c>
      <c r="EG8" s="12">
        <v>1</v>
      </c>
      <c r="EH8" s="12">
        <v>2</v>
      </c>
      <c r="EI8" s="12">
        <v>2</v>
      </c>
      <c r="EJ8" s="12">
        <v>2</v>
      </c>
      <c r="EK8" s="12">
        <v>1</v>
      </c>
      <c r="EL8" s="12">
        <v>3</v>
      </c>
      <c r="EM8" s="12">
        <v>0</v>
      </c>
      <c r="EN8" s="12">
        <v>1</v>
      </c>
      <c r="EO8" s="12">
        <v>4</v>
      </c>
      <c r="EP8" s="12" t="str">
        <f t="shared" si="0"/>
        <v>🟠 Bajo</v>
      </c>
      <c r="EQ8" s="23">
        <f t="shared" si="1"/>
        <v>2.3333333333333335</v>
      </c>
      <c r="ER8" s="19">
        <f t="shared" si="2"/>
        <v>47301.229999999996</v>
      </c>
      <c r="ES8" s="12">
        <f t="shared" si="3"/>
        <v>61</v>
      </c>
      <c r="ET8" s="23">
        <f t="shared" si="4"/>
        <v>52</v>
      </c>
      <c r="EU8" s="23">
        <f t="shared" si="5"/>
        <v>48</v>
      </c>
      <c r="EV8" s="23">
        <f t="shared" si="6"/>
        <v>10.220000000000001</v>
      </c>
      <c r="EW8" s="23"/>
      <c r="EX8" s="12">
        <v>26</v>
      </c>
      <c r="EY8" s="19" cm="1">
        <f t="array" ref="EY8:FC8">VLOOKUP(_xlfn.SINGLE(B:B),'[1]Price List'!$B:$N,{8,4,5,6,7},0)</f>
        <v>775.43</v>
      </c>
      <c r="EZ8" s="9" t="str">
        <v>Nomad Rocky Point Band - 45mm | Atlantic</v>
      </c>
      <c r="FA8" s="12" t="str">
        <v>Straps</v>
      </c>
      <c r="FB8" s="12" t="str">
        <v>Apple Watch</v>
      </c>
      <c r="FC8" s="12" t="str">
        <v>49/45/44 mm</v>
      </c>
      <c r="FD8" s="23" t="str">
        <f>_xlfn.XLOOKUP(B:B,'[1]Price List'!$B:$B,'[1]Price List'!$A:$A)</f>
        <v>Nomad</v>
      </c>
    </row>
    <row r="9" spans="1:160" s="9" customFormat="1" x14ac:dyDescent="0.2">
      <c r="A9" s="23" t="s">
        <v>598</v>
      </c>
      <c r="B9" s="23">
        <v>856500013596</v>
      </c>
      <c r="C9" s="9" t="s">
        <v>415</v>
      </c>
      <c r="D9" s="9" t="s">
        <v>643</v>
      </c>
      <c r="E9" s="9" t="s">
        <v>635</v>
      </c>
      <c r="F9" s="9" t="s">
        <v>606</v>
      </c>
      <c r="G9" s="9" t="s">
        <v>672</v>
      </c>
      <c r="H9" s="10" t="s">
        <v>418</v>
      </c>
      <c r="I9" s="11">
        <v>1799</v>
      </c>
      <c r="J9" s="21">
        <v>775.43</v>
      </c>
      <c r="K9" s="62">
        <v>0</v>
      </c>
      <c r="L9" s="12">
        <v>0</v>
      </c>
      <c r="M9" s="13" t="s">
        <v>467</v>
      </c>
      <c r="N9" s="13" t="s">
        <v>475</v>
      </c>
      <c r="O9" s="14"/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0</v>
      </c>
      <c r="X9" s="12">
        <v>0</v>
      </c>
      <c r="Y9" s="12">
        <v>0</v>
      </c>
      <c r="Z9" s="12">
        <v>0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  <c r="AI9" s="12">
        <v>0</v>
      </c>
      <c r="AJ9" s="12">
        <v>0</v>
      </c>
      <c r="AK9" s="12">
        <v>0</v>
      </c>
      <c r="AL9" s="12">
        <v>0</v>
      </c>
      <c r="AM9" s="12">
        <v>0</v>
      </c>
      <c r="AN9" s="12">
        <v>0</v>
      </c>
      <c r="AO9" s="12">
        <v>0</v>
      </c>
      <c r="AP9" s="12">
        <v>0</v>
      </c>
      <c r="AQ9" s="12">
        <v>0</v>
      </c>
      <c r="AR9" s="12">
        <v>0</v>
      </c>
      <c r="AS9" s="12">
        <v>0</v>
      </c>
      <c r="AT9" s="12">
        <v>0</v>
      </c>
      <c r="AU9" s="12">
        <v>0</v>
      </c>
      <c r="AV9" s="12">
        <v>0</v>
      </c>
      <c r="AW9" s="12">
        <v>0</v>
      </c>
      <c r="AX9" s="12">
        <v>0</v>
      </c>
      <c r="AY9" s="12">
        <v>0</v>
      </c>
      <c r="AZ9" s="12">
        <v>0</v>
      </c>
      <c r="BA9" s="12">
        <v>0</v>
      </c>
      <c r="BB9" s="12">
        <v>0</v>
      </c>
      <c r="BC9" s="12">
        <v>0</v>
      </c>
      <c r="BD9" s="12">
        <v>13</v>
      </c>
      <c r="BE9" s="12">
        <v>69</v>
      </c>
      <c r="BF9" s="12">
        <v>43</v>
      </c>
      <c r="BG9" s="12">
        <v>36</v>
      </c>
      <c r="BH9" s="12">
        <v>25</v>
      </c>
      <c r="BI9" s="12">
        <v>22</v>
      </c>
      <c r="BJ9" s="12">
        <v>24</v>
      </c>
      <c r="BK9" s="12">
        <v>20</v>
      </c>
      <c r="BL9" s="12">
        <v>16</v>
      </c>
      <c r="BM9" s="12">
        <v>16</v>
      </c>
      <c r="BN9" s="12">
        <v>18</v>
      </c>
      <c r="BO9" s="12">
        <v>24</v>
      </c>
      <c r="BP9" s="12">
        <v>38</v>
      </c>
      <c r="BQ9" s="12">
        <v>27</v>
      </c>
      <c r="BR9" s="12">
        <v>17</v>
      </c>
      <c r="BS9" s="12">
        <v>15</v>
      </c>
      <c r="BT9" s="12">
        <v>5</v>
      </c>
      <c r="BU9" s="12">
        <v>10</v>
      </c>
      <c r="BV9" s="12">
        <v>4</v>
      </c>
      <c r="BW9" s="12">
        <v>6</v>
      </c>
      <c r="BX9" s="12">
        <v>6</v>
      </c>
      <c r="BY9" s="12">
        <v>3</v>
      </c>
      <c r="BZ9" s="12">
        <v>25</v>
      </c>
      <c r="CA9" s="12">
        <v>26</v>
      </c>
      <c r="CB9" s="12">
        <v>20</v>
      </c>
      <c r="CC9" s="12">
        <v>24</v>
      </c>
      <c r="CD9" s="12">
        <v>18</v>
      </c>
      <c r="CE9" s="12">
        <v>30</v>
      </c>
      <c r="CF9" s="12">
        <v>21</v>
      </c>
      <c r="CG9" s="12">
        <v>25</v>
      </c>
      <c r="CH9" s="12">
        <v>21</v>
      </c>
      <c r="CI9" s="12">
        <v>20</v>
      </c>
      <c r="CJ9" s="12">
        <v>24</v>
      </c>
      <c r="CK9" s="12">
        <v>15</v>
      </c>
      <c r="CL9" s="12">
        <v>28</v>
      </c>
      <c r="CM9" s="12">
        <v>23</v>
      </c>
      <c r="CN9" s="12">
        <v>19</v>
      </c>
      <c r="CO9" s="12">
        <v>17</v>
      </c>
      <c r="CP9" s="12">
        <v>21</v>
      </c>
      <c r="CQ9" s="12">
        <v>22</v>
      </c>
      <c r="CR9" s="12">
        <v>23</v>
      </c>
      <c r="CS9" s="12">
        <v>25</v>
      </c>
      <c r="CT9" s="12">
        <v>23</v>
      </c>
      <c r="CU9" s="12">
        <v>23</v>
      </c>
      <c r="CV9" s="12">
        <v>27</v>
      </c>
      <c r="CW9" s="12">
        <v>14</v>
      </c>
      <c r="CX9" s="12">
        <v>18</v>
      </c>
      <c r="CY9" s="12">
        <v>17</v>
      </c>
      <c r="CZ9" s="12">
        <v>6</v>
      </c>
      <c r="DA9" s="12">
        <v>17</v>
      </c>
      <c r="DB9" s="12">
        <v>15</v>
      </c>
      <c r="DC9" s="12">
        <v>14</v>
      </c>
      <c r="DD9" s="12">
        <v>28</v>
      </c>
      <c r="DE9" s="12">
        <v>26</v>
      </c>
      <c r="DF9" s="12">
        <v>35</v>
      </c>
      <c r="DG9" s="12">
        <v>33</v>
      </c>
      <c r="DH9" s="12">
        <v>18</v>
      </c>
      <c r="DI9" s="12">
        <v>28</v>
      </c>
      <c r="DJ9" s="12">
        <v>25</v>
      </c>
      <c r="DK9" s="12">
        <v>19</v>
      </c>
      <c r="DL9" s="12">
        <v>14</v>
      </c>
      <c r="DM9" s="12">
        <v>18</v>
      </c>
      <c r="DN9" s="12">
        <v>24</v>
      </c>
      <c r="DO9" s="12">
        <v>16</v>
      </c>
      <c r="DP9" s="12">
        <v>10</v>
      </c>
      <c r="DQ9" s="12">
        <v>15</v>
      </c>
      <c r="DR9" s="12">
        <v>4</v>
      </c>
      <c r="DS9" s="12">
        <v>5</v>
      </c>
      <c r="DT9" s="12">
        <v>4</v>
      </c>
      <c r="DU9" s="12">
        <v>6</v>
      </c>
      <c r="DV9" s="12">
        <v>2</v>
      </c>
      <c r="DW9" s="12">
        <v>2</v>
      </c>
      <c r="DX9" s="12">
        <v>1</v>
      </c>
      <c r="DY9" s="12">
        <v>0</v>
      </c>
      <c r="DZ9" s="12">
        <v>2</v>
      </c>
      <c r="EA9" s="12">
        <v>0</v>
      </c>
      <c r="EB9" s="12">
        <v>3</v>
      </c>
      <c r="EC9" s="12">
        <v>1</v>
      </c>
      <c r="ED9" s="12">
        <v>2</v>
      </c>
      <c r="EE9" s="12">
        <v>2</v>
      </c>
      <c r="EF9" s="12">
        <v>1</v>
      </c>
      <c r="EG9" s="12">
        <v>0</v>
      </c>
      <c r="EH9" s="12">
        <v>0</v>
      </c>
      <c r="EI9" s="12">
        <v>0</v>
      </c>
      <c r="EJ9" s="12">
        <v>0</v>
      </c>
      <c r="EK9" s="12">
        <v>0</v>
      </c>
      <c r="EL9" s="12">
        <v>2</v>
      </c>
      <c r="EM9" s="12">
        <v>2</v>
      </c>
      <c r="EN9" s="12">
        <v>1</v>
      </c>
      <c r="EO9" s="12">
        <v>0</v>
      </c>
      <c r="EP9" s="12" t="str">
        <f t="shared" si="0"/>
        <v>🟠 Bajo</v>
      </c>
      <c r="EQ9" s="23">
        <f t="shared" si="1"/>
        <v>2.6666666666666665</v>
      </c>
      <c r="ER9" s="19">
        <f t="shared" si="2"/>
        <v>50402.95</v>
      </c>
      <c r="ES9" s="12">
        <f t="shared" si="3"/>
        <v>65</v>
      </c>
      <c r="ET9" s="23">
        <f t="shared" si="4"/>
        <v>87</v>
      </c>
      <c r="EU9" s="23">
        <f t="shared" si="5"/>
        <v>81</v>
      </c>
      <c r="EV9" s="23">
        <f t="shared" si="6"/>
        <v>13.33</v>
      </c>
      <c r="EW9" s="23"/>
      <c r="EX9" s="12">
        <v>18</v>
      </c>
      <c r="EY9" s="19" cm="1">
        <f t="array" ref="EY9:FC9">VLOOKUP(_xlfn.SINGLE(B:B),'[1]Price List'!$B:$N,{8,4,5,6,7},0)</f>
        <v>775.43</v>
      </c>
      <c r="EZ9" s="9" t="str">
        <v>Nomad Rocky Point Band - 45mm | Storm</v>
      </c>
      <c r="FA9" s="12" t="str">
        <v>Straps</v>
      </c>
      <c r="FB9" s="12" t="str">
        <v>Apple Watch</v>
      </c>
      <c r="FC9" s="12" t="str">
        <v>49/45/44 mm</v>
      </c>
      <c r="FD9" s="23" t="str">
        <f>_xlfn.XLOOKUP(B:B,'[1]Price List'!$B:$B,'[1]Price List'!$A:$A)</f>
        <v>Nomad</v>
      </c>
    </row>
    <row r="10" spans="1:160" s="9" customFormat="1" x14ac:dyDescent="0.2">
      <c r="A10" s="23" t="s">
        <v>598</v>
      </c>
      <c r="B10" s="23">
        <v>856504014803</v>
      </c>
      <c r="C10" s="9" t="s">
        <v>649</v>
      </c>
      <c r="D10" s="9" t="s">
        <v>643</v>
      </c>
      <c r="E10" s="9" t="s">
        <v>635</v>
      </c>
      <c r="F10" s="9" t="s">
        <v>606</v>
      </c>
      <c r="G10" s="9" t="s">
        <v>336</v>
      </c>
      <c r="H10" s="10" t="s">
        <v>651</v>
      </c>
      <c r="I10" s="11">
        <v>1799</v>
      </c>
      <c r="J10" s="21">
        <v>775.43</v>
      </c>
      <c r="K10" s="62">
        <v>0</v>
      </c>
      <c r="L10" s="12">
        <v>0</v>
      </c>
      <c r="M10" s="13" t="s">
        <v>466</v>
      </c>
      <c r="N10" s="13" t="s">
        <v>383</v>
      </c>
      <c r="O10" s="14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>
        <v>25</v>
      </c>
      <c r="DX10" s="12">
        <v>19</v>
      </c>
      <c r="DY10" s="12">
        <v>22</v>
      </c>
      <c r="DZ10" s="12">
        <v>15</v>
      </c>
      <c r="EA10" s="12">
        <v>21</v>
      </c>
      <c r="EB10" s="12">
        <v>21</v>
      </c>
      <c r="EC10" s="12">
        <v>16</v>
      </c>
      <c r="ED10" s="12">
        <v>22</v>
      </c>
      <c r="EE10" s="12">
        <v>19</v>
      </c>
      <c r="EF10" s="12">
        <v>19</v>
      </c>
      <c r="EG10" s="12">
        <v>17</v>
      </c>
      <c r="EH10" s="12">
        <v>26</v>
      </c>
      <c r="EI10" s="12">
        <v>30</v>
      </c>
      <c r="EJ10" s="12">
        <v>31</v>
      </c>
      <c r="EK10" s="12">
        <v>24</v>
      </c>
      <c r="EL10" s="12">
        <v>19</v>
      </c>
      <c r="EM10" s="12">
        <v>15</v>
      </c>
      <c r="EN10" s="12">
        <v>22</v>
      </c>
      <c r="EO10" s="12">
        <v>15</v>
      </c>
      <c r="EP10" s="12" t="str">
        <f t="shared" si="0"/>
        <v>🟢 Bien</v>
      </c>
      <c r="EQ10" s="23">
        <f t="shared" si="1"/>
        <v>21.235294117647058</v>
      </c>
      <c r="ER10" s="19">
        <f t="shared" si="2"/>
        <v>308621.13999999996</v>
      </c>
      <c r="ES10" s="12">
        <f t="shared" si="3"/>
        <v>398</v>
      </c>
      <c r="ET10" s="23">
        <v>0</v>
      </c>
      <c r="EU10" s="23">
        <v>0</v>
      </c>
      <c r="EV10" s="23">
        <f t="shared" si="6"/>
        <v>78.55</v>
      </c>
      <c r="EW10" s="23"/>
      <c r="EX10" s="12">
        <v>189</v>
      </c>
      <c r="EY10" s="19" cm="1">
        <f t="array" ref="EY10:FC10">VLOOKUP(_xlfn.SINGLE(B:B),'[1]Price List'!$B:$N,{8,4,5,6,7},0)</f>
        <v>775.43</v>
      </c>
      <c r="EZ10" s="9" t="str">
        <v>Nomad Rocky Point Band - 46mm/49mm | Storm | Black Hardware</v>
      </c>
      <c r="FA10" s="12" t="str">
        <v>Straps</v>
      </c>
      <c r="FB10" s="12" t="str">
        <v>APPLE WATCH</v>
      </c>
      <c r="FC10" s="12" t="str">
        <v>49/45/44/42 mm</v>
      </c>
      <c r="FD10" s="23" t="str">
        <f>_xlfn.XLOOKUP(B:B,'[1]Price List'!$B:$B,'[1]Price List'!$A:$A)</f>
        <v>Nomad</v>
      </c>
    </row>
    <row r="11" spans="1:160" s="9" customFormat="1" x14ac:dyDescent="0.2">
      <c r="A11" s="23" t="s">
        <v>598</v>
      </c>
      <c r="B11" s="23">
        <v>856504014827</v>
      </c>
      <c r="C11" s="9" t="s">
        <v>650</v>
      </c>
      <c r="D11" s="9" t="s">
        <v>643</v>
      </c>
      <c r="E11" s="9" t="s">
        <v>635</v>
      </c>
      <c r="F11" s="9" t="s">
        <v>606</v>
      </c>
      <c r="G11" s="9" t="s">
        <v>336</v>
      </c>
      <c r="H11" s="10" t="s">
        <v>652</v>
      </c>
      <c r="I11" s="11">
        <v>1799</v>
      </c>
      <c r="J11" s="21">
        <v>775.43</v>
      </c>
      <c r="K11" s="62">
        <v>0</v>
      </c>
      <c r="L11" s="12">
        <v>0</v>
      </c>
      <c r="M11" s="13" t="s">
        <v>466</v>
      </c>
      <c r="N11" s="13" t="s">
        <v>383</v>
      </c>
      <c r="O11" s="14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>
        <v>8</v>
      </c>
      <c r="DX11" s="12">
        <v>16</v>
      </c>
      <c r="DY11" s="12">
        <v>9</v>
      </c>
      <c r="DZ11" s="12">
        <v>10</v>
      </c>
      <c r="EA11" s="12">
        <v>8</v>
      </c>
      <c r="EB11" s="12">
        <v>10</v>
      </c>
      <c r="EC11" s="12">
        <v>16</v>
      </c>
      <c r="ED11" s="12">
        <v>13</v>
      </c>
      <c r="EE11" s="12">
        <v>10</v>
      </c>
      <c r="EF11" s="12">
        <v>14</v>
      </c>
      <c r="EG11" s="12">
        <v>11</v>
      </c>
      <c r="EH11" s="12">
        <v>14</v>
      </c>
      <c r="EI11" s="12">
        <v>12</v>
      </c>
      <c r="EJ11" s="12">
        <v>9</v>
      </c>
      <c r="EK11" s="12">
        <v>10</v>
      </c>
      <c r="EL11" s="12">
        <v>9</v>
      </c>
      <c r="EM11" s="12">
        <v>8</v>
      </c>
      <c r="EN11" s="12">
        <v>12</v>
      </c>
      <c r="EO11" s="12">
        <v>13</v>
      </c>
      <c r="EP11" s="12" t="str">
        <f t="shared" si="0"/>
        <v>🟢 Bien</v>
      </c>
      <c r="EQ11" s="23">
        <f t="shared" si="1"/>
        <v>11</v>
      </c>
      <c r="ER11" s="19">
        <f t="shared" si="2"/>
        <v>164391.16</v>
      </c>
      <c r="ES11" s="12">
        <f t="shared" si="3"/>
        <v>212</v>
      </c>
      <c r="ET11" s="23">
        <v>0</v>
      </c>
      <c r="EU11" s="23">
        <v>0</v>
      </c>
      <c r="EV11" s="23">
        <f t="shared" si="6"/>
        <v>45.45</v>
      </c>
      <c r="EW11" s="23"/>
      <c r="EX11" s="12">
        <v>132</v>
      </c>
      <c r="EY11" s="19" cm="1">
        <f t="array" ref="EY11:FC11">VLOOKUP(_xlfn.SINGLE(B:B),'[1]Price List'!$B:$N,{8,4,5,6,7},0)</f>
        <v>775.43</v>
      </c>
      <c r="EZ11" s="9" t="str">
        <v>Nomad Rocky Point Band - 46mm/49mm | Atlantic | Black Hardware</v>
      </c>
      <c r="FA11" s="12" t="str">
        <v>Straps</v>
      </c>
      <c r="FB11" s="12" t="str">
        <v>APPLE WATCH</v>
      </c>
      <c r="FC11" s="12" t="str">
        <v>49/45/44/42 mm</v>
      </c>
      <c r="FD11" s="23" t="str">
        <f>_xlfn.XLOOKUP(B:B,'[1]Price List'!$B:$B,'[1]Price List'!$A:$A)</f>
        <v>Nomad</v>
      </c>
    </row>
    <row r="12" spans="1:160" s="9" customFormat="1" x14ac:dyDescent="0.2">
      <c r="A12" s="23" t="s">
        <v>599</v>
      </c>
      <c r="B12" s="23">
        <v>840168532865</v>
      </c>
      <c r="C12" s="9" t="s">
        <v>255</v>
      </c>
      <c r="D12" s="9" t="s">
        <v>644</v>
      </c>
      <c r="E12" s="9" t="s">
        <v>301</v>
      </c>
      <c r="F12" s="9" t="s">
        <v>301</v>
      </c>
      <c r="G12" s="9" t="s">
        <v>685</v>
      </c>
      <c r="H12" s="12" t="s">
        <v>256</v>
      </c>
      <c r="I12" s="12">
        <v>999</v>
      </c>
      <c r="J12" s="11">
        <v>387.54</v>
      </c>
      <c r="K12" s="62">
        <v>0</v>
      </c>
      <c r="L12" s="12">
        <v>0</v>
      </c>
      <c r="M12" s="13" t="s">
        <v>466</v>
      </c>
      <c r="N12" s="13" t="s">
        <v>383</v>
      </c>
      <c r="O12" s="27" t="s">
        <v>250</v>
      </c>
      <c r="P12" s="12">
        <v>9</v>
      </c>
      <c r="Q12" s="12">
        <v>4</v>
      </c>
      <c r="R12" s="12">
        <v>5</v>
      </c>
      <c r="S12" s="12">
        <v>10</v>
      </c>
      <c r="T12" s="12">
        <v>13</v>
      </c>
      <c r="U12" s="12">
        <v>15</v>
      </c>
      <c r="V12" s="12">
        <v>18</v>
      </c>
      <c r="W12" s="12">
        <v>20</v>
      </c>
      <c r="X12" s="12">
        <v>18</v>
      </c>
      <c r="Y12" s="12">
        <v>10</v>
      </c>
      <c r="Z12" s="12">
        <v>21</v>
      </c>
      <c r="AA12" s="12">
        <v>30</v>
      </c>
      <c r="AB12" s="12">
        <v>27</v>
      </c>
      <c r="AC12" s="12">
        <v>20</v>
      </c>
      <c r="AD12" s="12">
        <v>21</v>
      </c>
      <c r="AE12" s="12">
        <v>12</v>
      </c>
      <c r="AF12" s="12">
        <v>11</v>
      </c>
      <c r="AG12" s="12">
        <v>9</v>
      </c>
      <c r="AH12" s="12">
        <v>12</v>
      </c>
      <c r="AI12" s="12">
        <v>1</v>
      </c>
      <c r="AJ12" s="12">
        <v>10</v>
      </c>
      <c r="AK12" s="12">
        <v>11</v>
      </c>
      <c r="AL12" s="12">
        <v>8</v>
      </c>
      <c r="AM12" s="12">
        <v>3</v>
      </c>
      <c r="AN12" s="12">
        <v>8</v>
      </c>
      <c r="AO12" s="12">
        <v>5</v>
      </c>
      <c r="AP12" s="12">
        <v>3</v>
      </c>
      <c r="AQ12" s="12">
        <v>2</v>
      </c>
      <c r="AR12" s="12">
        <v>6</v>
      </c>
      <c r="AS12" s="12">
        <v>8</v>
      </c>
      <c r="AT12" s="12">
        <v>8</v>
      </c>
      <c r="AU12" s="12">
        <v>11</v>
      </c>
      <c r="AV12" s="12">
        <v>2</v>
      </c>
      <c r="AW12" s="12">
        <v>7</v>
      </c>
      <c r="AX12" s="12">
        <v>9</v>
      </c>
      <c r="AY12" s="12">
        <v>7</v>
      </c>
      <c r="AZ12" s="12">
        <v>6</v>
      </c>
      <c r="BA12" s="12">
        <v>6</v>
      </c>
      <c r="BB12" s="12">
        <v>10</v>
      </c>
      <c r="BC12" s="12">
        <v>5</v>
      </c>
      <c r="BD12" s="12">
        <v>4</v>
      </c>
      <c r="BE12" s="12">
        <v>6</v>
      </c>
      <c r="BF12" s="12">
        <v>4</v>
      </c>
      <c r="BG12" s="12">
        <v>2</v>
      </c>
      <c r="BH12" s="12">
        <v>2</v>
      </c>
      <c r="BI12" s="12">
        <v>2</v>
      </c>
      <c r="BJ12" s="12">
        <v>5</v>
      </c>
      <c r="BK12" s="12">
        <v>8</v>
      </c>
      <c r="BL12" s="12">
        <v>4</v>
      </c>
      <c r="BM12" s="12">
        <v>3</v>
      </c>
      <c r="BN12" s="12">
        <v>4</v>
      </c>
      <c r="BO12" s="12">
        <v>4</v>
      </c>
      <c r="BP12" s="12">
        <v>1</v>
      </c>
      <c r="BQ12" s="12">
        <v>4</v>
      </c>
      <c r="BR12" s="12">
        <v>3</v>
      </c>
      <c r="BS12" s="12">
        <v>0</v>
      </c>
      <c r="BT12" s="12">
        <v>0</v>
      </c>
      <c r="BU12" s="12">
        <v>0</v>
      </c>
      <c r="BV12" s="12">
        <v>7</v>
      </c>
      <c r="BW12" s="12">
        <v>26</v>
      </c>
      <c r="BX12" s="12">
        <v>15</v>
      </c>
      <c r="BY12" s="12">
        <v>8</v>
      </c>
      <c r="BZ12" s="12">
        <v>8</v>
      </c>
      <c r="CA12" s="12">
        <v>5</v>
      </c>
      <c r="CB12" s="12">
        <v>5</v>
      </c>
      <c r="CC12" s="12">
        <v>4</v>
      </c>
      <c r="CD12" s="12">
        <v>2</v>
      </c>
      <c r="CE12" s="12">
        <v>5</v>
      </c>
      <c r="CF12" s="12">
        <v>1</v>
      </c>
      <c r="CG12" s="12">
        <v>1</v>
      </c>
      <c r="CH12" s="12">
        <v>2</v>
      </c>
      <c r="CI12" s="12">
        <v>5</v>
      </c>
      <c r="CJ12" s="12">
        <v>9</v>
      </c>
      <c r="CK12" s="12">
        <v>7</v>
      </c>
      <c r="CL12" s="12">
        <v>6</v>
      </c>
      <c r="CM12" s="12">
        <v>8</v>
      </c>
      <c r="CN12" s="12">
        <v>6</v>
      </c>
      <c r="CO12" s="12">
        <v>7</v>
      </c>
      <c r="CP12" s="12">
        <v>7</v>
      </c>
      <c r="CQ12" s="12">
        <v>8</v>
      </c>
      <c r="CR12" s="12">
        <v>6</v>
      </c>
      <c r="CS12" s="12">
        <v>6</v>
      </c>
      <c r="CT12" s="12">
        <v>12</v>
      </c>
      <c r="CU12" s="12">
        <v>11</v>
      </c>
      <c r="CV12" s="12">
        <v>9</v>
      </c>
      <c r="CW12" s="12">
        <v>5</v>
      </c>
      <c r="CX12" s="12">
        <v>6</v>
      </c>
      <c r="CY12" s="12">
        <v>13</v>
      </c>
      <c r="CZ12" s="12">
        <v>4</v>
      </c>
      <c r="DA12" s="12">
        <v>6</v>
      </c>
      <c r="DB12" s="12">
        <v>11</v>
      </c>
      <c r="DC12" s="12">
        <v>5</v>
      </c>
      <c r="DD12" s="12">
        <v>3</v>
      </c>
      <c r="DE12" s="12">
        <v>2</v>
      </c>
      <c r="DF12" s="12">
        <v>7</v>
      </c>
      <c r="DG12" s="12">
        <v>8</v>
      </c>
      <c r="DH12" s="12">
        <v>9</v>
      </c>
      <c r="DI12" s="12">
        <v>12</v>
      </c>
      <c r="DJ12" s="12">
        <v>8</v>
      </c>
      <c r="DK12" s="12">
        <v>8</v>
      </c>
      <c r="DL12" s="12">
        <v>11</v>
      </c>
      <c r="DM12" s="12">
        <v>7</v>
      </c>
      <c r="DN12" s="12">
        <v>10</v>
      </c>
      <c r="DO12" s="12">
        <v>11</v>
      </c>
      <c r="DP12" s="12">
        <v>9</v>
      </c>
      <c r="DQ12" s="12">
        <v>0</v>
      </c>
      <c r="DR12" s="12">
        <v>4</v>
      </c>
      <c r="DS12" s="12">
        <v>1</v>
      </c>
      <c r="DT12" s="12">
        <v>3</v>
      </c>
      <c r="DU12" s="12">
        <v>1</v>
      </c>
      <c r="DV12" s="12">
        <v>4</v>
      </c>
      <c r="DW12" s="12">
        <v>2</v>
      </c>
      <c r="DX12" s="12">
        <v>3</v>
      </c>
      <c r="DY12" s="12">
        <v>1</v>
      </c>
      <c r="DZ12" s="12">
        <v>2</v>
      </c>
      <c r="EA12" s="12">
        <v>1</v>
      </c>
      <c r="EB12" s="12">
        <v>0</v>
      </c>
      <c r="EC12" s="12">
        <v>1</v>
      </c>
      <c r="ED12" s="12">
        <v>0</v>
      </c>
      <c r="EE12" s="12">
        <v>1</v>
      </c>
      <c r="EF12" s="12">
        <v>0</v>
      </c>
      <c r="EG12" s="12">
        <v>6</v>
      </c>
      <c r="EH12" s="12">
        <v>11</v>
      </c>
      <c r="EI12" s="12">
        <v>10</v>
      </c>
      <c r="EJ12" s="12">
        <v>9</v>
      </c>
      <c r="EK12" s="12">
        <v>11</v>
      </c>
      <c r="EL12" s="12">
        <v>8</v>
      </c>
      <c r="EM12" s="12">
        <v>9</v>
      </c>
      <c r="EN12" s="12">
        <v>8</v>
      </c>
      <c r="EO12" s="12">
        <v>11</v>
      </c>
      <c r="EP12" s="12" t="str">
        <f>IF(EL12=0,"🔴 Sin venta",IF(EL12&lt;EQ185*0.8,"🟠 Bajo",IF(EL185&lt;=EQ12*1.2,"🟢 Bien","🔵 Sobre promedio")))</f>
        <v>🟢 Bien</v>
      </c>
      <c r="EQ12" s="23">
        <f t="shared" si="1"/>
        <v>4.041666666666667</v>
      </c>
      <c r="ER12" s="19">
        <f t="shared" si="2"/>
        <v>44954.64</v>
      </c>
      <c r="ES12" s="12">
        <f t="shared" si="3"/>
        <v>116</v>
      </c>
      <c r="ET12" s="23">
        <f>ROUND((AVERAGE(CZ12:DG12)*4),2)</f>
        <v>23</v>
      </c>
      <c r="EU12" s="23">
        <f>ROUND((AVERAGE(DH12:DO12)*4),2)</f>
        <v>38</v>
      </c>
      <c r="EV12" s="23">
        <f>ROUND((AVERAGE(DP12:ED12)*4),2)</f>
        <v>8.5299999999999994</v>
      </c>
      <c r="EW12" s="23"/>
      <c r="EX12" s="12">
        <v>137</v>
      </c>
      <c r="EY12" s="19" cm="1">
        <f t="array" ref="EY12:FC12">VLOOKUP(_xlfn.SINGLE(B:B),'[1]Price List'!$B:$N,{8,4,5,6,7},0)</f>
        <v>387.54</v>
      </c>
      <c r="EZ12" s="9" t="str">
        <v>Speck Presidio® Perfect-Clear Grip Magsafe® Clicklock™ Clear/Clear/Chrome iPhone 15</v>
      </c>
      <c r="FA12" s="12" t="str">
        <v>Cases iPhone</v>
      </c>
      <c r="FB12" s="12" t="str">
        <v>iPhone 15</v>
      </c>
      <c r="FC12" s="12" t="str">
        <v>iPhone 16e / 15 / 14 / 13</v>
      </c>
      <c r="FD12" s="23" t="str">
        <f>_xlfn.XLOOKUP(B:B,'[1]Price List'!$B:$B,'[1]Price List'!$A:$A)</f>
        <v>Speck</v>
      </c>
    </row>
    <row r="13" spans="1:160" s="9" customFormat="1" x14ac:dyDescent="0.2">
      <c r="A13" s="23" t="s">
        <v>600</v>
      </c>
      <c r="B13" s="28">
        <v>5056586724309</v>
      </c>
      <c r="C13" s="9" t="s">
        <v>548</v>
      </c>
      <c r="D13" s="9" t="s">
        <v>644</v>
      </c>
      <c r="E13" s="9" t="s">
        <v>623</v>
      </c>
      <c r="F13" s="9" t="s">
        <v>623</v>
      </c>
      <c r="G13" s="9" t="s">
        <v>685</v>
      </c>
      <c r="H13" s="28" t="s">
        <v>462</v>
      </c>
      <c r="I13" s="29">
        <v>499</v>
      </c>
      <c r="J13" s="11">
        <v>215.09</v>
      </c>
      <c r="K13" s="62">
        <v>0</v>
      </c>
      <c r="L13" s="12">
        <v>0</v>
      </c>
      <c r="M13" s="13" t="s">
        <v>466</v>
      </c>
      <c r="N13" s="13" t="s">
        <v>383</v>
      </c>
      <c r="O13" s="27"/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>
        <v>0</v>
      </c>
      <c r="AD13" s="12">
        <v>0</v>
      </c>
      <c r="AE13" s="12">
        <v>0</v>
      </c>
      <c r="AF13" s="12">
        <v>0</v>
      </c>
      <c r="AG13" s="12">
        <v>0</v>
      </c>
      <c r="AH13" s="12">
        <v>0</v>
      </c>
      <c r="AI13" s="12">
        <v>0</v>
      </c>
      <c r="AJ13" s="12">
        <v>0</v>
      </c>
      <c r="AK13" s="12">
        <v>0</v>
      </c>
      <c r="AL13" s="12">
        <v>0</v>
      </c>
      <c r="AM13" s="12">
        <v>0</v>
      </c>
      <c r="AN13" s="12">
        <v>0</v>
      </c>
      <c r="AO13" s="12">
        <v>0</v>
      </c>
      <c r="AP13" s="12">
        <v>0</v>
      </c>
      <c r="AQ13" s="12">
        <v>0</v>
      </c>
      <c r="AR13" s="12">
        <v>0</v>
      </c>
      <c r="AS13" s="12">
        <v>0</v>
      </c>
      <c r="AT13" s="12">
        <v>0</v>
      </c>
      <c r="AU13" s="12">
        <v>0</v>
      </c>
      <c r="AV13" s="12">
        <v>0</v>
      </c>
      <c r="AW13" s="12">
        <v>0</v>
      </c>
      <c r="AX13" s="12">
        <v>0</v>
      </c>
      <c r="AY13" s="12">
        <v>0</v>
      </c>
      <c r="AZ13" s="12">
        <v>0</v>
      </c>
      <c r="BA13" s="12">
        <v>0</v>
      </c>
      <c r="BB13" s="12">
        <v>0</v>
      </c>
      <c r="BC13" s="12">
        <v>0</v>
      </c>
      <c r="BD13" s="12">
        <v>0</v>
      </c>
      <c r="BE13" s="12">
        <v>0</v>
      </c>
      <c r="BF13" s="12">
        <v>0</v>
      </c>
      <c r="BG13" s="12">
        <v>0</v>
      </c>
      <c r="BH13" s="12">
        <v>0</v>
      </c>
      <c r="BI13" s="12">
        <v>0</v>
      </c>
      <c r="BJ13" s="12">
        <v>0</v>
      </c>
      <c r="BK13" s="12">
        <v>0</v>
      </c>
      <c r="BL13" s="12">
        <v>0</v>
      </c>
      <c r="BM13" s="12">
        <v>0</v>
      </c>
      <c r="BN13" s="12">
        <v>0</v>
      </c>
      <c r="BO13" s="12">
        <v>0</v>
      </c>
      <c r="BP13" s="12">
        <v>0</v>
      </c>
      <c r="BQ13" s="12">
        <v>0</v>
      </c>
      <c r="BR13" s="12">
        <v>0</v>
      </c>
      <c r="BS13" s="12">
        <v>0</v>
      </c>
      <c r="BT13" s="12">
        <v>0</v>
      </c>
      <c r="BU13" s="12">
        <v>0</v>
      </c>
      <c r="BV13" s="12">
        <v>0</v>
      </c>
      <c r="BW13" s="12">
        <v>0</v>
      </c>
      <c r="BX13" s="12">
        <v>0</v>
      </c>
      <c r="BY13" s="12">
        <v>0</v>
      </c>
      <c r="BZ13" s="12">
        <v>0</v>
      </c>
      <c r="CA13" s="12">
        <v>7</v>
      </c>
      <c r="CB13" s="12">
        <v>2</v>
      </c>
      <c r="CC13" s="12">
        <v>5</v>
      </c>
      <c r="CD13" s="12">
        <v>7</v>
      </c>
      <c r="CE13" s="12">
        <v>1</v>
      </c>
      <c r="CF13" s="12">
        <v>2</v>
      </c>
      <c r="CG13" s="12">
        <v>3</v>
      </c>
      <c r="CH13" s="12">
        <v>3</v>
      </c>
      <c r="CI13" s="12">
        <v>6</v>
      </c>
      <c r="CJ13" s="12">
        <v>6</v>
      </c>
      <c r="CK13" s="12">
        <v>8</v>
      </c>
      <c r="CL13" s="12">
        <v>4</v>
      </c>
      <c r="CM13" s="12">
        <v>9</v>
      </c>
      <c r="CN13" s="12">
        <v>0</v>
      </c>
      <c r="CO13" s="12">
        <v>7</v>
      </c>
      <c r="CP13" s="12">
        <v>0</v>
      </c>
      <c r="CQ13" s="12">
        <v>3</v>
      </c>
      <c r="CR13" s="12">
        <v>4</v>
      </c>
      <c r="CS13" s="12">
        <v>6</v>
      </c>
      <c r="CT13" s="12">
        <v>2</v>
      </c>
      <c r="CU13" s="12">
        <v>7</v>
      </c>
      <c r="CV13" s="12">
        <v>8</v>
      </c>
      <c r="CW13" s="12">
        <v>5</v>
      </c>
      <c r="CX13" s="12">
        <v>8</v>
      </c>
      <c r="CY13" s="12">
        <v>4</v>
      </c>
      <c r="CZ13" s="12">
        <v>8</v>
      </c>
      <c r="DA13" s="12">
        <v>3</v>
      </c>
      <c r="DB13" s="12">
        <v>1</v>
      </c>
      <c r="DC13" s="12">
        <v>3</v>
      </c>
      <c r="DD13" s="12">
        <v>1</v>
      </c>
      <c r="DE13" s="12">
        <v>3</v>
      </c>
      <c r="DF13" s="12">
        <v>4</v>
      </c>
      <c r="DG13" s="12">
        <v>3</v>
      </c>
      <c r="DH13" s="12">
        <v>4</v>
      </c>
      <c r="DI13" s="12">
        <v>8</v>
      </c>
      <c r="DJ13" s="12">
        <v>4</v>
      </c>
      <c r="DK13" s="12">
        <v>3</v>
      </c>
      <c r="DL13" s="12">
        <v>3</v>
      </c>
      <c r="DM13" s="12">
        <v>4</v>
      </c>
      <c r="DN13" s="12">
        <v>1</v>
      </c>
      <c r="DO13" s="12">
        <v>6</v>
      </c>
      <c r="DP13" s="12">
        <v>7</v>
      </c>
      <c r="DQ13" s="12">
        <v>2</v>
      </c>
      <c r="DR13" s="12">
        <v>2</v>
      </c>
      <c r="DS13" s="12">
        <v>2</v>
      </c>
      <c r="DT13" s="12">
        <v>2</v>
      </c>
      <c r="DU13" s="12">
        <v>3</v>
      </c>
      <c r="DV13" s="12">
        <v>1</v>
      </c>
      <c r="DW13" s="12">
        <v>0</v>
      </c>
      <c r="DX13" s="12">
        <v>1</v>
      </c>
      <c r="DY13" s="12">
        <v>3</v>
      </c>
      <c r="DZ13" s="12">
        <v>4</v>
      </c>
      <c r="EA13" s="12">
        <v>2</v>
      </c>
      <c r="EB13" s="12">
        <v>0</v>
      </c>
      <c r="EC13" s="12">
        <v>0</v>
      </c>
      <c r="ED13" s="12">
        <v>1</v>
      </c>
      <c r="EE13" s="12">
        <v>0</v>
      </c>
      <c r="EF13" s="12">
        <v>0</v>
      </c>
      <c r="EG13" s="12">
        <v>6</v>
      </c>
      <c r="EH13" s="12">
        <v>9</v>
      </c>
      <c r="EI13" s="12">
        <v>5</v>
      </c>
      <c r="EJ13" s="12">
        <v>5</v>
      </c>
      <c r="EK13" s="12">
        <v>11</v>
      </c>
      <c r="EL13" s="12">
        <v>2</v>
      </c>
      <c r="EM13" s="12">
        <v>1</v>
      </c>
      <c r="EN13" s="12">
        <v>4</v>
      </c>
      <c r="EO13" s="12">
        <v>5</v>
      </c>
      <c r="EP13" s="12" t="str">
        <f>IF(EL13=0,"🔴 Sin venta",IF(EL13&lt;EQ131*0.8,"🟠 Bajo",IF(EL131&lt;=EQ13*1.2,"🟢 Bien","🔵 Sobre promedio")))</f>
        <v>🟢 Bien</v>
      </c>
      <c r="EQ13" s="23">
        <f t="shared" si="1"/>
        <v>2.875</v>
      </c>
      <c r="ER13" s="19">
        <f t="shared" si="2"/>
        <v>16777.02</v>
      </c>
      <c r="ES13" s="12">
        <f t="shared" si="3"/>
        <v>78</v>
      </c>
      <c r="ET13" s="23">
        <f>ROUND((AVERAGE(CZ13:DG13)*4),2)</f>
        <v>13</v>
      </c>
      <c r="EU13" s="23">
        <f>ROUND((AVERAGE(DH13:DO13)*4),2)</f>
        <v>16.5</v>
      </c>
      <c r="EV13" s="23">
        <f>ROUND((AVERAGE(DP13:EG13)*4),2)</f>
        <v>8</v>
      </c>
      <c r="EW13" s="23"/>
      <c r="EX13" s="12">
        <v>70</v>
      </c>
      <c r="EY13" s="19" cm="1">
        <f t="array" ref="EY13:FC13">VLOOKUP(_xlfn.SINGLE(B:B),'[1]Price List'!$B:$N,{8,4,5,6,7},0)</f>
        <v>215.09</v>
      </c>
      <c r="EZ13" s="9" t="str">
        <v>Tech21 EvoLite for iPhone 15 - Lavender</v>
      </c>
      <c r="FA13" s="12" t="str">
        <v>Cases iPhone</v>
      </c>
      <c r="FB13" s="12" t="str">
        <v>iPhone 15</v>
      </c>
      <c r="FC13" s="12" t="str">
        <v>iPhone 16e / 15 / 14 / 13</v>
      </c>
      <c r="FD13" s="23" t="str">
        <f>_xlfn.XLOOKUP(B:B,'[1]Price List'!$B:$B,'[1]Price List'!$A:$A)</f>
        <v>Tech21</v>
      </c>
    </row>
    <row r="14" spans="1:160" s="9" customFormat="1" x14ac:dyDescent="0.2">
      <c r="A14" s="23" t="s">
        <v>600</v>
      </c>
      <c r="B14" s="23">
        <v>5056586721094</v>
      </c>
      <c r="C14" s="9" t="s">
        <v>546</v>
      </c>
      <c r="D14" s="9" t="s">
        <v>644</v>
      </c>
      <c r="E14" s="65" t="s">
        <v>623</v>
      </c>
      <c r="F14" s="65" t="s">
        <v>623</v>
      </c>
      <c r="G14" s="9" t="s">
        <v>685</v>
      </c>
      <c r="H14" s="28" t="s">
        <v>460</v>
      </c>
      <c r="I14" s="29">
        <v>499</v>
      </c>
      <c r="J14" s="11">
        <v>215.09</v>
      </c>
      <c r="K14" s="62">
        <v>0</v>
      </c>
      <c r="L14" s="12">
        <v>0</v>
      </c>
      <c r="M14" s="13" t="s">
        <v>466</v>
      </c>
      <c r="N14" s="13" t="s">
        <v>383</v>
      </c>
      <c r="O14" s="27"/>
      <c r="P14" s="12">
        <v>0</v>
      </c>
      <c r="Q14" s="12">
        <v>0</v>
      </c>
      <c r="R14" s="12">
        <v>0</v>
      </c>
      <c r="S14" s="12">
        <v>0</v>
      </c>
      <c r="T14" s="12">
        <v>0</v>
      </c>
      <c r="U14" s="12">
        <v>0</v>
      </c>
      <c r="V14" s="12">
        <v>0</v>
      </c>
      <c r="W14" s="12">
        <v>0</v>
      </c>
      <c r="X14" s="12">
        <v>0</v>
      </c>
      <c r="Y14" s="12">
        <v>0</v>
      </c>
      <c r="Z14" s="12">
        <v>0</v>
      </c>
      <c r="AA14" s="12">
        <v>0</v>
      </c>
      <c r="AB14" s="12">
        <v>0</v>
      </c>
      <c r="AC14" s="12">
        <v>0</v>
      </c>
      <c r="AD14" s="12">
        <v>0</v>
      </c>
      <c r="AE14" s="12">
        <v>0</v>
      </c>
      <c r="AF14" s="12">
        <v>0</v>
      </c>
      <c r="AG14" s="12">
        <v>0</v>
      </c>
      <c r="AH14" s="12">
        <v>0</v>
      </c>
      <c r="AI14" s="12">
        <v>0</v>
      </c>
      <c r="AJ14" s="12">
        <v>0</v>
      </c>
      <c r="AK14" s="12">
        <v>0</v>
      </c>
      <c r="AL14" s="12">
        <v>0</v>
      </c>
      <c r="AM14" s="12">
        <v>0</v>
      </c>
      <c r="AN14" s="12">
        <v>0</v>
      </c>
      <c r="AO14" s="12">
        <v>0</v>
      </c>
      <c r="AP14" s="12">
        <v>0</v>
      </c>
      <c r="AQ14" s="12">
        <v>0</v>
      </c>
      <c r="AR14" s="12">
        <v>0</v>
      </c>
      <c r="AS14" s="12">
        <v>0</v>
      </c>
      <c r="AT14" s="12">
        <v>0</v>
      </c>
      <c r="AU14" s="12">
        <v>0</v>
      </c>
      <c r="AV14" s="12">
        <v>0</v>
      </c>
      <c r="AW14" s="12">
        <v>0</v>
      </c>
      <c r="AX14" s="12">
        <v>0</v>
      </c>
      <c r="AY14" s="12">
        <v>0</v>
      </c>
      <c r="AZ14" s="12">
        <v>0</v>
      </c>
      <c r="BA14" s="12">
        <v>0</v>
      </c>
      <c r="BB14" s="12">
        <v>0</v>
      </c>
      <c r="BC14" s="12">
        <v>0</v>
      </c>
      <c r="BD14" s="12">
        <v>0</v>
      </c>
      <c r="BE14" s="12">
        <v>0</v>
      </c>
      <c r="BF14" s="12">
        <v>0</v>
      </c>
      <c r="BG14" s="12">
        <v>0</v>
      </c>
      <c r="BH14" s="12">
        <v>0</v>
      </c>
      <c r="BI14" s="12">
        <v>0</v>
      </c>
      <c r="BJ14" s="12">
        <v>0</v>
      </c>
      <c r="BK14" s="12">
        <v>0</v>
      </c>
      <c r="BL14" s="12">
        <v>0</v>
      </c>
      <c r="BM14" s="12">
        <v>0</v>
      </c>
      <c r="BN14" s="12">
        <v>0</v>
      </c>
      <c r="BO14" s="12">
        <v>0</v>
      </c>
      <c r="BP14" s="12">
        <v>0</v>
      </c>
      <c r="BQ14" s="12">
        <v>0</v>
      </c>
      <c r="BR14" s="12">
        <v>0</v>
      </c>
      <c r="BS14" s="12">
        <v>0</v>
      </c>
      <c r="BT14" s="12">
        <v>0</v>
      </c>
      <c r="BU14" s="12">
        <v>0</v>
      </c>
      <c r="BV14" s="12">
        <v>0</v>
      </c>
      <c r="BW14" s="12">
        <v>0</v>
      </c>
      <c r="BX14" s="12">
        <v>0</v>
      </c>
      <c r="BY14" s="12">
        <v>0</v>
      </c>
      <c r="BZ14" s="12">
        <v>0</v>
      </c>
      <c r="CA14" s="12">
        <v>0</v>
      </c>
      <c r="CB14" s="12">
        <v>0</v>
      </c>
      <c r="CC14" s="12">
        <v>0</v>
      </c>
      <c r="CD14" s="12">
        <v>0</v>
      </c>
      <c r="CE14" s="12">
        <v>0</v>
      </c>
      <c r="CF14" s="12">
        <v>0</v>
      </c>
      <c r="CG14" s="12">
        <v>0</v>
      </c>
      <c r="CH14" s="12">
        <v>0</v>
      </c>
      <c r="CI14" s="12">
        <v>7</v>
      </c>
      <c r="CJ14" s="12">
        <v>5</v>
      </c>
      <c r="CK14" s="12">
        <v>5</v>
      </c>
      <c r="CL14" s="12">
        <v>7</v>
      </c>
      <c r="CM14" s="12">
        <v>9</v>
      </c>
      <c r="CN14" s="12">
        <v>5</v>
      </c>
      <c r="CO14" s="12">
        <v>5</v>
      </c>
      <c r="CP14" s="12">
        <v>3</v>
      </c>
      <c r="CQ14" s="12">
        <v>9</v>
      </c>
      <c r="CR14" s="12">
        <v>9</v>
      </c>
      <c r="CS14" s="12">
        <v>10</v>
      </c>
      <c r="CT14" s="12">
        <v>9</v>
      </c>
      <c r="CU14" s="12">
        <v>14</v>
      </c>
      <c r="CV14" s="12">
        <v>11</v>
      </c>
      <c r="CW14" s="12">
        <v>7</v>
      </c>
      <c r="CX14" s="12">
        <v>13</v>
      </c>
      <c r="CY14" s="12">
        <v>7</v>
      </c>
      <c r="CZ14" s="12">
        <v>13</v>
      </c>
      <c r="DA14" s="12">
        <v>7</v>
      </c>
      <c r="DB14" s="12">
        <v>8</v>
      </c>
      <c r="DC14" s="12">
        <v>17</v>
      </c>
      <c r="DD14" s="12">
        <v>15</v>
      </c>
      <c r="DE14" s="12">
        <v>17</v>
      </c>
      <c r="DF14" s="12">
        <v>13</v>
      </c>
      <c r="DG14" s="12">
        <v>10</v>
      </c>
      <c r="DH14" s="12">
        <v>15</v>
      </c>
      <c r="DI14" s="12">
        <v>29</v>
      </c>
      <c r="DJ14" s="12">
        <v>11</v>
      </c>
      <c r="DK14" s="12">
        <v>7</v>
      </c>
      <c r="DL14" s="12">
        <v>12</v>
      </c>
      <c r="DM14" s="12">
        <v>13</v>
      </c>
      <c r="DN14" s="12">
        <v>12</v>
      </c>
      <c r="DO14" s="12">
        <v>10</v>
      </c>
      <c r="DP14" s="12">
        <v>10</v>
      </c>
      <c r="DQ14" s="12">
        <v>6</v>
      </c>
      <c r="DR14" s="12">
        <v>5</v>
      </c>
      <c r="DS14" s="12">
        <v>5</v>
      </c>
      <c r="DT14" s="12">
        <v>2</v>
      </c>
      <c r="DU14" s="12">
        <v>4</v>
      </c>
      <c r="DV14" s="12">
        <v>3</v>
      </c>
      <c r="DW14" s="12">
        <v>1</v>
      </c>
      <c r="DX14" s="12">
        <v>3</v>
      </c>
      <c r="DY14" s="12">
        <v>4</v>
      </c>
      <c r="DZ14" s="12">
        <v>2</v>
      </c>
      <c r="EA14" s="12">
        <v>1</v>
      </c>
      <c r="EB14" s="12">
        <v>1</v>
      </c>
      <c r="EC14" s="12">
        <v>1</v>
      </c>
      <c r="ED14" s="12">
        <v>1</v>
      </c>
      <c r="EE14" s="12">
        <v>0</v>
      </c>
      <c r="EF14" s="12">
        <v>0</v>
      </c>
      <c r="EG14" s="12">
        <v>7</v>
      </c>
      <c r="EH14" s="12">
        <v>7</v>
      </c>
      <c r="EI14" s="12">
        <v>7</v>
      </c>
      <c r="EJ14" s="12">
        <v>5</v>
      </c>
      <c r="EK14" s="12">
        <v>2</v>
      </c>
      <c r="EL14" s="12">
        <v>4</v>
      </c>
      <c r="EM14" s="12">
        <v>4</v>
      </c>
      <c r="EN14" s="12">
        <v>3</v>
      </c>
      <c r="EO14" s="12">
        <v>1</v>
      </c>
      <c r="EP14" s="12" t="str">
        <f>IF(EL14=0,"🔴 Sin venta",IF(EL14&lt;EQ128*0.8,"🟠 Bajo",IF(EL128&lt;=EQ14*1.2,"🟢 Bien","🔵 Sobre promedio")))</f>
        <v>🟢 Bien</v>
      </c>
      <c r="EQ14" s="23">
        <f t="shared" si="1"/>
        <v>3.5416666666666665</v>
      </c>
      <c r="ER14" s="19">
        <f t="shared" si="2"/>
        <v>19143.010000000002</v>
      </c>
      <c r="ES14" s="12">
        <f t="shared" si="3"/>
        <v>89</v>
      </c>
      <c r="ET14" s="23">
        <f>ROUND((AVERAGE(CZ14:DG14)*4),2)</f>
        <v>50</v>
      </c>
      <c r="EU14" s="23">
        <f>ROUND((AVERAGE(DH14:DO14)*4),2)</f>
        <v>54.5</v>
      </c>
      <c r="EV14" s="23">
        <f>ROUND((AVERAGE(DP14:EG14)*4),2)</f>
        <v>12.44</v>
      </c>
      <c r="EW14" s="23"/>
      <c r="EX14" s="12">
        <v>34</v>
      </c>
      <c r="EY14" s="19" cm="1">
        <f t="array" ref="EY14:FC14">VLOOKUP(_xlfn.SINGLE(B:B),'[1]Price List'!$B:$N,{8,4,5,6,7},0)</f>
        <v>215.09</v>
      </c>
      <c r="EZ14" s="9" t="str">
        <v>Tech21 EvoLite for iPhone 15 - Clear</v>
      </c>
      <c r="FA14" s="12" t="str">
        <v>Cases iPhone</v>
      </c>
      <c r="FB14" s="12" t="str">
        <v>iPhone 15</v>
      </c>
      <c r="FC14" s="12" t="str">
        <v>iPhone 16e / 15 / 14 / 13</v>
      </c>
      <c r="FD14" s="23" t="str">
        <f>_xlfn.XLOOKUP(B:B,'[1]Price List'!$B:$B,'[1]Price List'!$A:$A)</f>
        <v>Tech21</v>
      </c>
    </row>
    <row r="15" spans="1:160" s="9" customFormat="1" x14ac:dyDescent="0.2">
      <c r="A15" s="23" t="s">
        <v>599</v>
      </c>
      <c r="B15" s="23">
        <v>840168534944</v>
      </c>
      <c r="C15" s="9" t="s">
        <v>700</v>
      </c>
      <c r="D15" s="9" t="s">
        <v>644</v>
      </c>
      <c r="E15" s="26" t="s">
        <v>301</v>
      </c>
      <c r="F15" s="26" t="s">
        <v>301</v>
      </c>
      <c r="G15" s="9" t="s">
        <v>685</v>
      </c>
      <c r="H15" s="10" t="s">
        <v>699</v>
      </c>
      <c r="I15" s="11">
        <v>499</v>
      </c>
      <c r="J15" s="11">
        <v>193.58</v>
      </c>
      <c r="K15" s="62">
        <v>0</v>
      </c>
      <c r="L15" s="12">
        <v>0</v>
      </c>
      <c r="M15" s="13" t="s">
        <v>466</v>
      </c>
      <c r="N15" s="13" t="s">
        <v>383</v>
      </c>
      <c r="O15" s="27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>
        <v>20</v>
      </c>
      <c r="EH15" s="12">
        <v>25</v>
      </c>
      <c r="EI15" s="12">
        <v>20</v>
      </c>
      <c r="EJ15" s="12">
        <v>23</v>
      </c>
      <c r="EK15" s="12">
        <v>29</v>
      </c>
      <c r="EL15" s="12">
        <v>18</v>
      </c>
      <c r="EM15" s="12">
        <v>28</v>
      </c>
      <c r="EN15" s="12">
        <v>19</v>
      </c>
      <c r="EO15" s="12">
        <v>32</v>
      </c>
      <c r="EP15" s="12" t="str">
        <f>IF(EL15=0,"🔴 Sin venta",IF(EL15&lt;EQ182*0.8,"🟠 Bajo",IF(EL182&lt;=EQ15*1.2,"🟢 Bien","🔵 Sobre promedio")))</f>
        <v>🟢 Bien</v>
      </c>
      <c r="EQ15" s="23">
        <f t="shared" si="1"/>
        <v>23.285714285714285</v>
      </c>
      <c r="ER15" s="19">
        <f t="shared" si="2"/>
        <v>41426.120000000003</v>
      </c>
      <c r="ES15" s="12">
        <f t="shared" si="3"/>
        <v>214</v>
      </c>
      <c r="ET15" s="23"/>
      <c r="EU15" s="23"/>
      <c r="EV15" s="23"/>
      <c r="EW15" s="23"/>
      <c r="EX15" s="12">
        <v>225</v>
      </c>
      <c r="EY15" s="19" cm="1">
        <f t="array" ref="EY15:FC15">VLOOKUP(_xlfn.SINGLE(B:B),'[1]Price List'!$B:$N,{8,4,5,6,7},0)</f>
        <v>193.58</v>
      </c>
      <c r="EZ15" s="9" t="str">
        <v>Speck GemShell® iPhone 15</v>
      </c>
      <c r="FA15" s="12" t="str">
        <v>Cases iPhone</v>
      </c>
      <c r="FB15" s="12" t="str">
        <v>iPhone 15</v>
      </c>
      <c r="FC15" s="12" t="str">
        <v>iPhone 16e / 15 / 14 / 13</v>
      </c>
      <c r="FD15" s="23" t="str">
        <f>_xlfn.XLOOKUP(B:B,'[1]Price List'!$B:$B,'[1]Price List'!$A:$A)</f>
        <v>Speck</v>
      </c>
    </row>
    <row r="16" spans="1:160" s="9" customFormat="1" x14ac:dyDescent="0.2">
      <c r="A16" s="23" t="s">
        <v>599</v>
      </c>
      <c r="B16" s="23">
        <v>840168532735</v>
      </c>
      <c r="C16" s="9" t="s">
        <v>248</v>
      </c>
      <c r="D16" s="9" t="s">
        <v>644</v>
      </c>
      <c r="E16" s="9" t="s">
        <v>301</v>
      </c>
      <c r="F16" s="9" t="s">
        <v>301</v>
      </c>
      <c r="G16" s="9" t="s">
        <v>685</v>
      </c>
      <c r="H16" s="12" t="s">
        <v>249</v>
      </c>
      <c r="I16" s="12">
        <v>999</v>
      </c>
      <c r="J16" s="11">
        <v>387.54</v>
      </c>
      <c r="K16" s="62">
        <v>0</v>
      </c>
      <c r="L16" s="12">
        <v>0</v>
      </c>
      <c r="M16" s="13" t="s">
        <v>466</v>
      </c>
      <c r="N16" s="13" t="s">
        <v>383</v>
      </c>
      <c r="O16" s="27" t="s">
        <v>250</v>
      </c>
      <c r="P16" s="12">
        <v>20</v>
      </c>
      <c r="Q16" s="12">
        <v>6</v>
      </c>
      <c r="R16" s="12">
        <v>18</v>
      </c>
      <c r="S16" s="12">
        <v>18</v>
      </c>
      <c r="T16" s="12">
        <v>22</v>
      </c>
      <c r="U16" s="12">
        <v>17</v>
      </c>
      <c r="V16" s="12">
        <v>42</v>
      </c>
      <c r="W16" s="12">
        <v>19</v>
      </c>
      <c r="X16" s="12">
        <v>20</v>
      </c>
      <c r="Y16" s="12">
        <v>20</v>
      </c>
      <c r="Z16" s="12">
        <v>14</v>
      </c>
      <c r="AA16" s="12">
        <v>37</v>
      </c>
      <c r="AB16" s="12">
        <v>21</v>
      </c>
      <c r="AC16" s="12">
        <v>18</v>
      </c>
      <c r="AD16" s="12">
        <v>15</v>
      </c>
      <c r="AE16" s="12">
        <v>8</v>
      </c>
      <c r="AF16" s="12">
        <v>9</v>
      </c>
      <c r="AG16" s="12">
        <v>8</v>
      </c>
      <c r="AH16" s="12">
        <v>3</v>
      </c>
      <c r="AI16" s="12">
        <v>7</v>
      </c>
      <c r="AJ16" s="12">
        <v>14</v>
      </c>
      <c r="AK16" s="12">
        <v>15</v>
      </c>
      <c r="AL16" s="12">
        <v>6</v>
      </c>
      <c r="AM16" s="12">
        <v>11</v>
      </c>
      <c r="AN16" s="12">
        <v>3</v>
      </c>
      <c r="AO16" s="12">
        <v>11</v>
      </c>
      <c r="AP16" s="12">
        <v>14</v>
      </c>
      <c r="AQ16" s="12">
        <v>13</v>
      </c>
      <c r="AR16" s="12">
        <v>15</v>
      </c>
      <c r="AS16" s="12">
        <v>12</v>
      </c>
      <c r="AT16" s="12">
        <v>7</v>
      </c>
      <c r="AU16" s="12">
        <v>6</v>
      </c>
      <c r="AV16" s="12">
        <v>4</v>
      </c>
      <c r="AW16" s="12">
        <v>18</v>
      </c>
      <c r="AX16" s="12">
        <v>12</v>
      </c>
      <c r="AY16" s="12">
        <v>21</v>
      </c>
      <c r="AZ16" s="12">
        <v>25</v>
      </c>
      <c r="BA16" s="12">
        <v>36</v>
      </c>
      <c r="BB16" s="12">
        <v>21</v>
      </c>
      <c r="BC16" s="12">
        <v>12</v>
      </c>
      <c r="BD16" s="12">
        <v>13</v>
      </c>
      <c r="BE16" s="12">
        <v>10</v>
      </c>
      <c r="BF16" s="12">
        <v>7</v>
      </c>
      <c r="BG16" s="12">
        <v>1</v>
      </c>
      <c r="BH16" s="12">
        <v>3</v>
      </c>
      <c r="BI16" s="12">
        <v>1</v>
      </c>
      <c r="BJ16" s="12">
        <v>4</v>
      </c>
      <c r="BK16" s="12">
        <v>2</v>
      </c>
      <c r="BL16" s="12">
        <v>5</v>
      </c>
      <c r="BM16" s="12">
        <v>3</v>
      </c>
      <c r="BN16" s="12">
        <v>0</v>
      </c>
      <c r="BO16" s="12">
        <v>5</v>
      </c>
      <c r="BP16" s="12">
        <v>1</v>
      </c>
      <c r="BQ16" s="12">
        <v>2</v>
      </c>
      <c r="BR16" s="12">
        <v>2</v>
      </c>
      <c r="BS16" s="12">
        <v>1</v>
      </c>
      <c r="BT16" s="12">
        <v>4</v>
      </c>
      <c r="BU16" s="12">
        <v>1</v>
      </c>
      <c r="BV16" s="12">
        <v>7</v>
      </c>
      <c r="BW16" s="12">
        <v>25</v>
      </c>
      <c r="BX16" s="12">
        <v>17</v>
      </c>
      <c r="BY16" s="12">
        <v>3</v>
      </c>
      <c r="BZ16" s="12">
        <v>9</v>
      </c>
      <c r="CA16" s="12">
        <v>7</v>
      </c>
      <c r="CB16" s="12">
        <v>9</v>
      </c>
      <c r="CC16" s="12">
        <v>3</v>
      </c>
      <c r="CD16" s="12">
        <v>4</v>
      </c>
      <c r="CE16" s="12">
        <v>2</v>
      </c>
      <c r="CF16" s="12">
        <v>5</v>
      </c>
      <c r="CG16" s="12">
        <v>1</v>
      </c>
      <c r="CH16" s="12">
        <v>1</v>
      </c>
      <c r="CI16" s="12">
        <v>0</v>
      </c>
      <c r="CJ16" s="12">
        <v>1</v>
      </c>
      <c r="CK16" s="12">
        <v>2</v>
      </c>
      <c r="CL16" s="12">
        <v>2</v>
      </c>
      <c r="CM16" s="12">
        <v>1</v>
      </c>
      <c r="CN16" s="12">
        <v>0</v>
      </c>
      <c r="CO16" s="12">
        <v>0</v>
      </c>
      <c r="CP16" s="12">
        <v>0</v>
      </c>
      <c r="CQ16" s="12">
        <v>5</v>
      </c>
      <c r="CR16" s="12">
        <v>14</v>
      </c>
      <c r="CS16" s="12">
        <v>11</v>
      </c>
      <c r="CT16" s="12">
        <v>14</v>
      </c>
      <c r="CU16" s="12">
        <v>9</v>
      </c>
      <c r="CV16" s="12">
        <v>4</v>
      </c>
      <c r="CW16" s="12">
        <v>4</v>
      </c>
      <c r="CX16" s="12">
        <v>3</v>
      </c>
      <c r="CY16" s="12">
        <v>4</v>
      </c>
      <c r="CZ16" s="12">
        <v>1</v>
      </c>
      <c r="DA16" s="12">
        <v>1</v>
      </c>
      <c r="DB16" s="12">
        <v>1</v>
      </c>
      <c r="DC16" s="12">
        <v>1</v>
      </c>
      <c r="DD16" s="12">
        <v>1</v>
      </c>
      <c r="DE16" s="12">
        <v>0</v>
      </c>
      <c r="DF16" s="12">
        <v>1</v>
      </c>
      <c r="DG16" s="12">
        <v>1</v>
      </c>
      <c r="DH16" s="12">
        <v>2</v>
      </c>
      <c r="DI16" s="12">
        <v>2</v>
      </c>
      <c r="DJ16" s="12">
        <v>0</v>
      </c>
      <c r="DK16" s="12">
        <v>0</v>
      </c>
      <c r="DL16" s="12">
        <v>2</v>
      </c>
      <c r="DM16" s="12">
        <v>1</v>
      </c>
      <c r="DN16" s="12">
        <v>2</v>
      </c>
      <c r="DO16" s="12">
        <v>2</v>
      </c>
      <c r="DP16" s="12">
        <v>0</v>
      </c>
      <c r="DQ16" s="12">
        <v>1</v>
      </c>
      <c r="DR16" s="12">
        <v>1</v>
      </c>
      <c r="DS16" s="12">
        <v>0</v>
      </c>
      <c r="DT16" s="12">
        <v>1</v>
      </c>
      <c r="DU16" s="12">
        <v>0</v>
      </c>
      <c r="DV16" s="12">
        <v>0</v>
      </c>
      <c r="DW16" s="12">
        <v>0</v>
      </c>
      <c r="DX16" s="12">
        <v>0</v>
      </c>
      <c r="DY16" s="12">
        <v>0</v>
      </c>
      <c r="DZ16" s="12">
        <v>0</v>
      </c>
      <c r="EA16" s="12">
        <v>1</v>
      </c>
      <c r="EB16" s="12">
        <v>0</v>
      </c>
      <c r="EC16" s="12">
        <v>0</v>
      </c>
      <c r="ED16" s="12">
        <v>0</v>
      </c>
      <c r="EE16" s="12">
        <v>0</v>
      </c>
      <c r="EF16" s="12">
        <v>0</v>
      </c>
      <c r="EG16" s="12">
        <v>10</v>
      </c>
      <c r="EH16" s="12">
        <v>10</v>
      </c>
      <c r="EI16" s="12">
        <v>8</v>
      </c>
      <c r="EJ16" s="12">
        <v>4</v>
      </c>
      <c r="EK16" s="12">
        <v>4</v>
      </c>
      <c r="EL16" s="12">
        <v>4</v>
      </c>
      <c r="EM16" s="12">
        <v>3</v>
      </c>
      <c r="EN16" s="12">
        <v>4</v>
      </c>
      <c r="EO16" s="12">
        <v>12</v>
      </c>
      <c r="EP16" s="12" t="str">
        <f>IF(EL16=0,"🔴 Sin venta",IF(EL16&lt;EQ183*0.8,"🟠 Bajo",IF(EL183&lt;=EQ16*1.2,"🟢 Bien","🔵 Sobre promedio")))</f>
        <v>🟢 Bien</v>
      </c>
      <c r="EQ16" s="23">
        <f t="shared" si="1"/>
        <v>1.9583333333333333</v>
      </c>
      <c r="ER16" s="19">
        <f t="shared" si="2"/>
        <v>24415.02</v>
      </c>
      <c r="ES16" s="12">
        <f t="shared" si="3"/>
        <v>63</v>
      </c>
      <c r="ET16" s="23">
        <f>ROUND((AVERAGE(CZ16:DG16)*4),2)</f>
        <v>3.5</v>
      </c>
      <c r="EU16" s="23">
        <f>ROUND((AVERAGE(DH16:DO16)*4),2)</f>
        <v>5.5</v>
      </c>
      <c r="EV16" s="23">
        <f>ROUND((AVERAGE(DP16:ED16)*4),2)</f>
        <v>1.07</v>
      </c>
      <c r="EW16" s="23"/>
      <c r="EX16" s="12">
        <v>69</v>
      </c>
      <c r="EY16" s="19" cm="1">
        <f t="array" ref="EY16:FC16">VLOOKUP(_xlfn.SINGLE(B:B),'[1]Price List'!$B:$N,{8,4,5,6,7},0)</f>
        <v>387.54</v>
      </c>
      <c r="EZ16" s="9" t="str">
        <v>Speck Presidio®2 Grip Magsafe® Clicklock™ Black / Slate Grey iPhone 15</v>
      </c>
      <c r="FA16" s="12" t="str">
        <v>Cases iPhone</v>
      </c>
      <c r="FB16" s="12" t="str">
        <v>iPhone 15</v>
      </c>
      <c r="FC16" s="12" t="str">
        <v>iPhone 16e / 15 / 14 / 13</v>
      </c>
      <c r="FD16" s="23" t="str">
        <f>_xlfn.XLOOKUP(B:B,'[1]Price List'!$B:$B,'[1]Price List'!$A:$A)</f>
        <v>Speck</v>
      </c>
    </row>
    <row r="17" spans="1:160" s="9" customFormat="1" x14ac:dyDescent="0.2">
      <c r="A17" s="23" t="s">
        <v>599</v>
      </c>
      <c r="B17" s="23">
        <v>840168538683</v>
      </c>
      <c r="C17" s="9" t="s">
        <v>341</v>
      </c>
      <c r="D17" s="9" t="s">
        <v>644</v>
      </c>
      <c r="E17" s="9" t="s">
        <v>305</v>
      </c>
      <c r="F17" s="9" t="s">
        <v>607</v>
      </c>
      <c r="G17" s="9" t="s">
        <v>305</v>
      </c>
      <c r="H17" s="10" t="s">
        <v>342</v>
      </c>
      <c r="I17" s="11">
        <v>599</v>
      </c>
      <c r="J17" s="11">
        <v>232.37</v>
      </c>
      <c r="K17" s="62">
        <v>0</v>
      </c>
      <c r="L17" s="12">
        <v>0</v>
      </c>
      <c r="M17" s="13" t="s">
        <v>466</v>
      </c>
      <c r="N17" s="13" t="s">
        <v>383</v>
      </c>
      <c r="O17" s="14">
        <v>45244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5">
        <v>12</v>
      </c>
      <c r="AA17" s="12">
        <v>41</v>
      </c>
      <c r="AB17" s="12">
        <v>29</v>
      </c>
      <c r="AC17" s="12">
        <v>17</v>
      </c>
      <c r="AD17" s="12">
        <v>18</v>
      </c>
      <c r="AE17" s="12">
        <v>17</v>
      </c>
      <c r="AF17" s="12">
        <v>23</v>
      </c>
      <c r="AG17" s="12">
        <v>16</v>
      </c>
      <c r="AH17" s="12">
        <v>14</v>
      </c>
      <c r="AI17" s="12">
        <v>6</v>
      </c>
      <c r="AJ17" s="12">
        <v>23</v>
      </c>
      <c r="AK17" s="12">
        <v>25</v>
      </c>
      <c r="AL17" s="12">
        <v>24</v>
      </c>
      <c r="AM17" s="12">
        <v>25</v>
      </c>
      <c r="AN17" s="12">
        <v>16</v>
      </c>
      <c r="AO17" s="12">
        <v>10</v>
      </c>
      <c r="AP17" s="12">
        <v>11</v>
      </c>
      <c r="AQ17" s="12">
        <v>25</v>
      </c>
      <c r="AR17" s="12">
        <v>20</v>
      </c>
      <c r="AS17" s="12">
        <v>25</v>
      </c>
      <c r="AT17" s="12">
        <v>12</v>
      </c>
      <c r="AU17" s="12">
        <v>19</v>
      </c>
      <c r="AV17" s="12">
        <v>18</v>
      </c>
      <c r="AW17" s="12">
        <v>24</v>
      </c>
      <c r="AX17" s="12">
        <v>32</v>
      </c>
      <c r="AY17" s="12">
        <v>28</v>
      </c>
      <c r="AZ17" s="12">
        <v>36</v>
      </c>
      <c r="BA17" s="12">
        <v>47</v>
      </c>
      <c r="BB17" s="12">
        <v>42</v>
      </c>
      <c r="BC17" s="12">
        <v>37</v>
      </c>
      <c r="BD17" s="12">
        <v>37</v>
      </c>
      <c r="BE17" s="12">
        <v>39</v>
      </c>
      <c r="BF17" s="12">
        <v>21</v>
      </c>
      <c r="BG17" s="12">
        <v>4</v>
      </c>
      <c r="BH17" s="12">
        <v>12</v>
      </c>
      <c r="BI17" s="12">
        <v>7</v>
      </c>
      <c r="BJ17" s="12">
        <v>12</v>
      </c>
      <c r="BK17" s="12">
        <v>15</v>
      </c>
      <c r="BL17" s="12">
        <v>9</v>
      </c>
      <c r="BM17" s="12">
        <v>4</v>
      </c>
      <c r="BN17" s="12">
        <v>11</v>
      </c>
      <c r="BO17" s="12">
        <v>18</v>
      </c>
      <c r="BP17" s="12">
        <v>20</v>
      </c>
      <c r="BQ17" s="12">
        <v>29</v>
      </c>
      <c r="BR17" s="12">
        <v>4</v>
      </c>
      <c r="BS17" s="12">
        <v>8</v>
      </c>
      <c r="BT17" s="12">
        <v>11</v>
      </c>
      <c r="BU17" s="12">
        <v>9</v>
      </c>
      <c r="BV17" s="12">
        <v>18</v>
      </c>
      <c r="BW17" s="12">
        <v>19</v>
      </c>
      <c r="BX17" s="12">
        <v>22</v>
      </c>
      <c r="BY17" s="12">
        <v>13</v>
      </c>
      <c r="BZ17" s="12">
        <v>4</v>
      </c>
      <c r="CA17" s="12">
        <v>17</v>
      </c>
      <c r="CB17" s="12">
        <v>23</v>
      </c>
      <c r="CC17" s="12">
        <v>19</v>
      </c>
      <c r="CD17" s="12">
        <v>21</v>
      </c>
      <c r="CE17" s="12">
        <v>17</v>
      </c>
      <c r="CF17" s="12">
        <v>17</v>
      </c>
      <c r="CG17" s="12">
        <v>27</v>
      </c>
      <c r="CH17" s="12">
        <v>14</v>
      </c>
      <c r="CI17" s="12">
        <v>14</v>
      </c>
      <c r="CJ17" s="12">
        <v>15</v>
      </c>
      <c r="CK17" s="12">
        <v>19</v>
      </c>
      <c r="CL17" s="12">
        <v>13</v>
      </c>
      <c r="CM17" s="12">
        <v>14</v>
      </c>
      <c r="CN17" s="12">
        <v>19</v>
      </c>
      <c r="CO17" s="12">
        <v>13</v>
      </c>
      <c r="CP17" s="12">
        <v>27</v>
      </c>
      <c r="CQ17" s="12">
        <v>17</v>
      </c>
      <c r="CR17" s="12">
        <v>22</v>
      </c>
      <c r="CS17" s="12">
        <v>25</v>
      </c>
      <c r="CT17" s="12">
        <v>25</v>
      </c>
      <c r="CU17" s="12">
        <v>22</v>
      </c>
      <c r="CV17" s="12">
        <v>17</v>
      </c>
      <c r="CW17" s="12">
        <v>19</v>
      </c>
      <c r="CX17" s="12">
        <v>25</v>
      </c>
      <c r="CY17" s="12">
        <v>12</v>
      </c>
      <c r="CZ17" s="12">
        <v>11</v>
      </c>
      <c r="DA17" s="12">
        <v>14</v>
      </c>
      <c r="DB17" s="12">
        <v>14</v>
      </c>
      <c r="DC17" s="12">
        <v>8</v>
      </c>
      <c r="DD17" s="12">
        <v>16</v>
      </c>
      <c r="DE17" s="12">
        <v>11</v>
      </c>
      <c r="DF17" s="12">
        <v>16</v>
      </c>
      <c r="DG17" s="12">
        <v>11</v>
      </c>
      <c r="DH17" s="12">
        <v>7</v>
      </c>
      <c r="DI17" s="12">
        <v>17</v>
      </c>
      <c r="DJ17" s="12">
        <v>15</v>
      </c>
      <c r="DK17" s="12">
        <v>11</v>
      </c>
      <c r="DL17" s="12">
        <v>14</v>
      </c>
      <c r="DM17" s="12">
        <v>22</v>
      </c>
      <c r="DN17" s="12">
        <v>19</v>
      </c>
      <c r="DO17" s="12">
        <v>23</v>
      </c>
      <c r="DP17" s="12">
        <v>17</v>
      </c>
      <c r="DQ17" s="12">
        <v>11</v>
      </c>
      <c r="DR17" s="12">
        <v>15</v>
      </c>
      <c r="DS17" s="12">
        <v>15</v>
      </c>
      <c r="DT17" s="12">
        <v>10</v>
      </c>
      <c r="DU17" s="12">
        <v>11</v>
      </c>
      <c r="DV17" s="12">
        <v>12</v>
      </c>
      <c r="DW17" s="12">
        <v>18</v>
      </c>
      <c r="DX17" s="12">
        <v>20</v>
      </c>
      <c r="DY17" s="12">
        <v>23</v>
      </c>
      <c r="DZ17" s="12">
        <v>18</v>
      </c>
      <c r="EA17" s="12">
        <v>18</v>
      </c>
      <c r="EB17" s="12">
        <v>21</v>
      </c>
      <c r="EC17" s="12">
        <v>21</v>
      </c>
      <c r="ED17" s="12">
        <v>8</v>
      </c>
      <c r="EE17" s="12">
        <v>13</v>
      </c>
      <c r="EF17" s="12">
        <v>21</v>
      </c>
      <c r="EG17" s="12">
        <v>15</v>
      </c>
      <c r="EH17" s="12">
        <v>10</v>
      </c>
      <c r="EI17" s="12">
        <v>19</v>
      </c>
      <c r="EJ17" s="12">
        <v>10</v>
      </c>
      <c r="EK17" s="12">
        <v>12</v>
      </c>
      <c r="EL17" s="12">
        <v>14</v>
      </c>
      <c r="EM17" s="12">
        <v>15</v>
      </c>
      <c r="EN17" s="12">
        <v>7</v>
      </c>
      <c r="EO17" s="12">
        <v>15</v>
      </c>
      <c r="EP17" s="12" t="str">
        <f t="shared" ref="EP17:EP26" si="7">IF(EL17=0,"🔴 Sin venta",IF(EL17&lt;EQ57*0.8,"🟠 Bajo",IF(EL57&lt;=EQ17*1.2,"🟢 Bien","🔵 Sobre promedio")))</f>
        <v>🟢 Bien</v>
      </c>
      <c r="EQ17" s="23">
        <f t="shared" si="1"/>
        <v>15.291666666666666</v>
      </c>
      <c r="ER17" s="19">
        <f t="shared" si="2"/>
        <v>90391.930000000008</v>
      </c>
      <c r="ES17" s="12">
        <f t="shared" si="3"/>
        <v>389</v>
      </c>
      <c r="ET17" s="23">
        <f t="shared" ref="ET17:ET52" si="8">ROUND((AVERAGE(CZ17:DG17)*4),2)</f>
        <v>50.5</v>
      </c>
      <c r="EU17" s="23">
        <f t="shared" ref="EU17:EU52" si="9">ROUND((AVERAGE(DH17:DO17)*4),2)</f>
        <v>64</v>
      </c>
      <c r="EV17" s="23">
        <f t="shared" si="6"/>
        <v>63.78</v>
      </c>
      <c r="EW17" s="23"/>
      <c r="EX17" s="12">
        <v>188</v>
      </c>
      <c r="EY17" s="19" cm="1">
        <f t="array" ref="EY17:FC17">VLOOKUP(_xlfn.SINGLE(B:B),'[1]Price List'!$B:$N,{8,4,5,6,7},0)</f>
        <v>232.37</v>
      </c>
      <c r="EZ17" s="9" t="str">
        <v>Speck Tagimals 4-Pack - Mulicolor</v>
      </c>
      <c r="FA17" s="12" t="str">
        <v>Cases AirTag</v>
      </c>
      <c r="FB17" s="12" t="str">
        <v>AirTag</v>
      </c>
      <c r="FC17" s="12" t="str">
        <v>AirTag</v>
      </c>
      <c r="FD17" s="23" t="str">
        <f>_xlfn.XLOOKUP(B:B,'[1]Price List'!$B:$B,'[1]Price List'!$A:$A)</f>
        <v>Speck</v>
      </c>
    </row>
    <row r="18" spans="1:160" s="9" customFormat="1" x14ac:dyDescent="0.2">
      <c r="A18" s="23" t="s">
        <v>599</v>
      </c>
      <c r="B18" s="23">
        <v>840168532148</v>
      </c>
      <c r="C18" s="9" t="s">
        <v>524</v>
      </c>
      <c r="D18" s="9" t="s">
        <v>645</v>
      </c>
      <c r="E18" s="20" t="s">
        <v>319</v>
      </c>
      <c r="F18" s="20" t="s">
        <v>608</v>
      </c>
      <c r="G18" s="9" t="s">
        <v>608</v>
      </c>
      <c r="H18" s="10" t="s">
        <v>394</v>
      </c>
      <c r="I18" s="11">
        <v>599</v>
      </c>
      <c r="J18" s="11">
        <v>232.37</v>
      </c>
      <c r="K18" s="62">
        <v>0</v>
      </c>
      <c r="L18" s="12">
        <v>0</v>
      </c>
      <c r="M18" s="13" t="s">
        <v>466</v>
      </c>
      <c r="N18" s="13" t="s">
        <v>383</v>
      </c>
      <c r="O18" s="14"/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  <c r="X18" s="12">
        <v>0</v>
      </c>
      <c r="Y18" s="12">
        <v>0</v>
      </c>
      <c r="Z18" s="12">
        <v>0</v>
      </c>
      <c r="AA18" s="12">
        <v>0</v>
      </c>
      <c r="AB18" s="12">
        <v>0</v>
      </c>
      <c r="AC18" s="12">
        <v>0</v>
      </c>
      <c r="AD18" s="12">
        <v>0</v>
      </c>
      <c r="AE18" s="12">
        <v>0</v>
      </c>
      <c r="AF18" s="12">
        <v>0</v>
      </c>
      <c r="AG18" s="12">
        <v>0</v>
      </c>
      <c r="AH18" s="12">
        <v>0</v>
      </c>
      <c r="AI18" s="12">
        <v>0</v>
      </c>
      <c r="AJ18" s="12">
        <v>0</v>
      </c>
      <c r="AK18" s="12">
        <v>0</v>
      </c>
      <c r="AL18" s="12">
        <v>0</v>
      </c>
      <c r="AM18" s="12">
        <v>0</v>
      </c>
      <c r="AN18" s="12">
        <v>0</v>
      </c>
      <c r="AO18" s="12">
        <v>0</v>
      </c>
      <c r="AP18" s="12">
        <v>0</v>
      </c>
      <c r="AQ18" s="12">
        <v>0</v>
      </c>
      <c r="AR18" s="12">
        <v>0</v>
      </c>
      <c r="AS18" s="12">
        <v>0</v>
      </c>
      <c r="AT18" s="12">
        <v>0</v>
      </c>
      <c r="AU18" s="12">
        <v>0</v>
      </c>
      <c r="AV18" s="12">
        <v>0</v>
      </c>
      <c r="AW18" s="12">
        <v>0</v>
      </c>
      <c r="AX18" s="12">
        <v>0</v>
      </c>
      <c r="AY18" s="12">
        <v>0</v>
      </c>
      <c r="AZ18" s="12">
        <v>0</v>
      </c>
      <c r="BA18" s="12">
        <v>0</v>
      </c>
      <c r="BB18" s="12">
        <v>20</v>
      </c>
      <c r="BC18" s="12">
        <v>20</v>
      </c>
      <c r="BD18" s="12">
        <v>28</v>
      </c>
      <c r="BE18" s="12">
        <v>19</v>
      </c>
      <c r="BF18" s="12">
        <v>16</v>
      </c>
      <c r="BG18" s="12">
        <v>4</v>
      </c>
      <c r="BH18" s="12">
        <v>6</v>
      </c>
      <c r="BI18" s="12">
        <v>15</v>
      </c>
      <c r="BJ18" s="12">
        <v>9</v>
      </c>
      <c r="BK18" s="12">
        <v>8</v>
      </c>
      <c r="BL18" s="12">
        <v>11</v>
      </c>
      <c r="BM18" s="12">
        <v>8</v>
      </c>
      <c r="BN18" s="12">
        <v>9</v>
      </c>
      <c r="BO18" s="12">
        <v>13</v>
      </c>
      <c r="BP18" s="12">
        <v>14</v>
      </c>
      <c r="BQ18" s="12">
        <v>10</v>
      </c>
      <c r="BR18" s="12">
        <v>5</v>
      </c>
      <c r="BS18" s="12">
        <v>7</v>
      </c>
      <c r="BT18" s="12">
        <v>7</v>
      </c>
      <c r="BU18" s="12">
        <v>5</v>
      </c>
      <c r="BV18" s="12">
        <v>6</v>
      </c>
      <c r="BW18" s="12">
        <v>11</v>
      </c>
      <c r="BX18" s="12">
        <v>4</v>
      </c>
      <c r="BY18" s="12">
        <v>12</v>
      </c>
      <c r="BZ18" s="12">
        <v>7</v>
      </c>
      <c r="CA18" s="12">
        <v>10</v>
      </c>
      <c r="CB18" s="12">
        <v>2</v>
      </c>
      <c r="CC18" s="12">
        <v>6</v>
      </c>
      <c r="CD18" s="12">
        <v>8</v>
      </c>
      <c r="CE18" s="12">
        <v>4</v>
      </c>
      <c r="CF18" s="12">
        <v>9</v>
      </c>
      <c r="CG18" s="12">
        <v>4</v>
      </c>
      <c r="CH18" s="12">
        <v>4</v>
      </c>
      <c r="CI18" s="12">
        <v>13</v>
      </c>
      <c r="CJ18" s="12">
        <v>4</v>
      </c>
      <c r="CK18" s="12">
        <v>15</v>
      </c>
      <c r="CL18" s="12">
        <v>9</v>
      </c>
      <c r="CM18" s="12">
        <v>8</v>
      </c>
      <c r="CN18" s="12">
        <v>3</v>
      </c>
      <c r="CO18" s="12">
        <v>5</v>
      </c>
      <c r="CP18" s="12">
        <v>11</v>
      </c>
      <c r="CQ18" s="12">
        <v>4</v>
      </c>
      <c r="CR18" s="12">
        <v>8</v>
      </c>
      <c r="CS18" s="12">
        <v>10</v>
      </c>
      <c r="CT18" s="12">
        <v>9</v>
      </c>
      <c r="CU18" s="12">
        <v>9</v>
      </c>
      <c r="CV18" s="12">
        <v>9</v>
      </c>
      <c r="CW18" s="12">
        <v>6</v>
      </c>
      <c r="CX18" s="12">
        <v>8</v>
      </c>
      <c r="CY18" s="12">
        <v>4</v>
      </c>
      <c r="CZ18" s="12">
        <v>8</v>
      </c>
      <c r="DA18" s="12">
        <v>7</v>
      </c>
      <c r="DB18" s="12">
        <v>3</v>
      </c>
      <c r="DC18" s="12">
        <v>2</v>
      </c>
      <c r="DD18" s="12">
        <v>5</v>
      </c>
      <c r="DE18" s="12">
        <v>5</v>
      </c>
      <c r="DF18" s="12">
        <v>7</v>
      </c>
      <c r="DG18" s="12">
        <v>5</v>
      </c>
      <c r="DH18" s="12">
        <v>5</v>
      </c>
      <c r="DI18" s="12">
        <v>15</v>
      </c>
      <c r="DJ18" s="12">
        <v>7</v>
      </c>
      <c r="DK18" s="12">
        <v>7</v>
      </c>
      <c r="DL18" s="12">
        <v>4</v>
      </c>
      <c r="DM18" s="12">
        <v>3</v>
      </c>
      <c r="DN18" s="12">
        <v>7</v>
      </c>
      <c r="DO18" s="12">
        <v>16</v>
      </c>
      <c r="DP18" s="12">
        <v>5</v>
      </c>
      <c r="DQ18" s="12">
        <v>8</v>
      </c>
      <c r="DR18" s="12">
        <v>2</v>
      </c>
      <c r="DS18" s="12">
        <v>1</v>
      </c>
      <c r="DT18" s="12">
        <v>7</v>
      </c>
      <c r="DU18" s="12">
        <v>7</v>
      </c>
      <c r="DV18" s="12">
        <v>3</v>
      </c>
      <c r="DW18" s="12">
        <v>3</v>
      </c>
      <c r="DX18" s="12">
        <v>6</v>
      </c>
      <c r="DY18" s="12">
        <v>1</v>
      </c>
      <c r="DZ18" s="12">
        <v>2</v>
      </c>
      <c r="EA18" s="12">
        <v>7</v>
      </c>
      <c r="EB18" s="12">
        <v>3</v>
      </c>
      <c r="EC18" s="12">
        <v>9</v>
      </c>
      <c r="ED18" s="12">
        <v>5</v>
      </c>
      <c r="EE18" s="12">
        <v>1</v>
      </c>
      <c r="EF18" s="12">
        <v>4</v>
      </c>
      <c r="EG18" s="12">
        <v>3</v>
      </c>
      <c r="EH18" s="12">
        <v>9</v>
      </c>
      <c r="EI18" s="12">
        <v>11</v>
      </c>
      <c r="EJ18" s="12">
        <v>9</v>
      </c>
      <c r="EK18" s="12">
        <v>5</v>
      </c>
      <c r="EL18" s="12">
        <v>2</v>
      </c>
      <c r="EM18" s="12">
        <v>5</v>
      </c>
      <c r="EN18" s="12">
        <v>8</v>
      </c>
      <c r="EO18" s="12">
        <v>2</v>
      </c>
      <c r="EP18" s="12" t="str">
        <f t="shared" si="7"/>
        <v>🟠 Bajo</v>
      </c>
      <c r="EQ18" s="23">
        <f t="shared" si="1"/>
        <v>4.916666666666667</v>
      </c>
      <c r="ER18" s="19">
        <f t="shared" si="2"/>
        <v>29743.360000000001</v>
      </c>
      <c r="ES18" s="12">
        <f t="shared" si="3"/>
        <v>128</v>
      </c>
      <c r="ET18" s="23">
        <f t="shared" si="8"/>
        <v>21</v>
      </c>
      <c r="EU18" s="23">
        <f t="shared" si="9"/>
        <v>32</v>
      </c>
      <c r="EV18" s="23">
        <f t="shared" si="6"/>
        <v>17.11</v>
      </c>
      <c r="EW18" s="23"/>
      <c r="EX18" s="12">
        <v>117</v>
      </c>
      <c r="EY18" s="19" cm="1">
        <f t="array" ref="EY18:FC18">VLOOKUP(_xlfn.SINGLE(B:B),'[1]Price List'!$B:$N,{8,4,5,6,7},0)</f>
        <v>232.37</v>
      </c>
      <c r="EZ18" s="9" t="str">
        <v>Speck Wallet for MagSafe® Black iPhone 15 Wallet</v>
      </c>
      <c r="FA18" s="12" t="str">
        <v>Accesories</v>
      </c>
      <c r="FB18" s="12" t="str">
        <v>Click Lock</v>
      </c>
      <c r="FC18" s="12" t="str">
        <v>Wallet</v>
      </c>
      <c r="FD18" s="23" t="str">
        <f>_xlfn.XLOOKUP(B:B,'[1]Price List'!$B:$B,'[1]Price List'!$A:$A)</f>
        <v>Speck</v>
      </c>
    </row>
    <row r="19" spans="1:160" s="9" customFormat="1" x14ac:dyDescent="0.2">
      <c r="A19" s="23" t="s">
        <v>599</v>
      </c>
      <c r="B19" s="23">
        <v>840168536320</v>
      </c>
      <c r="C19" s="9" t="s">
        <v>525</v>
      </c>
      <c r="D19" s="9" t="s">
        <v>644</v>
      </c>
      <c r="E19" s="20" t="s">
        <v>320</v>
      </c>
      <c r="F19" s="20" t="s">
        <v>609</v>
      </c>
      <c r="G19" s="9" t="s">
        <v>609</v>
      </c>
      <c r="H19" s="10" t="s">
        <v>395</v>
      </c>
      <c r="I19" s="11">
        <v>1199</v>
      </c>
      <c r="J19" s="11">
        <v>516.80999999999995</v>
      </c>
      <c r="K19" s="62">
        <v>0</v>
      </c>
      <c r="L19" s="12">
        <v>0</v>
      </c>
      <c r="M19" s="13" t="s">
        <v>466</v>
      </c>
      <c r="N19" s="13" t="s">
        <v>383</v>
      </c>
      <c r="O19" s="14"/>
      <c r="P19" s="12">
        <v>0</v>
      </c>
      <c r="Q19" s="12">
        <v>0</v>
      </c>
      <c r="R19" s="12">
        <v>0</v>
      </c>
      <c r="S19" s="12">
        <v>0</v>
      </c>
      <c r="T19" s="12">
        <v>0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2">
        <v>0</v>
      </c>
      <c r="AD19" s="12">
        <v>0</v>
      </c>
      <c r="AE19" s="12">
        <v>0</v>
      </c>
      <c r="AF19" s="12">
        <v>0</v>
      </c>
      <c r="AG19" s="12">
        <v>0</v>
      </c>
      <c r="AH19" s="12">
        <v>0</v>
      </c>
      <c r="AI19" s="12">
        <v>0</v>
      </c>
      <c r="AJ19" s="12">
        <v>0</v>
      </c>
      <c r="AK19" s="12">
        <v>0</v>
      </c>
      <c r="AL19" s="12">
        <v>0</v>
      </c>
      <c r="AM19" s="12">
        <v>0</v>
      </c>
      <c r="AN19" s="12">
        <v>0</v>
      </c>
      <c r="AO19" s="12">
        <v>0</v>
      </c>
      <c r="AP19" s="12">
        <v>0</v>
      </c>
      <c r="AQ19" s="12">
        <v>0</v>
      </c>
      <c r="AR19" s="12">
        <v>0</v>
      </c>
      <c r="AS19" s="12">
        <v>0</v>
      </c>
      <c r="AT19" s="12">
        <v>0</v>
      </c>
      <c r="AU19" s="12">
        <v>0</v>
      </c>
      <c r="AV19" s="12">
        <v>0</v>
      </c>
      <c r="AW19" s="12">
        <v>0</v>
      </c>
      <c r="AX19" s="12">
        <v>0</v>
      </c>
      <c r="AY19" s="12">
        <v>0</v>
      </c>
      <c r="AZ19" s="12">
        <v>0</v>
      </c>
      <c r="BA19" s="12">
        <v>0</v>
      </c>
      <c r="BB19" s="12">
        <v>61</v>
      </c>
      <c r="BC19" s="12">
        <v>72</v>
      </c>
      <c r="BD19" s="12">
        <v>64</v>
      </c>
      <c r="BE19" s="12">
        <v>53</v>
      </c>
      <c r="BF19" s="12">
        <v>45</v>
      </c>
      <c r="BG19" s="12">
        <v>10</v>
      </c>
      <c r="BH19" s="12">
        <v>8</v>
      </c>
      <c r="BI19" s="12">
        <v>20</v>
      </c>
      <c r="BJ19" s="12">
        <v>20</v>
      </c>
      <c r="BK19" s="12">
        <v>19</v>
      </c>
      <c r="BL19" s="12">
        <v>9</v>
      </c>
      <c r="BM19" s="12">
        <v>15</v>
      </c>
      <c r="BN19" s="12">
        <v>17</v>
      </c>
      <c r="BO19" s="12">
        <v>22</v>
      </c>
      <c r="BP19" s="12">
        <v>35</v>
      </c>
      <c r="BQ19" s="12">
        <v>26</v>
      </c>
      <c r="BR19" s="12">
        <v>18</v>
      </c>
      <c r="BS19" s="12">
        <v>21</v>
      </c>
      <c r="BT19" s="12">
        <v>13</v>
      </c>
      <c r="BU19" s="12">
        <v>8</v>
      </c>
      <c r="BV19" s="12">
        <v>12</v>
      </c>
      <c r="BW19" s="12">
        <v>16</v>
      </c>
      <c r="BX19" s="12">
        <v>13</v>
      </c>
      <c r="BY19" s="12">
        <v>12</v>
      </c>
      <c r="BZ19" s="12">
        <v>8</v>
      </c>
      <c r="CA19" s="12">
        <v>5</v>
      </c>
      <c r="CB19" s="12">
        <v>10</v>
      </c>
      <c r="CC19" s="12">
        <v>9</v>
      </c>
      <c r="CD19" s="12">
        <v>10</v>
      </c>
      <c r="CE19" s="12">
        <v>3</v>
      </c>
      <c r="CF19" s="12">
        <v>5</v>
      </c>
      <c r="CG19" s="12">
        <v>8</v>
      </c>
      <c r="CH19" s="12">
        <v>10</v>
      </c>
      <c r="CI19" s="12">
        <v>8</v>
      </c>
      <c r="CJ19" s="12">
        <v>5</v>
      </c>
      <c r="CK19" s="12">
        <v>5</v>
      </c>
      <c r="CL19" s="12">
        <v>9</v>
      </c>
      <c r="CM19" s="12">
        <v>10</v>
      </c>
      <c r="CN19" s="12">
        <v>6</v>
      </c>
      <c r="CO19" s="12">
        <v>5</v>
      </c>
      <c r="CP19" s="12">
        <v>6</v>
      </c>
      <c r="CQ19" s="12">
        <v>8</v>
      </c>
      <c r="CR19" s="12">
        <v>2</v>
      </c>
      <c r="CS19" s="12">
        <v>9</v>
      </c>
      <c r="CT19" s="12">
        <v>5</v>
      </c>
      <c r="CU19" s="12">
        <v>4</v>
      </c>
      <c r="CV19" s="12">
        <v>11</v>
      </c>
      <c r="CW19" s="12">
        <v>5</v>
      </c>
      <c r="CX19" s="12">
        <v>6</v>
      </c>
      <c r="CY19" s="12">
        <v>4</v>
      </c>
      <c r="CZ19" s="12">
        <v>11</v>
      </c>
      <c r="DA19" s="12">
        <v>4</v>
      </c>
      <c r="DB19" s="12">
        <v>7</v>
      </c>
      <c r="DC19" s="12">
        <v>3</v>
      </c>
      <c r="DD19" s="12">
        <v>0</v>
      </c>
      <c r="DE19" s="12">
        <v>2</v>
      </c>
      <c r="DF19" s="12">
        <v>3</v>
      </c>
      <c r="DG19" s="12">
        <v>5</v>
      </c>
      <c r="DH19" s="12">
        <v>4</v>
      </c>
      <c r="DI19" s="12">
        <v>6</v>
      </c>
      <c r="DJ19" s="12">
        <v>6</v>
      </c>
      <c r="DK19" s="12">
        <v>1</v>
      </c>
      <c r="DL19" s="12">
        <v>3</v>
      </c>
      <c r="DM19" s="12">
        <v>10</v>
      </c>
      <c r="DN19" s="12">
        <v>13</v>
      </c>
      <c r="DO19" s="12">
        <v>8</v>
      </c>
      <c r="DP19" s="12">
        <v>7</v>
      </c>
      <c r="DQ19" s="12">
        <v>12</v>
      </c>
      <c r="DR19" s="12">
        <v>5</v>
      </c>
      <c r="DS19" s="12">
        <v>5</v>
      </c>
      <c r="DT19" s="12">
        <v>11</v>
      </c>
      <c r="DU19" s="12">
        <v>9</v>
      </c>
      <c r="DV19" s="12">
        <v>4</v>
      </c>
      <c r="DW19" s="12">
        <v>4</v>
      </c>
      <c r="DX19" s="12">
        <v>3</v>
      </c>
      <c r="DY19" s="12">
        <v>6</v>
      </c>
      <c r="DZ19" s="12">
        <v>1</v>
      </c>
      <c r="EA19" s="12">
        <v>4</v>
      </c>
      <c r="EB19" s="12">
        <v>6</v>
      </c>
      <c r="EC19" s="12">
        <v>2</v>
      </c>
      <c r="ED19" s="12">
        <v>9</v>
      </c>
      <c r="EE19" s="12">
        <v>1</v>
      </c>
      <c r="EF19" s="12">
        <v>5</v>
      </c>
      <c r="EG19" s="12">
        <v>5</v>
      </c>
      <c r="EH19" s="12">
        <v>1</v>
      </c>
      <c r="EI19" s="12">
        <v>5</v>
      </c>
      <c r="EJ19" s="12">
        <v>5</v>
      </c>
      <c r="EK19" s="12">
        <v>5</v>
      </c>
      <c r="EL19" s="12">
        <v>6</v>
      </c>
      <c r="EM19" s="12">
        <v>4</v>
      </c>
      <c r="EN19" s="12">
        <v>2</v>
      </c>
      <c r="EO19" s="12">
        <v>4</v>
      </c>
      <c r="EP19" s="12" t="str">
        <f t="shared" si="7"/>
        <v>🟠 Bajo</v>
      </c>
      <c r="EQ19" s="23">
        <f t="shared" si="1"/>
        <v>5.208333333333333</v>
      </c>
      <c r="ER19" s="19">
        <f t="shared" si="2"/>
        <v>67702.109999999986</v>
      </c>
      <c r="ES19" s="12">
        <f t="shared" si="3"/>
        <v>131</v>
      </c>
      <c r="ET19" s="23">
        <f t="shared" si="8"/>
        <v>17.5</v>
      </c>
      <c r="EU19" s="23">
        <f t="shared" si="9"/>
        <v>25.5</v>
      </c>
      <c r="EV19" s="23">
        <f t="shared" si="6"/>
        <v>22</v>
      </c>
      <c r="EW19" s="23"/>
      <c r="EX19" s="12">
        <v>158</v>
      </c>
      <c r="EY19" s="19" cm="1">
        <f t="array" ref="EY19:FC19">VLOOKUP(_xlfn.SINGLE(B:B),'[1]Price List'!$B:$N,{8,4,5,6,7},0)</f>
        <v>516.80999999999995</v>
      </c>
      <c r="EZ19" s="9" t="str">
        <v>Speck BALANCE FOLIO APPLE 13" IPAD PRO CASES - Black</v>
      </c>
      <c r="FA19" s="12" t="str">
        <v>Cases iPad</v>
      </c>
      <c r="FB19" s="12" t="str">
        <v>iPad</v>
      </c>
      <c r="FC19" s="12" t="str">
        <v>iPad Pro 13" M4</v>
      </c>
      <c r="FD19" s="23" t="str">
        <f>_xlfn.XLOOKUP(B:B,'[1]Price List'!$B:$B,'[1]Price List'!$A:$A)</f>
        <v>Speck</v>
      </c>
    </row>
    <row r="20" spans="1:160" s="9" customFormat="1" x14ac:dyDescent="0.2">
      <c r="A20" s="23" t="s">
        <v>599</v>
      </c>
      <c r="B20" s="23">
        <v>840168536160</v>
      </c>
      <c r="C20" s="9" t="s">
        <v>527</v>
      </c>
      <c r="D20" s="9" t="s">
        <v>644</v>
      </c>
      <c r="E20" s="20" t="s">
        <v>320</v>
      </c>
      <c r="F20" s="20" t="s">
        <v>610</v>
      </c>
      <c r="G20" s="9" t="s">
        <v>673</v>
      </c>
      <c r="H20" s="10" t="s">
        <v>406</v>
      </c>
      <c r="I20" s="11">
        <v>999</v>
      </c>
      <c r="J20" s="21">
        <v>430.6</v>
      </c>
      <c r="K20" s="62">
        <v>0</v>
      </c>
      <c r="L20" s="12">
        <v>0</v>
      </c>
      <c r="M20" s="13" t="s">
        <v>466</v>
      </c>
      <c r="N20" s="13" t="s">
        <v>383</v>
      </c>
      <c r="O20" s="14"/>
      <c r="P20" s="12">
        <v>0</v>
      </c>
      <c r="Q20" s="12">
        <v>0</v>
      </c>
      <c r="R20" s="12">
        <v>0</v>
      </c>
      <c r="S20" s="12">
        <v>0</v>
      </c>
      <c r="T20" s="12">
        <v>0</v>
      </c>
      <c r="U20" s="12">
        <v>0</v>
      </c>
      <c r="V20" s="12">
        <v>0</v>
      </c>
      <c r="W20" s="12">
        <v>0</v>
      </c>
      <c r="X20" s="12">
        <v>0</v>
      </c>
      <c r="Y20" s="12">
        <v>0</v>
      </c>
      <c r="Z20" s="12">
        <v>0</v>
      </c>
      <c r="AA20" s="12">
        <v>0</v>
      </c>
      <c r="AB20" s="12">
        <v>0</v>
      </c>
      <c r="AC20" s="12">
        <v>0</v>
      </c>
      <c r="AD20" s="12">
        <v>0</v>
      </c>
      <c r="AE20" s="12">
        <v>0</v>
      </c>
      <c r="AF20" s="12">
        <v>0</v>
      </c>
      <c r="AG20" s="12">
        <v>0</v>
      </c>
      <c r="AH20" s="12">
        <v>0</v>
      </c>
      <c r="AI20" s="12">
        <v>0</v>
      </c>
      <c r="AJ20" s="12">
        <v>0</v>
      </c>
      <c r="AK20" s="12">
        <v>0</v>
      </c>
      <c r="AL20" s="12">
        <v>0</v>
      </c>
      <c r="AM20" s="12">
        <v>0</v>
      </c>
      <c r="AN20" s="12">
        <v>0</v>
      </c>
      <c r="AO20" s="12">
        <v>0</v>
      </c>
      <c r="AP20" s="12">
        <v>0</v>
      </c>
      <c r="AQ20" s="12">
        <v>0</v>
      </c>
      <c r="AR20" s="12">
        <v>0</v>
      </c>
      <c r="AS20" s="12">
        <v>0</v>
      </c>
      <c r="AT20" s="12">
        <v>0</v>
      </c>
      <c r="AU20" s="12">
        <v>0</v>
      </c>
      <c r="AV20" s="12">
        <v>0</v>
      </c>
      <c r="AW20" s="12">
        <v>0</v>
      </c>
      <c r="AX20" s="12">
        <v>0</v>
      </c>
      <c r="AY20" s="12">
        <v>0</v>
      </c>
      <c r="AZ20" s="12">
        <v>0</v>
      </c>
      <c r="BA20" s="12">
        <v>0</v>
      </c>
      <c r="BB20" s="12">
        <v>0</v>
      </c>
      <c r="BC20" s="12">
        <v>51</v>
      </c>
      <c r="BD20" s="12">
        <v>65</v>
      </c>
      <c r="BE20" s="12">
        <v>39</v>
      </c>
      <c r="BF20" s="12">
        <v>37</v>
      </c>
      <c r="BG20" s="12">
        <v>12</v>
      </c>
      <c r="BH20" s="12">
        <v>14</v>
      </c>
      <c r="BI20" s="12">
        <v>14</v>
      </c>
      <c r="BJ20" s="12">
        <v>24</v>
      </c>
      <c r="BK20" s="12">
        <v>12</v>
      </c>
      <c r="BL20" s="12">
        <v>17</v>
      </c>
      <c r="BM20" s="12">
        <v>22</v>
      </c>
      <c r="BN20" s="12">
        <v>14</v>
      </c>
      <c r="BO20" s="12">
        <v>21</v>
      </c>
      <c r="BP20" s="12">
        <v>43</v>
      </c>
      <c r="BQ20" s="12">
        <v>28</v>
      </c>
      <c r="BR20" s="12">
        <v>23</v>
      </c>
      <c r="BS20" s="12">
        <v>16</v>
      </c>
      <c r="BT20" s="12">
        <v>15</v>
      </c>
      <c r="BU20" s="12">
        <v>16</v>
      </c>
      <c r="BV20" s="12">
        <v>16</v>
      </c>
      <c r="BW20" s="12">
        <v>21</v>
      </c>
      <c r="BX20" s="12">
        <v>9</v>
      </c>
      <c r="BY20" s="12">
        <v>13</v>
      </c>
      <c r="BZ20" s="12">
        <v>11</v>
      </c>
      <c r="CA20" s="12">
        <v>9</v>
      </c>
      <c r="CB20" s="12">
        <v>7</v>
      </c>
      <c r="CC20" s="12">
        <v>11</v>
      </c>
      <c r="CD20" s="12">
        <v>16</v>
      </c>
      <c r="CE20" s="12">
        <v>8</v>
      </c>
      <c r="CF20" s="12">
        <v>9</v>
      </c>
      <c r="CG20" s="12">
        <v>10</v>
      </c>
      <c r="CH20" s="12">
        <v>10</v>
      </c>
      <c r="CI20" s="12">
        <v>15</v>
      </c>
      <c r="CJ20" s="12">
        <v>16</v>
      </c>
      <c r="CK20" s="12">
        <v>15</v>
      </c>
      <c r="CL20" s="12">
        <v>11</v>
      </c>
      <c r="CM20" s="12">
        <v>8</v>
      </c>
      <c r="CN20" s="12">
        <v>6</v>
      </c>
      <c r="CO20" s="12">
        <v>9</v>
      </c>
      <c r="CP20" s="12">
        <v>5</v>
      </c>
      <c r="CQ20" s="12">
        <v>9</v>
      </c>
      <c r="CR20" s="12">
        <v>7</v>
      </c>
      <c r="CS20" s="12">
        <v>11</v>
      </c>
      <c r="CT20" s="12">
        <v>19</v>
      </c>
      <c r="CU20" s="12">
        <v>7</v>
      </c>
      <c r="CV20" s="12">
        <v>7</v>
      </c>
      <c r="CW20" s="12">
        <v>7</v>
      </c>
      <c r="CX20" s="12">
        <v>15</v>
      </c>
      <c r="CY20" s="12">
        <v>9</v>
      </c>
      <c r="CZ20" s="12">
        <v>4</v>
      </c>
      <c r="DA20" s="12">
        <v>1</v>
      </c>
      <c r="DB20" s="12">
        <v>4</v>
      </c>
      <c r="DC20" s="12">
        <v>0</v>
      </c>
      <c r="DD20" s="12">
        <v>4</v>
      </c>
      <c r="DE20" s="12">
        <v>3</v>
      </c>
      <c r="DF20" s="12">
        <v>7</v>
      </c>
      <c r="DG20" s="12">
        <v>4</v>
      </c>
      <c r="DH20" s="12">
        <v>6</v>
      </c>
      <c r="DI20" s="12">
        <v>9</v>
      </c>
      <c r="DJ20" s="12">
        <v>8</v>
      </c>
      <c r="DK20" s="12">
        <v>4</v>
      </c>
      <c r="DL20" s="12">
        <v>6</v>
      </c>
      <c r="DM20" s="12">
        <v>8</v>
      </c>
      <c r="DN20" s="12">
        <v>10</v>
      </c>
      <c r="DO20" s="12">
        <v>15</v>
      </c>
      <c r="DP20" s="12">
        <v>7</v>
      </c>
      <c r="DQ20" s="12">
        <v>12</v>
      </c>
      <c r="DR20" s="12">
        <v>6</v>
      </c>
      <c r="DS20" s="12">
        <v>14</v>
      </c>
      <c r="DT20" s="12">
        <v>15</v>
      </c>
      <c r="DU20" s="12">
        <v>12</v>
      </c>
      <c r="DV20" s="12">
        <v>7</v>
      </c>
      <c r="DW20" s="12">
        <v>5</v>
      </c>
      <c r="DX20" s="12">
        <v>9</v>
      </c>
      <c r="DY20" s="12">
        <v>7</v>
      </c>
      <c r="DZ20" s="12">
        <v>10</v>
      </c>
      <c r="EA20" s="12">
        <v>2</v>
      </c>
      <c r="EB20" s="12">
        <v>5</v>
      </c>
      <c r="EC20" s="12">
        <v>7</v>
      </c>
      <c r="ED20" s="12">
        <v>5</v>
      </c>
      <c r="EE20" s="12">
        <v>6</v>
      </c>
      <c r="EF20" s="12">
        <v>5</v>
      </c>
      <c r="EG20" s="12">
        <v>3</v>
      </c>
      <c r="EH20" s="12">
        <v>8</v>
      </c>
      <c r="EI20" s="12">
        <v>5</v>
      </c>
      <c r="EJ20" s="12">
        <v>5</v>
      </c>
      <c r="EK20" s="12">
        <v>8</v>
      </c>
      <c r="EL20" s="12">
        <v>4</v>
      </c>
      <c r="EM20" s="12">
        <v>5</v>
      </c>
      <c r="EN20" s="12">
        <v>6</v>
      </c>
      <c r="EO20" s="12">
        <v>2</v>
      </c>
      <c r="EP20" s="12" t="str">
        <f t="shared" si="7"/>
        <v>🟠 Bajo</v>
      </c>
      <c r="EQ20" s="23">
        <f t="shared" si="1"/>
        <v>7.166666666666667</v>
      </c>
      <c r="ER20" s="19">
        <f t="shared" si="2"/>
        <v>77508</v>
      </c>
      <c r="ES20" s="12">
        <f t="shared" si="3"/>
        <v>180</v>
      </c>
      <c r="ET20" s="23">
        <f t="shared" si="8"/>
        <v>13.5</v>
      </c>
      <c r="EU20" s="23">
        <f t="shared" si="9"/>
        <v>33</v>
      </c>
      <c r="EV20" s="23">
        <f t="shared" si="6"/>
        <v>30.44</v>
      </c>
      <c r="EW20" s="23"/>
      <c r="EX20" s="12">
        <v>204</v>
      </c>
      <c r="EY20" s="19" cm="1">
        <f t="array" ref="EY20:FC20">VLOOKUP(_xlfn.SINGLE(B:B),'[1]Price List'!$B:$N,{8,4,5,6,7},0)</f>
        <v>430.6</v>
      </c>
      <c r="EZ20" s="9" t="str">
        <v>Speck BALANCE FOLIO APPLE 11" IPAD PRO CASES - Black</v>
      </c>
      <c r="FA20" s="12" t="str">
        <v>Cases iPad</v>
      </c>
      <c r="FB20" s="12" t="str">
        <v>iPad</v>
      </c>
      <c r="FC20" s="12" t="str">
        <v>iPad Pro 11" M3/M4</v>
      </c>
      <c r="FD20" s="23" t="str">
        <f>_xlfn.XLOOKUP(B:B,'[1]Price List'!$B:$B,'[1]Price List'!$A:$A)</f>
        <v>Speck</v>
      </c>
    </row>
    <row r="21" spans="1:160" s="9" customFormat="1" x14ac:dyDescent="0.2">
      <c r="A21" s="23" t="s">
        <v>599</v>
      </c>
      <c r="B21" s="23">
        <v>840168507573</v>
      </c>
      <c r="C21" s="9" t="s">
        <v>133</v>
      </c>
      <c r="D21" s="9" t="s">
        <v>644</v>
      </c>
      <c r="E21" s="9" t="s">
        <v>320</v>
      </c>
      <c r="F21" s="9" t="s">
        <v>611</v>
      </c>
      <c r="G21" s="9" t="s">
        <v>674</v>
      </c>
      <c r="H21" s="12" t="s">
        <v>134</v>
      </c>
      <c r="I21" s="12">
        <v>999</v>
      </c>
      <c r="J21" s="11">
        <v>430.6</v>
      </c>
      <c r="K21" s="62">
        <v>0</v>
      </c>
      <c r="L21" s="12">
        <v>0</v>
      </c>
      <c r="M21" s="13" t="s">
        <v>466</v>
      </c>
      <c r="N21" s="13" t="s">
        <v>383</v>
      </c>
      <c r="O21" s="27" t="s">
        <v>135</v>
      </c>
      <c r="P21" s="12">
        <v>4</v>
      </c>
      <c r="Q21" s="12">
        <v>6</v>
      </c>
      <c r="R21" s="12">
        <v>6</v>
      </c>
      <c r="S21" s="12">
        <v>6</v>
      </c>
      <c r="T21" s="12">
        <v>5</v>
      </c>
      <c r="U21" s="12">
        <v>3</v>
      </c>
      <c r="V21" s="12">
        <v>13</v>
      </c>
      <c r="W21" s="12">
        <v>6</v>
      </c>
      <c r="X21" s="12">
        <v>5</v>
      </c>
      <c r="Y21" s="12">
        <v>4</v>
      </c>
      <c r="Z21" s="12">
        <v>4</v>
      </c>
      <c r="AA21" s="12">
        <v>5</v>
      </c>
      <c r="AB21" s="12">
        <v>3</v>
      </c>
      <c r="AC21" s="12">
        <v>3</v>
      </c>
      <c r="AD21" s="12">
        <v>3</v>
      </c>
      <c r="AE21" s="12">
        <v>4</v>
      </c>
      <c r="AF21" s="12">
        <v>2</v>
      </c>
      <c r="AG21" s="12">
        <v>3</v>
      </c>
      <c r="AH21" s="12">
        <v>1</v>
      </c>
      <c r="AI21" s="12">
        <v>2</v>
      </c>
      <c r="AJ21" s="12">
        <v>4</v>
      </c>
      <c r="AK21" s="12">
        <v>0</v>
      </c>
      <c r="AL21" s="12">
        <v>2</v>
      </c>
      <c r="AM21" s="12">
        <v>3</v>
      </c>
      <c r="AN21" s="12">
        <v>2</v>
      </c>
      <c r="AO21" s="12">
        <v>1</v>
      </c>
      <c r="AP21" s="12">
        <v>1</v>
      </c>
      <c r="AQ21" s="12">
        <v>0</v>
      </c>
      <c r="AR21" s="12">
        <v>1</v>
      </c>
      <c r="AS21" s="12">
        <v>0</v>
      </c>
      <c r="AT21" s="12">
        <v>2</v>
      </c>
      <c r="AU21" s="12">
        <v>0</v>
      </c>
      <c r="AV21" s="12">
        <v>0</v>
      </c>
      <c r="AW21" s="12">
        <v>0</v>
      </c>
      <c r="AX21" s="12">
        <v>2</v>
      </c>
      <c r="AY21" s="12">
        <v>1</v>
      </c>
      <c r="AZ21" s="12">
        <v>2</v>
      </c>
      <c r="BA21" s="12">
        <v>1</v>
      </c>
      <c r="BB21" s="12">
        <v>2</v>
      </c>
      <c r="BC21" s="12">
        <v>1</v>
      </c>
      <c r="BD21" s="12">
        <v>0</v>
      </c>
      <c r="BE21" s="12">
        <v>1</v>
      </c>
      <c r="BF21" s="12">
        <v>1</v>
      </c>
      <c r="BG21" s="12">
        <v>2</v>
      </c>
      <c r="BH21" s="12">
        <v>0</v>
      </c>
      <c r="BI21" s="12">
        <v>0</v>
      </c>
      <c r="BJ21" s="12">
        <v>0</v>
      </c>
      <c r="BK21" s="12">
        <v>2</v>
      </c>
      <c r="BL21" s="12">
        <v>0</v>
      </c>
      <c r="BM21" s="12">
        <v>1</v>
      </c>
      <c r="BN21" s="12">
        <v>0</v>
      </c>
      <c r="BO21" s="12">
        <v>1</v>
      </c>
      <c r="BP21" s="12">
        <v>2</v>
      </c>
      <c r="BQ21" s="12">
        <v>0</v>
      </c>
      <c r="BR21" s="12">
        <v>0</v>
      </c>
      <c r="BS21" s="12">
        <v>17</v>
      </c>
      <c r="BT21" s="12">
        <v>18</v>
      </c>
      <c r="BU21" s="12">
        <v>18</v>
      </c>
      <c r="BV21" s="12">
        <v>25</v>
      </c>
      <c r="BW21" s="12">
        <v>15</v>
      </c>
      <c r="BX21" s="12">
        <v>6</v>
      </c>
      <c r="BY21" s="12">
        <v>25</v>
      </c>
      <c r="BZ21" s="12">
        <v>22</v>
      </c>
      <c r="CA21" s="12">
        <v>14</v>
      </c>
      <c r="CB21" s="12">
        <v>18</v>
      </c>
      <c r="CC21" s="12">
        <v>12</v>
      </c>
      <c r="CD21" s="12">
        <v>8</v>
      </c>
      <c r="CE21" s="12">
        <v>4</v>
      </c>
      <c r="CF21" s="12">
        <v>11</v>
      </c>
      <c r="CG21" s="12">
        <v>5</v>
      </c>
      <c r="CH21" s="12">
        <v>3</v>
      </c>
      <c r="CI21" s="12">
        <v>3</v>
      </c>
      <c r="CJ21" s="12">
        <v>1</v>
      </c>
      <c r="CK21" s="12">
        <v>1</v>
      </c>
      <c r="CL21" s="12">
        <v>2</v>
      </c>
      <c r="CM21" s="12">
        <v>1</v>
      </c>
      <c r="CN21" s="12">
        <v>0</v>
      </c>
      <c r="CO21" s="12">
        <v>7</v>
      </c>
      <c r="CP21" s="12">
        <v>34</v>
      </c>
      <c r="CQ21" s="12">
        <v>31</v>
      </c>
      <c r="CR21" s="12">
        <v>24</v>
      </c>
      <c r="CS21" s="12">
        <v>17</v>
      </c>
      <c r="CT21" s="12">
        <v>29</v>
      </c>
      <c r="CU21" s="12">
        <v>17</v>
      </c>
      <c r="CV21" s="12">
        <v>14</v>
      </c>
      <c r="CW21" s="12">
        <v>30</v>
      </c>
      <c r="CX21" s="12">
        <v>33</v>
      </c>
      <c r="CY21" s="12">
        <v>28</v>
      </c>
      <c r="CZ21" s="12">
        <v>24</v>
      </c>
      <c r="DA21" s="12">
        <v>18</v>
      </c>
      <c r="DB21" s="12">
        <v>10</v>
      </c>
      <c r="DC21" s="12">
        <v>17</v>
      </c>
      <c r="DD21" s="12">
        <v>30</v>
      </c>
      <c r="DE21" s="12">
        <v>22</v>
      </c>
      <c r="DF21" s="12">
        <v>24</v>
      </c>
      <c r="DG21" s="12">
        <v>19</v>
      </c>
      <c r="DH21" s="12">
        <v>14</v>
      </c>
      <c r="DI21" s="12">
        <v>46</v>
      </c>
      <c r="DJ21" s="12">
        <v>35</v>
      </c>
      <c r="DK21" s="12">
        <v>21</v>
      </c>
      <c r="DL21" s="12">
        <v>26</v>
      </c>
      <c r="DM21" s="12">
        <v>23</v>
      </c>
      <c r="DN21" s="12">
        <v>15</v>
      </c>
      <c r="DO21" s="12">
        <v>21</v>
      </c>
      <c r="DP21" s="12">
        <v>11</v>
      </c>
      <c r="DQ21" s="12">
        <v>7</v>
      </c>
      <c r="DR21" s="12">
        <v>4</v>
      </c>
      <c r="DS21" s="12">
        <v>3</v>
      </c>
      <c r="DT21" s="12">
        <v>3</v>
      </c>
      <c r="DU21" s="12">
        <v>3</v>
      </c>
      <c r="DV21" s="12">
        <v>3</v>
      </c>
      <c r="DW21" s="12">
        <v>27</v>
      </c>
      <c r="DX21" s="12">
        <v>31</v>
      </c>
      <c r="DY21" s="12">
        <v>29</v>
      </c>
      <c r="DZ21" s="12">
        <v>24</v>
      </c>
      <c r="EA21" s="12">
        <v>25</v>
      </c>
      <c r="EB21" s="12">
        <v>15</v>
      </c>
      <c r="EC21" s="12">
        <v>22</v>
      </c>
      <c r="ED21" s="12">
        <v>15</v>
      </c>
      <c r="EE21" s="12">
        <v>9</v>
      </c>
      <c r="EF21" s="12">
        <v>7</v>
      </c>
      <c r="EG21" s="12">
        <v>11</v>
      </c>
      <c r="EH21" s="12">
        <v>12</v>
      </c>
      <c r="EI21" s="12">
        <v>10</v>
      </c>
      <c r="EJ21" s="12">
        <v>23</v>
      </c>
      <c r="EK21" s="12">
        <v>23</v>
      </c>
      <c r="EL21" s="12">
        <v>22</v>
      </c>
      <c r="EM21" s="12">
        <v>30</v>
      </c>
      <c r="EN21" s="12">
        <v>22</v>
      </c>
      <c r="EO21" s="12">
        <v>26</v>
      </c>
      <c r="EP21" s="12" t="str">
        <f t="shared" si="7"/>
        <v>🟠 Bajo</v>
      </c>
      <c r="EQ21" s="23">
        <f t="shared" si="1"/>
        <v>15.375</v>
      </c>
      <c r="ER21" s="19">
        <f t="shared" si="2"/>
        <v>179560.2</v>
      </c>
      <c r="ES21" s="12">
        <f t="shared" si="3"/>
        <v>417</v>
      </c>
      <c r="ET21" s="23">
        <f t="shared" si="8"/>
        <v>82</v>
      </c>
      <c r="EU21" s="23">
        <f t="shared" si="9"/>
        <v>100.5</v>
      </c>
      <c r="EV21" s="23">
        <f t="shared" si="6"/>
        <v>55.33</v>
      </c>
      <c r="EW21" s="23"/>
      <c r="EX21" s="12">
        <v>261</v>
      </c>
      <c r="EY21" s="19" cm="1">
        <f t="array" ref="EY21:FC21">VLOOKUP(_xlfn.SINGLE(B:B),'[1]Price List'!$B:$N,{8,4,5,6,7},0)</f>
        <v>344.4</v>
      </c>
      <c r="EZ21" s="9" t="str">
        <v>Speck Balance Folio with Microban for iPad mini 6 - Black</v>
      </c>
      <c r="FA21" s="12" t="str">
        <v>Cases iPad</v>
      </c>
      <c r="FB21" s="12" t="str">
        <v>iPad</v>
      </c>
      <c r="FC21" s="12" t="str">
        <v>iPad mini 6</v>
      </c>
      <c r="FD21" s="23" t="str">
        <f>_xlfn.XLOOKUP(B:B,'[1]Price List'!$B:$B,'[1]Price List'!$A:$A)</f>
        <v>Speck</v>
      </c>
    </row>
    <row r="22" spans="1:160" s="9" customFormat="1" x14ac:dyDescent="0.2">
      <c r="A22" s="23" t="s">
        <v>599</v>
      </c>
      <c r="B22" s="23">
        <v>840168501823</v>
      </c>
      <c r="C22" s="9" t="s">
        <v>127</v>
      </c>
      <c r="D22" s="9" t="s">
        <v>644</v>
      </c>
      <c r="E22" s="9" t="s">
        <v>320</v>
      </c>
      <c r="F22" s="9" t="s">
        <v>612</v>
      </c>
      <c r="G22" s="9" t="s">
        <v>675</v>
      </c>
      <c r="H22" s="10" t="s">
        <v>357</v>
      </c>
      <c r="I22" s="11">
        <v>1199</v>
      </c>
      <c r="J22" s="11">
        <v>516.80999999999995</v>
      </c>
      <c r="K22" s="62">
        <v>0</v>
      </c>
      <c r="L22" s="12">
        <v>0</v>
      </c>
      <c r="M22" s="13" t="s">
        <v>466</v>
      </c>
      <c r="N22" s="13" t="s">
        <v>383</v>
      </c>
      <c r="O22" s="27">
        <v>45384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2">
        <v>0</v>
      </c>
      <c r="AD22" s="12">
        <v>0</v>
      </c>
      <c r="AE22" s="12">
        <v>0</v>
      </c>
      <c r="AF22" s="12">
        <v>0</v>
      </c>
      <c r="AG22" s="12">
        <v>0</v>
      </c>
      <c r="AH22" s="12">
        <v>0</v>
      </c>
      <c r="AI22" s="12">
        <v>7</v>
      </c>
      <c r="AJ22" s="12">
        <v>14</v>
      </c>
      <c r="AK22" s="12">
        <v>18</v>
      </c>
      <c r="AL22" s="12">
        <v>23</v>
      </c>
      <c r="AM22" s="12">
        <v>9</v>
      </c>
      <c r="AN22" s="12">
        <v>9</v>
      </c>
      <c r="AO22" s="12">
        <v>12</v>
      </c>
      <c r="AP22" s="12">
        <v>15</v>
      </c>
      <c r="AQ22" s="12">
        <v>17</v>
      </c>
      <c r="AR22" s="12">
        <v>18</v>
      </c>
      <c r="AS22" s="12">
        <v>13</v>
      </c>
      <c r="AT22" s="12">
        <v>16</v>
      </c>
      <c r="AU22" s="12">
        <v>25</v>
      </c>
      <c r="AV22" s="12">
        <v>26</v>
      </c>
      <c r="AW22" s="12">
        <v>39</v>
      </c>
      <c r="AX22" s="12">
        <v>47</v>
      </c>
      <c r="AY22" s="12">
        <v>38</v>
      </c>
      <c r="AZ22" s="12">
        <v>33</v>
      </c>
      <c r="BA22" s="12">
        <v>50</v>
      </c>
      <c r="BB22" s="12">
        <v>38</v>
      </c>
      <c r="BC22" s="12">
        <v>55</v>
      </c>
      <c r="BD22" s="12">
        <v>37</v>
      </c>
      <c r="BE22" s="12">
        <v>31</v>
      </c>
      <c r="BF22" s="12">
        <v>22</v>
      </c>
      <c r="BG22" s="12">
        <v>12</v>
      </c>
      <c r="BH22" s="12">
        <v>8</v>
      </c>
      <c r="BI22" s="12">
        <v>11</v>
      </c>
      <c r="BJ22" s="12">
        <v>23</v>
      </c>
      <c r="BK22" s="12">
        <v>14</v>
      </c>
      <c r="BL22" s="12">
        <v>12</v>
      </c>
      <c r="BM22" s="12">
        <v>9</v>
      </c>
      <c r="BN22" s="12">
        <v>10</v>
      </c>
      <c r="BO22" s="12">
        <v>20</v>
      </c>
      <c r="BP22" s="12">
        <v>41</v>
      </c>
      <c r="BQ22" s="12">
        <v>35</v>
      </c>
      <c r="BR22" s="12">
        <v>24</v>
      </c>
      <c r="BS22" s="12">
        <v>17</v>
      </c>
      <c r="BT22" s="12">
        <v>11</v>
      </c>
      <c r="BU22" s="12">
        <v>11</v>
      </c>
      <c r="BV22" s="12">
        <v>4</v>
      </c>
      <c r="BW22" s="12">
        <v>4</v>
      </c>
      <c r="BX22" s="12">
        <v>9</v>
      </c>
      <c r="BY22" s="12">
        <v>2</v>
      </c>
      <c r="BZ22" s="12">
        <v>12</v>
      </c>
      <c r="CA22" s="12">
        <v>10</v>
      </c>
      <c r="CB22" s="12">
        <v>15</v>
      </c>
      <c r="CC22" s="12">
        <v>9</v>
      </c>
      <c r="CD22" s="12">
        <v>8</v>
      </c>
      <c r="CE22" s="12">
        <v>16</v>
      </c>
      <c r="CF22" s="12">
        <v>13</v>
      </c>
      <c r="CG22" s="12">
        <v>13</v>
      </c>
      <c r="CH22" s="12">
        <v>7</v>
      </c>
      <c r="CI22" s="12">
        <v>3</v>
      </c>
      <c r="CJ22" s="12">
        <v>13</v>
      </c>
      <c r="CK22" s="12">
        <v>13</v>
      </c>
      <c r="CL22" s="12">
        <v>9</v>
      </c>
      <c r="CM22" s="12">
        <v>12</v>
      </c>
      <c r="CN22" s="12">
        <v>10</v>
      </c>
      <c r="CO22" s="12">
        <v>8</v>
      </c>
      <c r="CP22" s="12">
        <v>9</v>
      </c>
      <c r="CQ22" s="12">
        <v>6</v>
      </c>
      <c r="CR22" s="12">
        <v>9</v>
      </c>
      <c r="CS22" s="12">
        <v>10</v>
      </c>
      <c r="CT22" s="12">
        <v>21</v>
      </c>
      <c r="CU22" s="12">
        <v>20</v>
      </c>
      <c r="CV22" s="12">
        <v>24</v>
      </c>
      <c r="CW22" s="12">
        <v>23</v>
      </c>
      <c r="CX22" s="12">
        <v>20</v>
      </c>
      <c r="CY22" s="12">
        <v>12</v>
      </c>
      <c r="CZ22" s="12">
        <v>5</v>
      </c>
      <c r="DA22" s="12">
        <v>7</v>
      </c>
      <c r="DB22" s="12">
        <v>4</v>
      </c>
      <c r="DC22" s="12">
        <v>10</v>
      </c>
      <c r="DD22" s="12">
        <v>8</v>
      </c>
      <c r="DE22" s="12">
        <v>7</v>
      </c>
      <c r="DF22" s="12">
        <v>8</v>
      </c>
      <c r="DG22" s="12">
        <v>10</v>
      </c>
      <c r="DH22" s="12">
        <v>11</v>
      </c>
      <c r="DI22" s="12">
        <v>23</v>
      </c>
      <c r="DJ22" s="12">
        <v>12</v>
      </c>
      <c r="DK22" s="12">
        <v>6</v>
      </c>
      <c r="DL22" s="12">
        <v>13</v>
      </c>
      <c r="DM22" s="12">
        <v>10</v>
      </c>
      <c r="DN22" s="12">
        <v>12</v>
      </c>
      <c r="DO22" s="12">
        <v>17</v>
      </c>
      <c r="DP22" s="12">
        <v>17</v>
      </c>
      <c r="DQ22" s="12">
        <v>20</v>
      </c>
      <c r="DR22" s="12">
        <v>13</v>
      </c>
      <c r="DS22" s="12">
        <v>14</v>
      </c>
      <c r="DT22" s="12">
        <v>17</v>
      </c>
      <c r="DU22" s="12">
        <v>17</v>
      </c>
      <c r="DV22" s="12">
        <v>13</v>
      </c>
      <c r="DW22" s="12">
        <v>16</v>
      </c>
      <c r="DX22" s="12">
        <v>18</v>
      </c>
      <c r="DY22" s="12">
        <v>19</v>
      </c>
      <c r="DZ22" s="12">
        <v>21</v>
      </c>
      <c r="EA22" s="12">
        <v>14</v>
      </c>
      <c r="EB22" s="12">
        <v>11</v>
      </c>
      <c r="EC22" s="12">
        <v>16</v>
      </c>
      <c r="ED22" s="12">
        <v>15</v>
      </c>
      <c r="EE22" s="12">
        <v>14</v>
      </c>
      <c r="EF22" s="12">
        <v>20</v>
      </c>
      <c r="EG22" s="12">
        <v>7</v>
      </c>
      <c r="EH22" s="12">
        <v>18</v>
      </c>
      <c r="EI22" s="12">
        <v>11</v>
      </c>
      <c r="EJ22" s="12">
        <v>14</v>
      </c>
      <c r="EK22" s="12">
        <v>6</v>
      </c>
      <c r="EL22" s="12">
        <v>10</v>
      </c>
      <c r="EM22" s="12">
        <v>8</v>
      </c>
      <c r="EN22" s="12">
        <v>13</v>
      </c>
      <c r="EO22" s="12">
        <v>11</v>
      </c>
      <c r="EP22" s="12" t="str">
        <f t="shared" si="7"/>
        <v>🟢 Bien</v>
      </c>
      <c r="EQ22" s="23">
        <f t="shared" si="1"/>
        <v>14.541666666666666</v>
      </c>
      <c r="ER22" s="19">
        <f t="shared" si="2"/>
        <v>192770.12999999998</v>
      </c>
      <c r="ES22" s="12">
        <f t="shared" si="3"/>
        <v>373</v>
      </c>
      <c r="ET22" s="23">
        <f t="shared" si="8"/>
        <v>29.5</v>
      </c>
      <c r="EU22" s="23">
        <f t="shared" si="9"/>
        <v>52</v>
      </c>
      <c r="EV22" s="23">
        <f t="shared" si="6"/>
        <v>62.67</v>
      </c>
      <c r="EW22" s="23"/>
      <c r="EX22" s="12">
        <v>249</v>
      </c>
      <c r="EY22" s="19" cm="1">
        <f t="array" ref="EY22:FC22">VLOOKUP(_xlfn.SINGLE(B:B),'[1]Price List'!$B:$N,{8,4,5,6,7},0)</f>
        <v>516.80999999999995</v>
      </c>
      <c r="EZ22" s="9" t="str">
        <v>Speck Presidio Pro Folio for iPad Pro 11" 2/M1/M2 /Air 10.9" 4/5 - Black</v>
      </c>
      <c r="FA22" s="12" t="str">
        <v>Cases iPad</v>
      </c>
      <c r="FB22" s="12" t="str">
        <v>iPad</v>
      </c>
      <c r="FC22" s="12" t="str">
        <v>iPad Pro 11" 2/3</v>
      </c>
      <c r="FD22" s="23" t="str">
        <f>_xlfn.XLOOKUP(B:B,'[1]Price List'!$B:$B,'[1]Price List'!$A:$A)</f>
        <v>Speck</v>
      </c>
    </row>
    <row r="23" spans="1:160" s="9" customFormat="1" x14ac:dyDescent="0.2">
      <c r="A23" s="23" t="s">
        <v>599</v>
      </c>
      <c r="B23" s="23">
        <v>840168501335</v>
      </c>
      <c r="C23" s="9" t="s">
        <v>100</v>
      </c>
      <c r="D23" s="9" t="s">
        <v>644</v>
      </c>
      <c r="E23" s="9" t="s">
        <v>320</v>
      </c>
      <c r="F23" s="9" t="s">
        <v>612</v>
      </c>
      <c r="G23" s="9" t="s">
        <v>676</v>
      </c>
      <c r="H23" s="10" t="s">
        <v>356</v>
      </c>
      <c r="I23" s="11">
        <v>999</v>
      </c>
      <c r="J23" s="11">
        <v>430.6</v>
      </c>
      <c r="K23" s="62">
        <v>0</v>
      </c>
      <c r="L23" s="12">
        <v>0</v>
      </c>
      <c r="M23" s="13" t="s">
        <v>466</v>
      </c>
      <c r="N23" s="13" t="s">
        <v>383</v>
      </c>
      <c r="O23" s="27">
        <v>45384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17</v>
      </c>
      <c r="AJ23" s="12">
        <v>30</v>
      </c>
      <c r="AK23" s="12">
        <v>23</v>
      </c>
      <c r="AL23" s="12">
        <v>12</v>
      </c>
      <c r="AM23" s="12">
        <v>17</v>
      </c>
      <c r="AN23" s="12">
        <v>11</v>
      </c>
      <c r="AO23" s="12">
        <v>20</v>
      </c>
      <c r="AP23" s="12">
        <v>14</v>
      </c>
      <c r="AQ23" s="12">
        <v>16</v>
      </c>
      <c r="AR23" s="12">
        <v>9</v>
      </c>
      <c r="AS23" s="12">
        <v>16</v>
      </c>
      <c r="AT23" s="12">
        <v>25</v>
      </c>
      <c r="AU23" s="12">
        <v>16</v>
      </c>
      <c r="AV23" s="12">
        <v>21</v>
      </c>
      <c r="AW23" s="12">
        <v>44</v>
      </c>
      <c r="AX23" s="12">
        <v>27</v>
      </c>
      <c r="AY23" s="12">
        <v>44</v>
      </c>
      <c r="AZ23" s="12">
        <v>43</v>
      </c>
      <c r="BA23" s="12">
        <v>61</v>
      </c>
      <c r="BB23" s="12">
        <v>33</v>
      </c>
      <c r="BC23" s="12">
        <v>54</v>
      </c>
      <c r="BD23" s="12">
        <v>60</v>
      </c>
      <c r="BE23" s="12">
        <v>35</v>
      </c>
      <c r="BF23" s="12">
        <v>27</v>
      </c>
      <c r="BG23" s="12">
        <v>12</v>
      </c>
      <c r="BH23" s="12">
        <v>13</v>
      </c>
      <c r="BI23" s="12">
        <v>8</v>
      </c>
      <c r="BJ23" s="12">
        <v>36</v>
      </c>
      <c r="BK23" s="12">
        <v>15</v>
      </c>
      <c r="BL23" s="12">
        <v>15</v>
      </c>
      <c r="BM23" s="12">
        <v>17</v>
      </c>
      <c r="BN23" s="12">
        <v>10</v>
      </c>
      <c r="BO23" s="12">
        <v>32</v>
      </c>
      <c r="BP23" s="12">
        <v>56</v>
      </c>
      <c r="BQ23" s="12">
        <v>43</v>
      </c>
      <c r="BR23" s="12">
        <v>22</v>
      </c>
      <c r="BS23" s="12">
        <v>20</v>
      </c>
      <c r="BT23" s="12">
        <v>17</v>
      </c>
      <c r="BU23" s="12">
        <v>16</v>
      </c>
      <c r="BV23" s="12">
        <v>21</v>
      </c>
      <c r="BW23" s="12">
        <v>11</v>
      </c>
      <c r="BX23" s="12">
        <v>10</v>
      </c>
      <c r="BY23" s="12">
        <v>7</v>
      </c>
      <c r="BZ23" s="12">
        <v>7</v>
      </c>
      <c r="CA23" s="12">
        <v>20</v>
      </c>
      <c r="CB23" s="12">
        <v>15</v>
      </c>
      <c r="CC23" s="12">
        <v>11</v>
      </c>
      <c r="CD23" s="12">
        <v>7</v>
      </c>
      <c r="CE23" s="12">
        <v>11</v>
      </c>
      <c r="CF23" s="12">
        <v>20</v>
      </c>
      <c r="CG23" s="12">
        <v>19</v>
      </c>
      <c r="CH23" s="12">
        <v>17</v>
      </c>
      <c r="CI23" s="12">
        <v>16</v>
      </c>
      <c r="CJ23" s="12">
        <v>11</v>
      </c>
      <c r="CK23" s="12">
        <v>20</v>
      </c>
      <c r="CL23" s="12">
        <v>21</v>
      </c>
      <c r="CM23" s="12">
        <v>19</v>
      </c>
      <c r="CN23" s="12">
        <v>11</v>
      </c>
      <c r="CO23" s="12">
        <v>7</v>
      </c>
      <c r="CP23" s="12">
        <v>17</v>
      </c>
      <c r="CQ23" s="12">
        <v>9</v>
      </c>
      <c r="CR23" s="12">
        <v>15</v>
      </c>
      <c r="CS23" s="12">
        <v>14</v>
      </c>
      <c r="CT23" s="12">
        <v>28</v>
      </c>
      <c r="CU23" s="12">
        <v>32</v>
      </c>
      <c r="CV23" s="12">
        <v>20</v>
      </c>
      <c r="CW23" s="12">
        <v>26</v>
      </c>
      <c r="CX23" s="12">
        <v>25</v>
      </c>
      <c r="CY23" s="12">
        <v>17</v>
      </c>
      <c r="CZ23" s="12">
        <v>6</v>
      </c>
      <c r="DA23" s="12">
        <v>10</v>
      </c>
      <c r="DB23" s="12">
        <v>4</v>
      </c>
      <c r="DC23" s="12">
        <v>18</v>
      </c>
      <c r="DD23" s="12">
        <v>10</v>
      </c>
      <c r="DE23" s="12">
        <v>8</v>
      </c>
      <c r="DF23" s="12">
        <v>7</v>
      </c>
      <c r="DG23" s="12">
        <v>5</v>
      </c>
      <c r="DH23" s="12">
        <v>9</v>
      </c>
      <c r="DI23" s="12">
        <v>28</v>
      </c>
      <c r="DJ23" s="12">
        <v>15</v>
      </c>
      <c r="DK23" s="12">
        <v>10</v>
      </c>
      <c r="DL23" s="12">
        <v>12</v>
      </c>
      <c r="DM23" s="12">
        <v>16</v>
      </c>
      <c r="DN23" s="12">
        <v>30</v>
      </c>
      <c r="DO23" s="12">
        <v>49</v>
      </c>
      <c r="DP23" s="12">
        <v>40</v>
      </c>
      <c r="DQ23" s="12">
        <v>30</v>
      </c>
      <c r="DR23" s="12">
        <v>13</v>
      </c>
      <c r="DS23" s="12">
        <v>12</v>
      </c>
      <c r="DT23" s="12">
        <v>18</v>
      </c>
      <c r="DU23" s="12">
        <v>22</v>
      </c>
      <c r="DV23" s="12">
        <v>16</v>
      </c>
      <c r="DW23" s="12">
        <v>9</v>
      </c>
      <c r="DX23" s="12">
        <v>19</v>
      </c>
      <c r="DY23" s="12">
        <v>18</v>
      </c>
      <c r="DZ23" s="12">
        <v>13</v>
      </c>
      <c r="EA23" s="12">
        <v>13</v>
      </c>
      <c r="EB23" s="12">
        <v>13</v>
      </c>
      <c r="EC23" s="12">
        <v>10</v>
      </c>
      <c r="ED23" s="12">
        <v>9</v>
      </c>
      <c r="EE23" s="12">
        <v>10</v>
      </c>
      <c r="EF23" s="12">
        <v>13</v>
      </c>
      <c r="EG23" s="12">
        <v>10</v>
      </c>
      <c r="EH23" s="12">
        <v>12</v>
      </c>
      <c r="EI23" s="12">
        <v>18</v>
      </c>
      <c r="EJ23" s="12">
        <v>8</v>
      </c>
      <c r="EK23" s="12">
        <v>15</v>
      </c>
      <c r="EL23" s="12">
        <v>11</v>
      </c>
      <c r="EM23" s="12">
        <v>6</v>
      </c>
      <c r="EN23" s="12">
        <v>5</v>
      </c>
      <c r="EO23" s="12">
        <v>5</v>
      </c>
      <c r="EP23" s="12" t="str">
        <f t="shared" si="7"/>
        <v>🟢 Bien</v>
      </c>
      <c r="EQ23" s="23">
        <f t="shared" si="1"/>
        <v>14.916666666666666</v>
      </c>
      <c r="ER23" s="19">
        <f t="shared" si="2"/>
        <v>158460.80000000002</v>
      </c>
      <c r="ES23" s="12">
        <f t="shared" si="3"/>
        <v>368</v>
      </c>
      <c r="ET23" s="23">
        <f t="shared" si="8"/>
        <v>34</v>
      </c>
      <c r="EU23" s="23">
        <f t="shared" si="9"/>
        <v>84.5</v>
      </c>
      <c r="EV23" s="23">
        <f t="shared" si="6"/>
        <v>64</v>
      </c>
      <c r="EW23" s="23"/>
      <c r="EX23" s="12">
        <v>133</v>
      </c>
      <c r="EY23" s="19" cm="1">
        <f t="array" ref="EY23:FC23">VLOOKUP(_xlfn.SINGLE(B:B),'[1]Price List'!$B:$N,{8,4,5,6,7},0)</f>
        <v>430.6</v>
      </c>
      <c r="EZ23" s="9" t="str">
        <v>Speck Balance Folio for iPad Air 10.9"/Pro 11" - Plumberry Purple/Crushed Purple/C</v>
      </c>
      <c r="FA23" s="12" t="str">
        <v>Cases iPad</v>
      </c>
      <c r="FB23" s="12" t="str">
        <v>iPad</v>
      </c>
      <c r="FC23" s="12" t="str">
        <v>iPad Pro 11" 2/3/4/Air 4/5</v>
      </c>
      <c r="FD23" s="23" t="str">
        <f>_xlfn.XLOOKUP(B:B,'[1]Price List'!$B:$B,'[1]Price List'!$A:$A)</f>
        <v>Speck</v>
      </c>
    </row>
    <row r="24" spans="1:160" s="9" customFormat="1" x14ac:dyDescent="0.2">
      <c r="A24" s="23" t="s">
        <v>599</v>
      </c>
      <c r="B24" s="23">
        <v>840168501106</v>
      </c>
      <c r="C24" s="9" t="s">
        <v>97</v>
      </c>
      <c r="D24" s="9" t="s">
        <v>644</v>
      </c>
      <c r="E24" s="9" t="s">
        <v>320</v>
      </c>
      <c r="F24" s="9" t="s">
        <v>612</v>
      </c>
      <c r="G24" s="9" t="s">
        <v>676</v>
      </c>
      <c r="H24" s="12" t="s">
        <v>124</v>
      </c>
      <c r="I24" s="11">
        <v>999</v>
      </c>
      <c r="J24" s="11">
        <v>430.6</v>
      </c>
      <c r="K24" s="62">
        <v>0</v>
      </c>
      <c r="L24" s="12">
        <v>0</v>
      </c>
      <c r="M24" s="13" t="s">
        <v>466</v>
      </c>
      <c r="N24" s="13" t="s">
        <v>383</v>
      </c>
      <c r="O24" s="27">
        <v>45146</v>
      </c>
      <c r="P24" s="12">
        <v>22</v>
      </c>
      <c r="Q24" s="12">
        <v>15</v>
      </c>
      <c r="R24" s="12">
        <v>12</v>
      </c>
      <c r="S24" s="12">
        <v>16</v>
      </c>
      <c r="T24" s="12">
        <v>13</v>
      </c>
      <c r="U24" s="12">
        <v>6</v>
      </c>
      <c r="V24" s="12">
        <v>41</v>
      </c>
      <c r="W24" s="12">
        <v>19</v>
      </c>
      <c r="X24" s="12">
        <v>19</v>
      </c>
      <c r="Y24" s="12">
        <v>29</v>
      </c>
      <c r="Z24" s="12">
        <v>35</v>
      </c>
      <c r="AA24" s="12">
        <v>46</v>
      </c>
      <c r="AB24" s="12">
        <v>35</v>
      </c>
      <c r="AC24" s="12">
        <v>46</v>
      </c>
      <c r="AD24" s="12">
        <v>21</v>
      </c>
      <c r="AE24" s="12">
        <v>23</v>
      </c>
      <c r="AF24" s="12">
        <v>15</v>
      </c>
      <c r="AG24" s="12">
        <v>14</v>
      </c>
      <c r="AH24" s="12">
        <v>11</v>
      </c>
      <c r="AI24" s="12">
        <v>18</v>
      </c>
      <c r="AJ24" s="12">
        <v>18</v>
      </c>
      <c r="AK24" s="12">
        <v>15</v>
      </c>
      <c r="AL24" s="12">
        <v>16</v>
      </c>
      <c r="AM24" s="12">
        <v>20</v>
      </c>
      <c r="AN24" s="12">
        <v>22</v>
      </c>
      <c r="AO24" s="12">
        <v>10</v>
      </c>
      <c r="AP24" s="12">
        <v>26</v>
      </c>
      <c r="AQ24" s="12">
        <v>19</v>
      </c>
      <c r="AR24" s="12">
        <v>13</v>
      </c>
      <c r="AS24" s="12">
        <v>14</v>
      </c>
      <c r="AT24" s="12">
        <v>20</v>
      </c>
      <c r="AU24" s="12">
        <v>22</v>
      </c>
      <c r="AV24" s="12">
        <v>16</v>
      </c>
      <c r="AW24" s="12">
        <v>29</v>
      </c>
      <c r="AX24" s="12">
        <v>21</v>
      </c>
      <c r="AY24" s="12">
        <v>33</v>
      </c>
      <c r="AZ24" s="12">
        <v>49</v>
      </c>
      <c r="BA24" s="12">
        <v>69</v>
      </c>
      <c r="BB24" s="12">
        <v>80</v>
      </c>
      <c r="BC24" s="12">
        <v>73</v>
      </c>
      <c r="BD24" s="12">
        <v>51</v>
      </c>
      <c r="BE24" s="12">
        <v>39</v>
      </c>
      <c r="BF24" s="12">
        <v>32</v>
      </c>
      <c r="BG24" s="12">
        <v>16</v>
      </c>
      <c r="BH24" s="12">
        <v>18</v>
      </c>
      <c r="BI24" s="12">
        <v>17</v>
      </c>
      <c r="BJ24" s="12">
        <v>27</v>
      </c>
      <c r="BK24" s="12">
        <v>31</v>
      </c>
      <c r="BL24" s="12">
        <v>18</v>
      </c>
      <c r="BM24" s="12">
        <v>17</v>
      </c>
      <c r="BN24" s="12">
        <v>17</v>
      </c>
      <c r="BO24" s="12">
        <v>32</v>
      </c>
      <c r="BP24" s="12">
        <v>52</v>
      </c>
      <c r="BQ24" s="12">
        <v>47</v>
      </c>
      <c r="BR24" s="12">
        <v>30</v>
      </c>
      <c r="BS24" s="12">
        <v>20</v>
      </c>
      <c r="BT24" s="12">
        <v>23</v>
      </c>
      <c r="BU24" s="12">
        <v>12</v>
      </c>
      <c r="BV24" s="12">
        <v>20</v>
      </c>
      <c r="BW24" s="12">
        <v>17</v>
      </c>
      <c r="BX24" s="12">
        <v>14</v>
      </c>
      <c r="BY24" s="12">
        <v>8</v>
      </c>
      <c r="BZ24" s="12">
        <v>22</v>
      </c>
      <c r="CA24" s="12">
        <v>18</v>
      </c>
      <c r="CB24" s="12">
        <v>10</v>
      </c>
      <c r="CC24" s="12">
        <v>8</v>
      </c>
      <c r="CD24" s="12">
        <v>14</v>
      </c>
      <c r="CE24" s="12">
        <v>17</v>
      </c>
      <c r="CF24" s="12">
        <v>12</v>
      </c>
      <c r="CG24" s="12">
        <v>14</v>
      </c>
      <c r="CH24" s="12">
        <v>9</v>
      </c>
      <c r="CI24" s="12">
        <v>11</v>
      </c>
      <c r="CJ24" s="12">
        <v>10</v>
      </c>
      <c r="CK24" s="12">
        <v>11</v>
      </c>
      <c r="CL24" s="12">
        <v>19</v>
      </c>
      <c r="CM24" s="12">
        <v>15</v>
      </c>
      <c r="CN24" s="12">
        <v>10</v>
      </c>
      <c r="CO24" s="12">
        <v>9</v>
      </c>
      <c r="CP24" s="12">
        <v>11</v>
      </c>
      <c r="CQ24" s="12">
        <v>12</v>
      </c>
      <c r="CR24" s="12">
        <v>8</v>
      </c>
      <c r="CS24" s="12">
        <v>14</v>
      </c>
      <c r="CT24" s="12">
        <v>15</v>
      </c>
      <c r="CU24" s="12">
        <v>31</v>
      </c>
      <c r="CV24" s="12">
        <v>23</v>
      </c>
      <c r="CW24" s="12">
        <v>20</v>
      </c>
      <c r="CX24" s="12">
        <v>23</v>
      </c>
      <c r="CY24" s="12">
        <v>22</v>
      </c>
      <c r="CZ24" s="12">
        <v>6</v>
      </c>
      <c r="DA24" s="12">
        <v>5</v>
      </c>
      <c r="DB24" s="12">
        <v>13</v>
      </c>
      <c r="DC24" s="12">
        <v>4</v>
      </c>
      <c r="DD24" s="12">
        <v>10</v>
      </c>
      <c r="DE24" s="12">
        <v>4</v>
      </c>
      <c r="DF24" s="12">
        <v>8</v>
      </c>
      <c r="DG24" s="12">
        <v>9</v>
      </c>
      <c r="DH24" s="12">
        <v>6</v>
      </c>
      <c r="DI24" s="12">
        <v>29</v>
      </c>
      <c r="DJ24" s="12">
        <v>29</v>
      </c>
      <c r="DK24" s="12">
        <v>15</v>
      </c>
      <c r="DL24" s="12">
        <v>11</v>
      </c>
      <c r="DM24" s="12">
        <v>8</v>
      </c>
      <c r="DN24" s="12">
        <v>27</v>
      </c>
      <c r="DO24" s="12">
        <v>42</v>
      </c>
      <c r="DP24" s="12">
        <v>12</v>
      </c>
      <c r="DQ24" s="12">
        <v>22</v>
      </c>
      <c r="DR24" s="12">
        <v>12</v>
      </c>
      <c r="DS24" s="12">
        <v>17</v>
      </c>
      <c r="DT24" s="12">
        <v>12</v>
      </c>
      <c r="DU24" s="12">
        <v>12</v>
      </c>
      <c r="DV24" s="12">
        <v>13</v>
      </c>
      <c r="DW24" s="12">
        <v>11</v>
      </c>
      <c r="DX24" s="12">
        <v>6</v>
      </c>
      <c r="DY24" s="12">
        <v>5</v>
      </c>
      <c r="DZ24" s="12">
        <v>7</v>
      </c>
      <c r="EA24" s="12">
        <v>6</v>
      </c>
      <c r="EB24" s="12">
        <v>8</v>
      </c>
      <c r="EC24" s="12">
        <v>5</v>
      </c>
      <c r="ED24" s="12">
        <v>3</v>
      </c>
      <c r="EE24" s="12">
        <v>3</v>
      </c>
      <c r="EF24" s="12">
        <v>5</v>
      </c>
      <c r="EG24" s="12">
        <v>5</v>
      </c>
      <c r="EH24" s="12">
        <v>4</v>
      </c>
      <c r="EI24" s="12">
        <v>4</v>
      </c>
      <c r="EJ24" s="12">
        <v>6</v>
      </c>
      <c r="EK24" s="12">
        <v>10</v>
      </c>
      <c r="EL24" s="12">
        <v>7</v>
      </c>
      <c r="EM24" s="12">
        <v>3</v>
      </c>
      <c r="EN24" s="12">
        <v>7</v>
      </c>
      <c r="EO24" s="12">
        <v>5</v>
      </c>
      <c r="EP24" s="12" t="str">
        <f t="shared" si="7"/>
        <v>🟠 Bajo</v>
      </c>
      <c r="EQ24" s="23">
        <f t="shared" si="1"/>
        <v>8.25</v>
      </c>
      <c r="ER24" s="19">
        <f t="shared" si="2"/>
        <v>90426</v>
      </c>
      <c r="ES24" s="12">
        <f t="shared" si="3"/>
        <v>210</v>
      </c>
      <c r="ET24" s="23">
        <f t="shared" si="8"/>
        <v>29.5</v>
      </c>
      <c r="EU24" s="23">
        <f t="shared" si="9"/>
        <v>83.5</v>
      </c>
      <c r="EV24" s="23">
        <f t="shared" si="6"/>
        <v>36.44</v>
      </c>
      <c r="EW24" s="23"/>
      <c r="EX24" s="12">
        <v>230</v>
      </c>
      <c r="EY24" s="19" cm="1">
        <f t="array" ref="EY24:FC24">VLOOKUP(_xlfn.SINGLE(B:B),'[1]Price List'!$B:$N,{8,4,5,6,7},0)</f>
        <v>430.6</v>
      </c>
      <c r="EZ24" s="9" t="str">
        <v>Speck Balance Folio Case with Microban for iPad Pro 11" M1/Air 10.9" - Black</v>
      </c>
      <c r="FA24" s="12" t="str">
        <v>Cases iPad</v>
      </c>
      <c r="FB24" s="12" t="str">
        <v>iPad</v>
      </c>
      <c r="FC24" s="12" t="str">
        <v>iPad Pro 11" 2/3/4/Air 4/5</v>
      </c>
      <c r="FD24" s="23" t="str">
        <f>_xlfn.XLOOKUP(B:B,'[1]Price List'!$B:$B,'[1]Price List'!$A:$A)</f>
        <v>Speck</v>
      </c>
    </row>
    <row r="25" spans="1:160" s="9" customFormat="1" x14ac:dyDescent="0.2">
      <c r="A25" s="23" t="s">
        <v>599</v>
      </c>
      <c r="B25" s="23">
        <v>840168546701</v>
      </c>
      <c r="C25" s="66" t="s">
        <v>707</v>
      </c>
      <c r="H25" s="12" t="s">
        <v>706</v>
      </c>
      <c r="I25" s="11">
        <v>999</v>
      </c>
      <c r="J25" s="11">
        <v>430.6</v>
      </c>
      <c r="K25" s="62">
        <v>0</v>
      </c>
      <c r="L25" s="12">
        <v>0</v>
      </c>
      <c r="M25" s="13" t="s">
        <v>466</v>
      </c>
      <c r="N25" s="13" t="s">
        <v>383</v>
      </c>
      <c r="O25" s="27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>
        <v>5</v>
      </c>
      <c r="EP25" s="12" t="str">
        <f t="shared" si="7"/>
        <v>🔴 Sin venta</v>
      </c>
      <c r="EQ25" s="23" t="e">
        <f t="shared" ref="EQ25:EQ28" si="10">AVERAGE(DP25:EM25)</f>
        <v>#DIV/0!</v>
      </c>
      <c r="ER25" s="19">
        <f t="shared" si="2"/>
        <v>2153</v>
      </c>
      <c r="ES25" s="12">
        <f t="shared" si="3"/>
        <v>5</v>
      </c>
      <c r="ET25" s="23" t="e">
        <f t="shared" ref="ET25:ET26" si="11">ROUND((AVERAGE(CZ25:DG25)*4),2)</f>
        <v>#DIV/0!</v>
      </c>
      <c r="EU25" s="23" t="e">
        <f t="shared" ref="EU25:EU26" si="12">ROUND((AVERAGE(DH25:DO25)*4),2)</f>
        <v>#DIV/0!</v>
      </c>
      <c r="EV25" s="23" t="e">
        <f t="shared" ref="EV25:EV26" si="13">ROUND((AVERAGE(DP25:EG25)*4),2)</f>
        <v>#DIV/0!</v>
      </c>
      <c r="EW25" s="23"/>
      <c r="EX25" s="12">
        <v>111</v>
      </c>
      <c r="EY25" s="19" cm="1">
        <f t="array" ref="EY25:FC25">VLOOKUP(_xlfn.SINGLE(B:B),'[1]Price List'!$B:$N,{8,4,5,6,7},0)</f>
        <v>430.6</v>
      </c>
      <c r="EZ25" s="9" t="str">
        <v>Speck Balance Folio for iPad Air 11" (2026-MA-8th gen) - PICCARD'S BLUE/FROST BEIGE/FADED TEAL</v>
      </c>
      <c r="FA25" s="12" t="str">
        <v>Cases iPad</v>
      </c>
      <c r="FB25" s="12" t="str">
        <v>iPad</v>
      </c>
      <c r="FC25" s="12" t="str">
        <v>iPad Air M4-M2 / iPad Air 5th/4th</v>
      </c>
      <c r="FD25" s="23" t="str">
        <f>_xlfn.XLOOKUP(B:B,'[1]Price List'!$B:$B,'[1]Price List'!$A:$A)</f>
        <v>Speck</v>
      </c>
    </row>
    <row r="26" spans="1:160" s="9" customFormat="1" x14ac:dyDescent="0.2">
      <c r="A26" s="23" t="s">
        <v>599</v>
      </c>
      <c r="B26" s="23">
        <v>840168548378</v>
      </c>
      <c r="C26" s="20" t="s">
        <v>704</v>
      </c>
      <c r="H26" s="25" t="s">
        <v>705</v>
      </c>
      <c r="I26" s="11">
        <v>999</v>
      </c>
      <c r="J26" s="11">
        <v>430.6</v>
      </c>
      <c r="K26" s="62">
        <v>0</v>
      </c>
      <c r="L26" s="12">
        <v>0</v>
      </c>
      <c r="M26" s="13" t="s">
        <v>466</v>
      </c>
      <c r="N26" s="13" t="s">
        <v>383</v>
      </c>
      <c r="O26" s="27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>
        <v>99</v>
      </c>
      <c r="EP26" s="12" t="str">
        <f t="shared" si="7"/>
        <v>🔴 Sin venta</v>
      </c>
      <c r="EQ26" s="23" t="e">
        <f t="shared" si="10"/>
        <v>#DIV/0!</v>
      </c>
      <c r="ER26" s="19">
        <f t="shared" si="2"/>
        <v>42629.4</v>
      </c>
      <c r="ES26" s="12">
        <f t="shared" si="3"/>
        <v>99</v>
      </c>
      <c r="ET26" s="23" t="e">
        <f t="shared" si="11"/>
        <v>#DIV/0!</v>
      </c>
      <c r="EU26" s="23" t="e">
        <f t="shared" si="12"/>
        <v>#DIV/0!</v>
      </c>
      <c r="EV26" s="23" t="e">
        <f t="shared" si="13"/>
        <v>#DIV/0!</v>
      </c>
      <c r="EW26" s="23"/>
      <c r="EX26" s="12">
        <v>497</v>
      </c>
      <c r="EY26" s="19" cm="1">
        <f t="array" ref="EY26:FC26">VLOOKUP(_xlfn.SINGLE(B:B),'[1]Price List'!$B:$N,{8,4,5,6,7},0)</f>
        <v>430.6</v>
      </c>
      <c r="EZ26" s="9" t="str">
        <v>Speck SmartShell for Apple MacBook Neo - Clear</v>
      </c>
      <c r="FA26" s="12" t="str">
        <v>Cases Macbook</v>
      </c>
      <c r="FB26" s="12" t="str">
        <v>MacBook</v>
      </c>
      <c r="FC26" s="12" t="str">
        <v>MacBook Neo</v>
      </c>
      <c r="FD26" s="23" t="str">
        <f>_xlfn.XLOOKUP(B:B,'[1]Price List'!$B:$B,'[1]Price List'!$A:$A)</f>
        <v>Speck</v>
      </c>
    </row>
    <row r="27" spans="1:160" s="9" customFormat="1" x14ac:dyDescent="0.2">
      <c r="A27" s="23" t="s">
        <v>599</v>
      </c>
      <c r="B27" s="23">
        <v>840168538638</v>
      </c>
      <c r="C27" s="9" t="s">
        <v>409</v>
      </c>
      <c r="D27" s="9" t="s">
        <v>644</v>
      </c>
      <c r="E27" s="26" t="s">
        <v>636</v>
      </c>
      <c r="F27" s="26" t="s">
        <v>613</v>
      </c>
      <c r="G27" s="9" t="s">
        <v>677</v>
      </c>
      <c r="H27" s="10" t="s">
        <v>397</v>
      </c>
      <c r="I27" s="11">
        <v>1249</v>
      </c>
      <c r="J27" s="29">
        <v>538.36</v>
      </c>
      <c r="K27" s="62">
        <v>0</v>
      </c>
      <c r="L27" s="12">
        <v>0</v>
      </c>
      <c r="M27" s="13" t="s">
        <v>466</v>
      </c>
      <c r="N27" s="13" t="s">
        <v>383</v>
      </c>
      <c r="O27" s="27"/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16</v>
      </c>
      <c r="BC27" s="12">
        <v>15</v>
      </c>
      <c r="BD27" s="12">
        <v>8</v>
      </c>
      <c r="BE27" s="12">
        <v>10</v>
      </c>
      <c r="BF27" s="12">
        <v>8</v>
      </c>
      <c r="BG27" s="12">
        <v>8</v>
      </c>
      <c r="BH27" s="12">
        <v>4</v>
      </c>
      <c r="BI27" s="12">
        <v>2</v>
      </c>
      <c r="BJ27" s="12">
        <v>7</v>
      </c>
      <c r="BK27" s="12">
        <v>5</v>
      </c>
      <c r="BL27" s="12">
        <v>5</v>
      </c>
      <c r="BM27" s="12">
        <v>3</v>
      </c>
      <c r="BN27" s="12">
        <v>2</v>
      </c>
      <c r="BO27" s="12">
        <v>9</v>
      </c>
      <c r="BP27" s="12">
        <v>10</v>
      </c>
      <c r="BQ27" s="12">
        <v>6</v>
      </c>
      <c r="BR27" s="12">
        <v>8</v>
      </c>
      <c r="BS27" s="12">
        <v>6</v>
      </c>
      <c r="BT27" s="12">
        <v>4</v>
      </c>
      <c r="BU27" s="12">
        <v>9</v>
      </c>
      <c r="BV27" s="12">
        <v>9</v>
      </c>
      <c r="BW27" s="12">
        <v>8</v>
      </c>
      <c r="BX27" s="12">
        <v>4</v>
      </c>
      <c r="BY27" s="12">
        <v>4</v>
      </c>
      <c r="BZ27" s="12">
        <v>6</v>
      </c>
      <c r="CA27" s="12">
        <v>8</v>
      </c>
      <c r="CB27" s="12">
        <v>5</v>
      </c>
      <c r="CC27" s="12">
        <v>6</v>
      </c>
      <c r="CD27" s="12">
        <v>2</v>
      </c>
      <c r="CE27" s="12">
        <v>9</v>
      </c>
      <c r="CF27" s="12">
        <v>2</v>
      </c>
      <c r="CG27" s="12">
        <v>7</v>
      </c>
      <c r="CH27" s="12">
        <v>3</v>
      </c>
      <c r="CI27" s="12">
        <v>7</v>
      </c>
      <c r="CJ27" s="12">
        <v>8</v>
      </c>
      <c r="CK27" s="12">
        <v>14</v>
      </c>
      <c r="CL27" s="12">
        <v>11</v>
      </c>
      <c r="CM27" s="12">
        <v>14</v>
      </c>
      <c r="CN27" s="12">
        <v>5</v>
      </c>
      <c r="CO27" s="12">
        <v>2</v>
      </c>
      <c r="CP27" s="12">
        <v>10</v>
      </c>
      <c r="CQ27" s="12">
        <v>10</v>
      </c>
      <c r="CR27" s="12">
        <v>8</v>
      </c>
      <c r="CS27" s="12">
        <v>6</v>
      </c>
      <c r="CT27" s="12">
        <v>11</v>
      </c>
      <c r="CU27" s="12">
        <v>13</v>
      </c>
      <c r="CV27" s="12">
        <v>6</v>
      </c>
      <c r="CW27" s="12">
        <v>8</v>
      </c>
      <c r="CX27" s="12">
        <v>9</v>
      </c>
      <c r="CY27" s="12">
        <v>5</v>
      </c>
      <c r="CZ27" s="12">
        <v>4</v>
      </c>
      <c r="DA27" s="12">
        <v>4</v>
      </c>
      <c r="DB27" s="12">
        <v>4</v>
      </c>
      <c r="DC27" s="12">
        <v>2</v>
      </c>
      <c r="DD27" s="12">
        <v>2</v>
      </c>
      <c r="DE27" s="12">
        <v>6</v>
      </c>
      <c r="DF27" s="12">
        <v>11</v>
      </c>
      <c r="DG27" s="12">
        <v>7</v>
      </c>
      <c r="DH27" s="12">
        <v>5</v>
      </c>
      <c r="DI27" s="12">
        <v>8</v>
      </c>
      <c r="DJ27" s="12">
        <v>13</v>
      </c>
      <c r="DK27" s="12">
        <v>15</v>
      </c>
      <c r="DL27" s="12">
        <v>4</v>
      </c>
      <c r="DM27" s="12">
        <v>10</v>
      </c>
      <c r="DN27" s="12">
        <v>12</v>
      </c>
      <c r="DO27" s="12">
        <v>8</v>
      </c>
      <c r="DP27" s="12">
        <v>12</v>
      </c>
      <c r="DQ27" s="12">
        <v>4</v>
      </c>
      <c r="DR27" s="12">
        <v>4</v>
      </c>
      <c r="DS27" s="12">
        <v>9</v>
      </c>
      <c r="DT27" s="12">
        <v>7</v>
      </c>
      <c r="DU27" s="12">
        <v>2</v>
      </c>
      <c r="DV27" s="12">
        <v>2</v>
      </c>
      <c r="DW27" s="12">
        <v>8</v>
      </c>
      <c r="DX27" s="12">
        <v>9</v>
      </c>
      <c r="DY27" s="12">
        <v>7</v>
      </c>
      <c r="DZ27" s="12">
        <v>11</v>
      </c>
      <c r="EA27" s="12">
        <v>7</v>
      </c>
      <c r="EB27" s="12">
        <v>7</v>
      </c>
      <c r="EC27" s="12">
        <v>7</v>
      </c>
      <c r="ED27" s="12">
        <v>14</v>
      </c>
      <c r="EE27" s="12">
        <v>8</v>
      </c>
      <c r="EF27" s="12">
        <v>10</v>
      </c>
      <c r="EG27" s="12">
        <v>12</v>
      </c>
      <c r="EH27" s="12">
        <v>6</v>
      </c>
      <c r="EI27" s="12">
        <v>10</v>
      </c>
      <c r="EJ27" s="12">
        <v>7</v>
      </c>
      <c r="EK27" s="12">
        <v>6</v>
      </c>
      <c r="EL27" s="12">
        <v>6</v>
      </c>
      <c r="EM27" s="12">
        <v>3</v>
      </c>
      <c r="EN27" s="12">
        <v>5</v>
      </c>
      <c r="EO27" s="12">
        <v>7</v>
      </c>
      <c r="EP27" s="12" t="str">
        <f t="shared" ref="EP27:EP53" si="14">IF(EL27=0,"🔴 Sin venta",IF(EL27&lt;EQ65*0.8,"🟠 Bajo",IF(EL65&lt;=EQ27*1.2,"🟢 Bien","🔵 Sobre promedio")))</f>
        <v>🟠 Bajo</v>
      </c>
      <c r="EQ27" s="23">
        <f t="shared" si="10"/>
        <v>7.416666666666667</v>
      </c>
      <c r="ER27" s="19">
        <f t="shared" si="2"/>
        <v>102288.40000000001</v>
      </c>
      <c r="ES27" s="12">
        <f t="shared" si="3"/>
        <v>190</v>
      </c>
      <c r="ET27" s="23">
        <f t="shared" si="8"/>
        <v>20</v>
      </c>
      <c r="EU27" s="23">
        <f t="shared" si="9"/>
        <v>37.5</v>
      </c>
      <c r="EV27" s="23">
        <f t="shared" si="6"/>
        <v>31.11</v>
      </c>
      <c r="EW27" s="23"/>
      <c r="EX27" s="12">
        <v>159</v>
      </c>
      <c r="EY27" s="19" cm="1">
        <f t="array" ref="EY27:FC27">VLOOKUP(_xlfn.SINGLE(B:B),'[1]Price List'!$B:$N,{8,4,5,6,7},0)</f>
        <v>538.36</v>
      </c>
      <c r="EZ27" s="9" t="str">
        <v>Speck Smartshell for Mackbook Air 15" - Clear/Sweater Grey</v>
      </c>
      <c r="FA27" s="12" t="str">
        <v>Cases Macbook</v>
      </c>
      <c r="FB27" s="12" t="str">
        <v>Macbook</v>
      </c>
      <c r="FC27" s="12" t="str">
        <v>MacBook Air 15" M2/M3</v>
      </c>
      <c r="FD27" s="23" t="str">
        <f>_xlfn.XLOOKUP(B:B,'[1]Price List'!$B:$B,'[1]Price List'!$A:$A)</f>
        <v>Speck</v>
      </c>
    </row>
    <row r="28" spans="1:160" s="9" customFormat="1" x14ac:dyDescent="0.2">
      <c r="A28" s="23" t="s">
        <v>599</v>
      </c>
      <c r="B28" s="23">
        <v>840168538645</v>
      </c>
      <c r="C28" s="9" t="s">
        <v>410</v>
      </c>
      <c r="D28" s="9" t="s">
        <v>644</v>
      </c>
      <c r="E28" s="26" t="s">
        <v>636</v>
      </c>
      <c r="F28" s="26" t="s">
        <v>613</v>
      </c>
      <c r="G28" s="9" t="s">
        <v>677</v>
      </c>
      <c r="H28" s="10" t="s">
        <v>398</v>
      </c>
      <c r="I28" s="11">
        <v>1249</v>
      </c>
      <c r="J28" s="11">
        <v>538.36</v>
      </c>
      <c r="K28" s="62">
        <v>0</v>
      </c>
      <c r="L28" s="12">
        <v>0</v>
      </c>
      <c r="M28" s="13" t="s">
        <v>466</v>
      </c>
      <c r="N28" s="13" t="s">
        <v>383</v>
      </c>
      <c r="O28" s="27"/>
      <c r="P28" s="12">
        <v>0</v>
      </c>
      <c r="Q28" s="12">
        <v>0</v>
      </c>
      <c r="R28" s="12">
        <v>0</v>
      </c>
      <c r="S28" s="12">
        <v>0</v>
      </c>
      <c r="T28" s="12">
        <v>0</v>
      </c>
      <c r="U28" s="12">
        <v>0</v>
      </c>
      <c r="V28" s="12">
        <v>0</v>
      </c>
      <c r="W28" s="12">
        <v>0</v>
      </c>
      <c r="X28" s="12">
        <v>0</v>
      </c>
      <c r="Y28" s="12">
        <v>0</v>
      </c>
      <c r="Z28" s="12">
        <v>0</v>
      </c>
      <c r="AA28" s="12">
        <v>0</v>
      </c>
      <c r="AB28" s="12">
        <v>0</v>
      </c>
      <c r="AC28" s="12">
        <v>0</v>
      </c>
      <c r="AD28" s="12">
        <v>0</v>
      </c>
      <c r="AE28" s="12">
        <v>0</v>
      </c>
      <c r="AF28" s="12">
        <v>0</v>
      </c>
      <c r="AG28" s="12">
        <v>0</v>
      </c>
      <c r="AH28" s="12">
        <v>0</v>
      </c>
      <c r="AI28" s="12">
        <v>0</v>
      </c>
      <c r="AJ28" s="12">
        <v>0</v>
      </c>
      <c r="AK28" s="12">
        <v>0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2">
        <v>0</v>
      </c>
      <c r="AW28" s="12">
        <v>0</v>
      </c>
      <c r="AX28" s="12">
        <v>0</v>
      </c>
      <c r="AY28" s="12">
        <v>0</v>
      </c>
      <c r="AZ28" s="12">
        <v>0</v>
      </c>
      <c r="BA28" s="12">
        <v>0</v>
      </c>
      <c r="BB28" s="12">
        <v>9</v>
      </c>
      <c r="BC28" s="12">
        <v>8</v>
      </c>
      <c r="BD28" s="12">
        <v>6</v>
      </c>
      <c r="BE28" s="12">
        <v>8</v>
      </c>
      <c r="BF28" s="12">
        <v>3</v>
      </c>
      <c r="BG28" s="12">
        <v>3</v>
      </c>
      <c r="BH28" s="12">
        <v>2</v>
      </c>
      <c r="BI28" s="12">
        <v>1</v>
      </c>
      <c r="BJ28" s="12">
        <v>7</v>
      </c>
      <c r="BK28" s="12">
        <v>1</v>
      </c>
      <c r="BL28" s="12">
        <v>3</v>
      </c>
      <c r="BM28" s="12">
        <v>3</v>
      </c>
      <c r="BN28" s="12">
        <v>1</v>
      </c>
      <c r="BO28" s="12">
        <v>7</v>
      </c>
      <c r="BP28" s="12">
        <v>3</v>
      </c>
      <c r="BQ28" s="12">
        <v>7</v>
      </c>
      <c r="BR28" s="12">
        <v>1</v>
      </c>
      <c r="BS28" s="12">
        <v>1</v>
      </c>
      <c r="BT28" s="12">
        <v>1</v>
      </c>
      <c r="BU28" s="12">
        <v>2</v>
      </c>
      <c r="BV28" s="12">
        <v>1</v>
      </c>
      <c r="BW28" s="12">
        <v>1</v>
      </c>
      <c r="BX28" s="12">
        <v>2</v>
      </c>
      <c r="BY28" s="12">
        <v>0</v>
      </c>
      <c r="BZ28" s="12">
        <v>1</v>
      </c>
      <c r="CA28" s="12">
        <v>4</v>
      </c>
      <c r="CB28" s="12">
        <v>1</v>
      </c>
      <c r="CC28" s="12">
        <v>1</v>
      </c>
      <c r="CD28" s="12">
        <v>1</v>
      </c>
      <c r="CE28" s="12">
        <v>3</v>
      </c>
      <c r="CF28" s="12">
        <v>0</v>
      </c>
      <c r="CG28" s="12">
        <v>6</v>
      </c>
      <c r="CH28" s="12">
        <v>3</v>
      </c>
      <c r="CI28" s="12">
        <v>4</v>
      </c>
      <c r="CJ28" s="12">
        <v>7</v>
      </c>
      <c r="CK28" s="12">
        <v>5</v>
      </c>
      <c r="CL28" s="12">
        <v>3</v>
      </c>
      <c r="CM28" s="12">
        <v>6</v>
      </c>
      <c r="CN28" s="12">
        <v>3</v>
      </c>
      <c r="CO28" s="12">
        <v>4</v>
      </c>
      <c r="CP28" s="12">
        <v>7</v>
      </c>
      <c r="CQ28" s="12">
        <v>5</v>
      </c>
      <c r="CR28" s="12">
        <v>6</v>
      </c>
      <c r="CS28" s="12">
        <v>0</v>
      </c>
      <c r="CT28" s="12">
        <v>11</v>
      </c>
      <c r="CU28" s="12">
        <v>6</v>
      </c>
      <c r="CV28" s="12">
        <v>5</v>
      </c>
      <c r="CW28" s="12">
        <v>6</v>
      </c>
      <c r="CX28" s="12">
        <v>5</v>
      </c>
      <c r="CY28" s="12">
        <v>1</v>
      </c>
      <c r="CZ28" s="12">
        <v>2</v>
      </c>
      <c r="DA28" s="12">
        <v>2</v>
      </c>
      <c r="DB28" s="12">
        <v>4</v>
      </c>
      <c r="DC28" s="12">
        <v>5</v>
      </c>
      <c r="DD28" s="12">
        <v>7</v>
      </c>
      <c r="DE28" s="12">
        <v>1</v>
      </c>
      <c r="DF28" s="12">
        <v>3</v>
      </c>
      <c r="DG28" s="12">
        <v>10</v>
      </c>
      <c r="DH28" s="12">
        <v>5</v>
      </c>
      <c r="DI28" s="12">
        <v>11</v>
      </c>
      <c r="DJ28" s="12">
        <v>5</v>
      </c>
      <c r="DK28" s="12">
        <v>8</v>
      </c>
      <c r="DL28" s="12">
        <v>1</v>
      </c>
      <c r="DM28" s="12">
        <v>3</v>
      </c>
      <c r="DN28" s="12">
        <v>5</v>
      </c>
      <c r="DO28" s="12">
        <v>5</v>
      </c>
      <c r="DP28" s="12">
        <v>8</v>
      </c>
      <c r="DQ28" s="12">
        <v>6</v>
      </c>
      <c r="DR28" s="12">
        <v>4</v>
      </c>
      <c r="DS28" s="12">
        <v>3</v>
      </c>
      <c r="DT28" s="12">
        <v>6</v>
      </c>
      <c r="DU28" s="12">
        <v>0</v>
      </c>
      <c r="DV28" s="12">
        <v>3</v>
      </c>
      <c r="DW28" s="12">
        <v>4</v>
      </c>
      <c r="DX28" s="12">
        <v>2</v>
      </c>
      <c r="DY28" s="12">
        <v>6</v>
      </c>
      <c r="DZ28" s="12">
        <v>8</v>
      </c>
      <c r="EA28" s="12">
        <v>2</v>
      </c>
      <c r="EB28" s="12">
        <v>6</v>
      </c>
      <c r="EC28" s="12">
        <v>8</v>
      </c>
      <c r="ED28" s="12">
        <v>8</v>
      </c>
      <c r="EE28" s="12">
        <v>4</v>
      </c>
      <c r="EF28" s="12">
        <v>2</v>
      </c>
      <c r="EG28" s="12">
        <v>6</v>
      </c>
      <c r="EH28" s="12">
        <v>1</v>
      </c>
      <c r="EI28" s="12">
        <v>2</v>
      </c>
      <c r="EJ28" s="12">
        <v>2</v>
      </c>
      <c r="EK28" s="12">
        <v>5</v>
      </c>
      <c r="EL28" s="12">
        <v>7</v>
      </c>
      <c r="EM28" s="12">
        <v>4</v>
      </c>
      <c r="EN28" s="12">
        <v>2</v>
      </c>
      <c r="EO28" s="12">
        <v>4</v>
      </c>
      <c r="EP28" s="12" t="str">
        <f t="shared" si="14"/>
        <v>🟠 Bajo</v>
      </c>
      <c r="EQ28" s="23">
        <f t="shared" si="10"/>
        <v>4.458333333333333</v>
      </c>
      <c r="ER28" s="19">
        <f t="shared" si="2"/>
        <v>60834.68</v>
      </c>
      <c r="ES28" s="12">
        <f t="shared" si="3"/>
        <v>113</v>
      </c>
      <c r="ET28" s="23">
        <f t="shared" si="8"/>
        <v>17</v>
      </c>
      <c r="EU28" s="23">
        <f t="shared" si="9"/>
        <v>21.5</v>
      </c>
      <c r="EV28" s="23">
        <f t="shared" si="6"/>
        <v>19.11</v>
      </c>
      <c r="EW28" s="23"/>
      <c r="EX28" s="12">
        <v>129</v>
      </c>
      <c r="EY28" s="19" cm="1">
        <f t="array" ref="EY28:FC28">VLOOKUP(_xlfn.SINGLE(B:B),'[1]Price List'!$B:$N,{8,4,5,6,7},0)</f>
        <v>538.36</v>
      </c>
      <c r="EZ28" s="9" t="str">
        <v>Speck Smartshell for Mackbook Air 15" - Obsidian/Sweater Grey</v>
      </c>
      <c r="FA28" s="12" t="str">
        <v>Cases Macbook</v>
      </c>
      <c r="FB28" s="12" t="str">
        <v>Macbook</v>
      </c>
      <c r="FC28" s="12" t="str">
        <v>MacBook Air 15" M2/M3</v>
      </c>
      <c r="FD28" s="23" t="str">
        <f>_xlfn.XLOOKUP(B:B,'[1]Price List'!$B:$B,'[1]Price List'!$A:$A)</f>
        <v>Speck</v>
      </c>
    </row>
    <row r="29" spans="1:160" s="9" customFormat="1" x14ac:dyDescent="0.2">
      <c r="A29" s="23" t="s">
        <v>600</v>
      </c>
      <c r="B29" s="8">
        <v>840459607333</v>
      </c>
      <c r="C29" s="1" t="s">
        <v>659</v>
      </c>
      <c r="D29" s="9" t="s">
        <v>644</v>
      </c>
      <c r="E29" s="9" t="s">
        <v>477</v>
      </c>
      <c r="F29" s="9" t="s">
        <v>478</v>
      </c>
      <c r="G29" s="9" t="s">
        <v>478</v>
      </c>
      <c r="H29" s="15" t="s">
        <v>665</v>
      </c>
      <c r="I29" s="8">
        <v>1199</v>
      </c>
      <c r="J29" s="11">
        <v>516.80999999999995</v>
      </c>
      <c r="K29" s="62">
        <v>0</v>
      </c>
      <c r="L29" s="12">
        <v>0</v>
      </c>
      <c r="M29" s="13" t="s">
        <v>466</v>
      </c>
      <c r="N29" s="13" t="s">
        <v>383</v>
      </c>
      <c r="O29" s="27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  <c r="BJ29" s="12"/>
      <c r="BK29" s="12"/>
      <c r="BL29" s="12"/>
      <c r="BM29" s="12"/>
      <c r="BN29" s="12"/>
      <c r="BO29" s="12"/>
      <c r="BP29" s="12"/>
      <c r="BQ29" s="12"/>
      <c r="BR29" s="12"/>
      <c r="BS29" s="12"/>
      <c r="BT29" s="12"/>
      <c r="BU29" s="12"/>
      <c r="BV29" s="12"/>
      <c r="BW29" s="12"/>
      <c r="BX29" s="12"/>
      <c r="BY29" s="12"/>
      <c r="BZ29" s="12"/>
      <c r="CA29" s="12"/>
      <c r="CB29" s="12"/>
      <c r="CC29" s="12"/>
      <c r="CD29" s="12"/>
      <c r="CE29" s="12"/>
      <c r="CF29" s="12"/>
      <c r="CG29" s="12"/>
      <c r="CH29" s="12"/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  <c r="DM29" s="12"/>
      <c r="DN29" s="12"/>
      <c r="DO29" s="12"/>
      <c r="DP29" s="12"/>
      <c r="DQ29" s="12"/>
      <c r="DR29" s="12"/>
      <c r="DS29" s="12"/>
      <c r="DT29" s="12"/>
      <c r="DU29" s="12"/>
      <c r="DV29" s="12"/>
      <c r="DW29" s="12"/>
      <c r="DX29" s="12"/>
      <c r="DY29" s="12">
        <v>4</v>
      </c>
      <c r="DZ29" s="53">
        <v>4</v>
      </c>
      <c r="EA29" s="12">
        <v>4</v>
      </c>
      <c r="EB29" s="12">
        <v>1</v>
      </c>
      <c r="EC29" s="12">
        <v>8</v>
      </c>
      <c r="ED29" s="12">
        <v>2</v>
      </c>
      <c r="EE29" s="12">
        <v>3</v>
      </c>
      <c r="EF29" s="12">
        <v>2</v>
      </c>
      <c r="EG29" s="12">
        <v>1</v>
      </c>
      <c r="EH29" s="12">
        <v>2</v>
      </c>
      <c r="EI29" s="12">
        <v>3</v>
      </c>
      <c r="EJ29" s="12">
        <v>3</v>
      </c>
      <c r="EK29" s="12">
        <v>5</v>
      </c>
      <c r="EL29" s="12">
        <v>2</v>
      </c>
      <c r="EM29" s="12">
        <v>2</v>
      </c>
      <c r="EN29" s="12">
        <v>1</v>
      </c>
      <c r="EO29" s="12">
        <v>2</v>
      </c>
      <c r="EP29" s="12" t="str">
        <f t="shared" si="14"/>
        <v>🟠 Bajo</v>
      </c>
      <c r="EQ29" s="23">
        <f t="shared" si="1"/>
        <v>3.0666666666666669</v>
      </c>
      <c r="ER29" s="19">
        <f t="shared" si="2"/>
        <v>25323.69</v>
      </c>
      <c r="ES29" s="12">
        <f t="shared" si="3"/>
        <v>49</v>
      </c>
      <c r="ET29" s="23" t="e">
        <f t="shared" si="8"/>
        <v>#DIV/0!</v>
      </c>
      <c r="EU29" s="23" t="e">
        <f t="shared" si="9"/>
        <v>#DIV/0!</v>
      </c>
      <c r="EV29" s="23">
        <f t="shared" si="6"/>
        <v>12.89</v>
      </c>
      <c r="EW29" s="23"/>
      <c r="EX29" s="12">
        <v>148</v>
      </c>
      <c r="EY29" s="19" cm="1">
        <f t="array" ref="EY29:FC29">VLOOKUP(_xlfn.SINGLE(B:B),'[1]Price List'!$B:$N,{8,4,5,6,7},0)</f>
        <v>516.80999999999995</v>
      </c>
      <c r="EZ29" s="9" t="str">
        <v>Tech21 EvoPro w/MagSafe Clear/Black iPhone 17 Pro</v>
      </c>
      <c r="FA29" s="12" t="str">
        <v>Cases iPhone</v>
      </c>
      <c r="FB29" s="12" t="str">
        <v>iPhone 17</v>
      </c>
      <c r="FC29" s="12" t="str">
        <v>iPhone 17 Pro</v>
      </c>
      <c r="FD29" s="23" t="str">
        <f>_xlfn.XLOOKUP(B:B,'[1]Price List'!$B:$B,'[1]Price List'!$A:$A)</f>
        <v>Tech21</v>
      </c>
    </row>
    <row r="30" spans="1:160" s="9" customFormat="1" x14ac:dyDescent="0.2">
      <c r="A30" s="23" t="s">
        <v>600</v>
      </c>
      <c r="B30" s="8">
        <v>840459607456</v>
      </c>
      <c r="C30" s="1" t="s">
        <v>660</v>
      </c>
      <c r="D30" s="9" t="s">
        <v>644</v>
      </c>
      <c r="E30" s="9" t="s">
        <v>477</v>
      </c>
      <c r="F30" s="9" t="s">
        <v>479</v>
      </c>
      <c r="G30" s="9" t="s">
        <v>479</v>
      </c>
      <c r="H30" s="15" t="s">
        <v>666</v>
      </c>
      <c r="I30" s="8">
        <v>1199</v>
      </c>
      <c r="J30" s="11">
        <v>516.80999999999995</v>
      </c>
      <c r="K30" s="62">
        <v>0</v>
      </c>
      <c r="L30" s="12">
        <v>0</v>
      </c>
      <c r="M30" s="13" t="s">
        <v>466</v>
      </c>
      <c r="N30" s="13" t="s">
        <v>383</v>
      </c>
      <c r="O30" s="27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  <c r="BJ30" s="12"/>
      <c r="BK30" s="12"/>
      <c r="BL30" s="12"/>
      <c r="BM30" s="12"/>
      <c r="BN30" s="12"/>
      <c r="BO30" s="12"/>
      <c r="BP30" s="12"/>
      <c r="BQ30" s="12"/>
      <c r="BR30" s="12"/>
      <c r="BS30" s="12"/>
      <c r="BT30" s="12"/>
      <c r="BU30" s="12"/>
      <c r="BV30" s="12"/>
      <c r="BW30" s="12"/>
      <c r="BX30" s="12"/>
      <c r="BY30" s="12"/>
      <c r="BZ30" s="12"/>
      <c r="CA30" s="12"/>
      <c r="CB30" s="12"/>
      <c r="CC30" s="12"/>
      <c r="CD30" s="12"/>
      <c r="CE30" s="12"/>
      <c r="CF30" s="12"/>
      <c r="CG30" s="12"/>
      <c r="CH30" s="12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  <c r="DM30" s="12"/>
      <c r="DN30" s="12"/>
      <c r="DO30" s="12"/>
      <c r="DP30" s="12"/>
      <c r="DQ30" s="12"/>
      <c r="DR30" s="12"/>
      <c r="DS30" s="12"/>
      <c r="DT30" s="12"/>
      <c r="DU30" s="12"/>
      <c r="DV30" s="12"/>
      <c r="DW30" s="12"/>
      <c r="DX30" s="12"/>
      <c r="DY30" s="12">
        <v>8</v>
      </c>
      <c r="DZ30" s="12">
        <v>9</v>
      </c>
      <c r="EA30" s="12">
        <v>11</v>
      </c>
      <c r="EB30" s="12">
        <v>7</v>
      </c>
      <c r="EC30" s="12">
        <v>11</v>
      </c>
      <c r="ED30" s="12">
        <v>7</v>
      </c>
      <c r="EE30" s="12">
        <v>10</v>
      </c>
      <c r="EF30" s="12">
        <v>4</v>
      </c>
      <c r="EG30" s="12">
        <v>9</v>
      </c>
      <c r="EH30" s="12">
        <v>11</v>
      </c>
      <c r="EI30" s="12">
        <v>7</v>
      </c>
      <c r="EJ30" s="12">
        <v>4</v>
      </c>
      <c r="EK30" s="12">
        <v>7</v>
      </c>
      <c r="EL30" s="12">
        <v>6</v>
      </c>
      <c r="EM30" s="12">
        <v>4</v>
      </c>
      <c r="EN30" s="12">
        <v>5</v>
      </c>
      <c r="EO30" s="12">
        <v>7</v>
      </c>
      <c r="EP30" s="12" t="str">
        <f t="shared" si="14"/>
        <v>🟠 Bajo</v>
      </c>
      <c r="EQ30" s="23">
        <f t="shared" si="1"/>
        <v>7.666666666666667</v>
      </c>
      <c r="ER30" s="19">
        <f t="shared" si="2"/>
        <v>65634.87</v>
      </c>
      <c r="ES30" s="12">
        <f t="shared" si="3"/>
        <v>127</v>
      </c>
      <c r="ET30" s="23" t="e">
        <f t="shared" si="8"/>
        <v>#DIV/0!</v>
      </c>
      <c r="EU30" s="23" t="e">
        <f t="shared" si="9"/>
        <v>#DIV/0!</v>
      </c>
      <c r="EV30" s="23">
        <f t="shared" si="6"/>
        <v>33.78</v>
      </c>
      <c r="EW30" s="23"/>
      <c r="EX30" s="12">
        <v>198</v>
      </c>
      <c r="EY30" s="19" cm="1">
        <f t="array" ref="EY30:FC30">VLOOKUP(_xlfn.SINGLE(B:B),'[1]Price List'!$B:$N,{8,4,5,6,7},0)</f>
        <v>516.80999999999995</v>
      </c>
      <c r="EZ30" s="9" t="str">
        <v>Tech21 EvoPro w/MagSafe Clear/Black iPhone 17 Pro Max</v>
      </c>
      <c r="FA30" s="12" t="str">
        <v>Cases iPhone</v>
      </c>
      <c r="FB30" s="12" t="str">
        <v>iPhone 17</v>
      </c>
      <c r="FC30" s="12" t="str">
        <v>iPhone 17 Pro Max</v>
      </c>
      <c r="FD30" s="23" t="str">
        <f>_xlfn.XLOOKUP(B:B,'[1]Price List'!$B:$B,'[1]Price List'!$A:$A)</f>
        <v>Tech21</v>
      </c>
    </row>
    <row r="31" spans="1:160" s="9" customFormat="1" x14ac:dyDescent="0.2">
      <c r="A31" s="23" t="s">
        <v>600</v>
      </c>
      <c r="B31" s="8">
        <v>840459608569</v>
      </c>
      <c r="C31" s="1" t="s">
        <v>661</v>
      </c>
      <c r="D31" s="9" t="s">
        <v>644</v>
      </c>
      <c r="E31" s="9" t="s">
        <v>477</v>
      </c>
      <c r="F31" s="9" t="s">
        <v>615</v>
      </c>
      <c r="G31" s="9" t="s">
        <v>678</v>
      </c>
      <c r="H31" s="10" t="s">
        <v>667</v>
      </c>
      <c r="I31" s="8">
        <v>1349</v>
      </c>
      <c r="J31" s="11">
        <v>581.47</v>
      </c>
      <c r="K31" s="62">
        <v>0</v>
      </c>
      <c r="L31" s="12">
        <v>0</v>
      </c>
      <c r="M31" s="13" t="s">
        <v>466</v>
      </c>
      <c r="N31" s="13" t="s">
        <v>383</v>
      </c>
      <c r="O31" s="27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  <c r="BJ31" s="12"/>
      <c r="BK31" s="12"/>
      <c r="BL31" s="12"/>
      <c r="BM31" s="12"/>
      <c r="BN31" s="12"/>
      <c r="BO31" s="12"/>
      <c r="BP31" s="12"/>
      <c r="BQ31" s="12"/>
      <c r="BR31" s="12"/>
      <c r="BS31" s="12"/>
      <c r="BT31" s="12"/>
      <c r="BU31" s="12"/>
      <c r="BV31" s="12"/>
      <c r="BW31" s="12"/>
      <c r="BX31" s="12"/>
      <c r="BY31" s="12"/>
      <c r="BZ31" s="12"/>
      <c r="CA31" s="12"/>
      <c r="CB31" s="12"/>
      <c r="CC31" s="12"/>
      <c r="CD31" s="12"/>
      <c r="CE31" s="12"/>
      <c r="CF31" s="12"/>
      <c r="CG31" s="12"/>
      <c r="CH31" s="12"/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  <c r="DM31" s="12"/>
      <c r="DN31" s="12"/>
      <c r="DO31" s="12"/>
      <c r="DP31" s="12"/>
      <c r="DQ31" s="12"/>
      <c r="DR31" s="12"/>
      <c r="DS31" s="12"/>
      <c r="DT31" s="12"/>
      <c r="DU31" s="12"/>
      <c r="DV31" s="12"/>
      <c r="DW31" s="12"/>
      <c r="DX31" s="12"/>
      <c r="DY31" s="12"/>
      <c r="DZ31" s="12"/>
      <c r="EA31" s="12"/>
      <c r="EB31" s="12"/>
      <c r="EC31" s="12">
        <v>30</v>
      </c>
      <c r="ED31" s="12">
        <v>44</v>
      </c>
      <c r="EE31" s="12">
        <v>36</v>
      </c>
      <c r="EF31" s="12">
        <v>37</v>
      </c>
      <c r="EG31" s="12">
        <v>38</v>
      </c>
      <c r="EH31" s="12">
        <v>26</v>
      </c>
      <c r="EI31" s="12">
        <v>27</v>
      </c>
      <c r="EJ31" s="12">
        <v>18</v>
      </c>
      <c r="EK31" s="12">
        <v>21</v>
      </c>
      <c r="EL31" s="12">
        <v>9</v>
      </c>
      <c r="EM31" s="12">
        <v>17</v>
      </c>
      <c r="EN31" s="12">
        <v>6</v>
      </c>
      <c r="EO31" s="12">
        <v>20</v>
      </c>
      <c r="EP31" s="12" t="str">
        <f t="shared" si="14"/>
        <v>🟠 Bajo</v>
      </c>
      <c r="EQ31" s="23">
        <f t="shared" si="1"/>
        <v>27.545454545454547</v>
      </c>
      <c r="ER31" s="19">
        <f t="shared" si="2"/>
        <v>191303.63</v>
      </c>
      <c r="ES31" s="12">
        <f t="shared" si="3"/>
        <v>329</v>
      </c>
      <c r="ET31" s="23" t="e">
        <f t="shared" si="8"/>
        <v>#DIV/0!</v>
      </c>
      <c r="EU31" s="23" t="e">
        <f t="shared" si="9"/>
        <v>#DIV/0!</v>
      </c>
      <c r="EV31" s="23">
        <f t="shared" si="6"/>
        <v>148</v>
      </c>
      <c r="EW31" s="23"/>
      <c r="EX31" s="12">
        <v>208</v>
      </c>
      <c r="EY31" s="19" cm="1">
        <f t="array" ref="EY31:FC31">VLOOKUP(_xlfn.SINGLE(B:B),'[1]Price List'!$B:$N,{8,4,5,6,7},0)</f>
        <v>581.47</v>
      </c>
      <c r="EZ31" s="9" t="str">
        <v>Tech21 Apple MacBook Air 13 EvoShell - Clear</v>
      </c>
      <c r="FA31" s="12" t="str">
        <v>Cases Macbook</v>
      </c>
      <c r="FB31" s="12" t="str">
        <v>MacBook</v>
      </c>
      <c r="FC31" s="12" t="str">
        <v>MacBook Air 13" M4/M3/M2</v>
      </c>
      <c r="FD31" s="23" t="str">
        <f>_xlfn.XLOOKUP(B:B,'[1]Price List'!$B:$B,'[1]Price List'!$A:$A)</f>
        <v>Tech21</v>
      </c>
    </row>
    <row r="32" spans="1:160" s="9" customFormat="1" x14ac:dyDescent="0.2">
      <c r="A32" s="23" t="s">
        <v>600</v>
      </c>
      <c r="B32" s="8">
        <v>840459609283</v>
      </c>
      <c r="C32" s="1" t="s">
        <v>662</v>
      </c>
      <c r="D32" s="9" t="s">
        <v>644</v>
      </c>
      <c r="E32" s="9" t="s">
        <v>477</v>
      </c>
      <c r="F32" s="9" t="s">
        <v>614</v>
      </c>
      <c r="G32" s="9" t="s">
        <v>676</v>
      </c>
      <c r="H32" s="10" t="s">
        <v>668</v>
      </c>
      <c r="I32" s="8">
        <v>1399</v>
      </c>
      <c r="J32" s="11">
        <v>603.02</v>
      </c>
      <c r="K32" s="62">
        <v>0</v>
      </c>
      <c r="L32" s="12">
        <v>0</v>
      </c>
      <c r="M32" s="13" t="s">
        <v>466</v>
      </c>
      <c r="N32" s="13" t="s">
        <v>383</v>
      </c>
      <c r="O32" s="27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  <c r="DM32" s="12"/>
      <c r="DN32" s="12"/>
      <c r="DO32" s="12"/>
      <c r="DP32" s="12"/>
      <c r="DQ32" s="12"/>
      <c r="DR32" s="12"/>
      <c r="DS32" s="12"/>
      <c r="DT32" s="12"/>
      <c r="DU32" s="12"/>
      <c r="DV32" s="12"/>
      <c r="DW32" s="12"/>
      <c r="DX32" s="12"/>
      <c r="DY32" s="12"/>
      <c r="DZ32" s="12"/>
      <c r="EA32" s="12"/>
      <c r="EB32" s="12"/>
      <c r="EC32" s="12">
        <v>27</v>
      </c>
      <c r="ED32" s="12">
        <v>32</v>
      </c>
      <c r="EE32" s="12">
        <v>18</v>
      </c>
      <c r="EF32" s="12">
        <v>19</v>
      </c>
      <c r="EG32" s="12">
        <v>27</v>
      </c>
      <c r="EH32" s="12">
        <v>20</v>
      </c>
      <c r="EI32" s="12">
        <v>27</v>
      </c>
      <c r="EJ32" s="12">
        <v>13</v>
      </c>
      <c r="EK32" s="12">
        <v>20</v>
      </c>
      <c r="EL32" s="12">
        <v>16</v>
      </c>
      <c r="EM32" s="12">
        <v>6</v>
      </c>
      <c r="EN32" s="12">
        <v>15</v>
      </c>
      <c r="EO32" s="12">
        <v>20</v>
      </c>
      <c r="EP32" s="12" t="str">
        <f t="shared" si="14"/>
        <v>🟠 Bajo</v>
      </c>
      <c r="EQ32" s="23">
        <f t="shared" si="1"/>
        <v>20.454545454545453</v>
      </c>
      <c r="ER32" s="19">
        <f t="shared" si="2"/>
        <v>156785.19999999998</v>
      </c>
      <c r="ES32" s="12">
        <f t="shared" si="3"/>
        <v>260</v>
      </c>
      <c r="ET32" s="23" t="e">
        <f t="shared" si="8"/>
        <v>#DIV/0!</v>
      </c>
      <c r="EU32" s="23" t="e">
        <f t="shared" si="9"/>
        <v>#DIV/0!</v>
      </c>
      <c r="EV32" s="23">
        <f t="shared" si="6"/>
        <v>98.4</v>
      </c>
      <c r="EW32" s="23"/>
      <c r="EX32" s="12">
        <v>175</v>
      </c>
      <c r="EY32" s="19" cm="1">
        <f t="array" ref="EY32:FC32">VLOOKUP(_xlfn.SINGLE(B:B),'[1]Price List'!$B:$N,{8,4,5,6,7},0)</f>
        <v>603.02</v>
      </c>
      <c r="EZ32" s="9" t="str">
        <v>Tech21 FlexFolio - Apple iPad Air 10.9-11-inch (2020-2025) / iPad Pro 11-inch (2018-2021) Case - Clear</v>
      </c>
      <c r="FA32" s="12" t="str">
        <v>Cases iPad</v>
      </c>
      <c r="FB32" s="12" t="str">
        <v>iPad</v>
      </c>
      <c r="FC32" s="12" t="str">
        <v>iPad Pro 11" 2/3/4/Air 4/5</v>
      </c>
      <c r="FD32" s="23" t="str">
        <f>_xlfn.XLOOKUP(B:B,'[1]Price List'!$B:$B,'[1]Price List'!$A:$A)</f>
        <v>Tech21</v>
      </c>
    </row>
    <row r="33" spans="1:160" s="9" customFormat="1" x14ac:dyDescent="0.2">
      <c r="A33" s="23" t="s">
        <v>600</v>
      </c>
      <c r="B33" s="8">
        <v>840459609290</v>
      </c>
      <c r="C33" s="1" t="s">
        <v>663</v>
      </c>
      <c r="D33" s="9" t="s">
        <v>644</v>
      </c>
      <c r="E33" s="9" t="s">
        <v>477</v>
      </c>
      <c r="F33" s="9" t="s">
        <v>614</v>
      </c>
      <c r="G33" s="9" t="s">
        <v>676</v>
      </c>
      <c r="H33" s="10" t="s">
        <v>669</v>
      </c>
      <c r="I33" s="8">
        <v>1399</v>
      </c>
      <c r="J33" s="11">
        <v>603.02</v>
      </c>
      <c r="K33" s="62">
        <v>0</v>
      </c>
      <c r="L33" s="12">
        <v>0</v>
      </c>
      <c r="M33" s="13" t="s">
        <v>466</v>
      </c>
      <c r="N33" s="13" t="s">
        <v>383</v>
      </c>
      <c r="O33" s="27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>
        <v>13</v>
      </c>
      <c r="ED33" s="12">
        <v>9</v>
      </c>
      <c r="EE33" s="12">
        <v>9</v>
      </c>
      <c r="EF33" s="12">
        <v>9</v>
      </c>
      <c r="EG33" s="12">
        <v>10</v>
      </c>
      <c r="EH33" s="12">
        <v>12</v>
      </c>
      <c r="EI33" s="12">
        <v>11</v>
      </c>
      <c r="EJ33" s="12">
        <v>5</v>
      </c>
      <c r="EK33" s="12">
        <v>8</v>
      </c>
      <c r="EL33" s="12">
        <v>8</v>
      </c>
      <c r="EM33" s="12">
        <v>12</v>
      </c>
      <c r="EN33" s="12">
        <v>13</v>
      </c>
      <c r="EO33" s="12">
        <v>11</v>
      </c>
      <c r="EP33" s="12" t="str">
        <f t="shared" si="14"/>
        <v>🟠 Bajo</v>
      </c>
      <c r="EQ33" s="23">
        <f t="shared" si="1"/>
        <v>9.6363636363636367</v>
      </c>
      <c r="ER33" s="19">
        <f t="shared" si="2"/>
        <v>78392.599999999991</v>
      </c>
      <c r="ES33" s="12">
        <f t="shared" si="3"/>
        <v>130</v>
      </c>
      <c r="ET33" s="23" t="e">
        <f t="shared" si="8"/>
        <v>#DIV/0!</v>
      </c>
      <c r="EU33" s="23" t="e">
        <f t="shared" si="9"/>
        <v>#DIV/0!</v>
      </c>
      <c r="EV33" s="23">
        <f t="shared" si="6"/>
        <v>40</v>
      </c>
      <c r="EW33" s="23"/>
      <c r="EX33" s="12">
        <v>229</v>
      </c>
      <c r="EY33" s="19" cm="1">
        <f t="array" ref="EY33:FC33">VLOOKUP(_xlfn.SINGLE(B:B),'[1]Price List'!$B:$N,{8,4,5,6,7},0)</f>
        <v>603.02</v>
      </c>
      <c r="EZ33" s="9" t="str">
        <v>Tech21 FlexFolio - Apple iPad Air 10.9-11-inch (2020-2025) / iPad Pro 11-inch (2018-2021) Case - Tint</v>
      </c>
      <c r="FA33" s="12" t="str">
        <v>Cases iPad</v>
      </c>
      <c r="FB33" s="12" t="str">
        <v>iPad</v>
      </c>
      <c r="FC33" s="12" t="str">
        <v>iPad Pro 11" 2/3/4/Air 4/5</v>
      </c>
      <c r="FD33" s="23" t="str">
        <f>_xlfn.XLOOKUP(B:B,'[1]Price List'!$B:$B,'[1]Price List'!$A:$A)</f>
        <v>Tech21</v>
      </c>
    </row>
    <row r="34" spans="1:160" s="9" customFormat="1" x14ac:dyDescent="0.2">
      <c r="A34" s="23" t="s">
        <v>600</v>
      </c>
      <c r="B34" s="23">
        <v>840459607036</v>
      </c>
      <c r="C34" s="9" t="s">
        <v>559</v>
      </c>
      <c r="D34" s="9" t="s">
        <v>644</v>
      </c>
      <c r="E34" s="9" t="s">
        <v>477</v>
      </c>
      <c r="F34" s="9" t="s">
        <v>477</v>
      </c>
      <c r="G34" s="9" t="s">
        <v>477</v>
      </c>
      <c r="H34" s="12" t="s">
        <v>480</v>
      </c>
      <c r="I34" s="12">
        <v>999</v>
      </c>
      <c r="J34" s="11">
        <v>430.6</v>
      </c>
      <c r="K34" s="62">
        <v>0</v>
      </c>
      <c r="L34" s="12">
        <v>0</v>
      </c>
      <c r="M34" s="13" t="s">
        <v>466</v>
      </c>
      <c r="N34" s="13" t="s">
        <v>655</v>
      </c>
      <c r="O34" s="27">
        <v>46631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0</v>
      </c>
      <c r="AB34" s="12">
        <v>0</v>
      </c>
      <c r="AC34" s="12">
        <v>0</v>
      </c>
      <c r="AD34" s="12">
        <v>0</v>
      </c>
      <c r="AE34" s="12">
        <v>0</v>
      </c>
      <c r="AF34" s="12">
        <v>0</v>
      </c>
      <c r="AG34" s="12">
        <v>0</v>
      </c>
      <c r="AH34" s="12">
        <v>0</v>
      </c>
      <c r="AI34" s="12">
        <v>0</v>
      </c>
      <c r="AJ34" s="12">
        <v>0</v>
      </c>
      <c r="AK34" s="12">
        <v>0</v>
      </c>
      <c r="AL34" s="12">
        <v>0</v>
      </c>
      <c r="AM34" s="12">
        <v>0</v>
      </c>
      <c r="AN34" s="12">
        <v>0</v>
      </c>
      <c r="AO34" s="12">
        <v>0</v>
      </c>
      <c r="AP34" s="12">
        <v>0</v>
      </c>
      <c r="AQ34" s="12">
        <v>0</v>
      </c>
      <c r="AR34" s="12">
        <v>0</v>
      </c>
      <c r="AS34" s="12">
        <v>0</v>
      </c>
      <c r="AT34" s="12">
        <v>0</v>
      </c>
      <c r="AU34" s="12">
        <v>0</v>
      </c>
      <c r="AV34" s="12">
        <v>0</v>
      </c>
      <c r="AW34" s="12">
        <v>0</v>
      </c>
      <c r="AX34" s="12">
        <v>0</v>
      </c>
      <c r="AY34" s="12">
        <v>0</v>
      </c>
      <c r="AZ34" s="12">
        <v>0</v>
      </c>
      <c r="BA34" s="12">
        <v>0</v>
      </c>
      <c r="BB34" s="12">
        <v>0</v>
      </c>
      <c r="BC34" s="12">
        <v>0</v>
      </c>
      <c r="BD34" s="12">
        <v>0</v>
      </c>
      <c r="BE34" s="12">
        <v>0</v>
      </c>
      <c r="BF34" s="12">
        <v>0</v>
      </c>
      <c r="BG34" s="12">
        <v>0</v>
      </c>
      <c r="BH34" s="12">
        <v>0</v>
      </c>
      <c r="BI34" s="12">
        <v>0</v>
      </c>
      <c r="BJ34" s="12">
        <v>0</v>
      </c>
      <c r="BK34" s="12">
        <v>0</v>
      </c>
      <c r="BL34" s="12">
        <v>0</v>
      </c>
      <c r="BM34" s="12">
        <v>0</v>
      </c>
      <c r="BN34" s="12">
        <v>0</v>
      </c>
      <c r="BO34" s="12">
        <v>0</v>
      </c>
      <c r="BP34" s="12">
        <v>0</v>
      </c>
      <c r="BQ34" s="12">
        <v>0</v>
      </c>
      <c r="BR34" s="12">
        <v>0</v>
      </c>
      <c r="BS34" s="12">
        <v>0</v>
      </c>
      <c r="BT34" s="12">
        <v>0</v>
      </c>
      <c r="BU34" s="12">
        <v>0</v>
      </c>
      <c r="BV34" s="12">
        <v>0</v>
      </c>
      <c r="BW34" s="12">
        <v>0</v>
      </c>
      <c r="BX34" s="12">
        <v>0</v>
      </c>
      <c r="BY34" s="12">
        <v>0</v>
      </c>
      <c r="BZ34" s="12">
        <v>0</v>
      </c>
      <c r="CA34" s="12">
        <v>0</v>
      </c>
      <c r="CB34" s="12">
        <v>0</v>
      </c>
      <c r="CC34" s="12">
        <v>0</v>
      </c>
      <c r="CD34" s="12">
        <v>0</v>
      </c>
      <c r="CE34" s="12">
        <v>0</v>
      </c>
      <c r="CF34" s="12">
        <v>0</v>
      </c>
      <c r="CG34" s="12">
        <v>0</v>
      </c>
      <c r="CH34" s="12">
        <v>0</v>
      </c>
      <c r="CI34" s="12">
        <v>0</v>
      </c>
      <c r="CJ34" s="12">
        <v>0</v>
      </c>
      <c r="CK34" s="12">
        <v>0</v>
      </c>
      <c r="CL34" s="12">
        <v>0</v>
      </c>
      <c r="CM34" s="12">
        <v>0</v>
      </c>
      <c r="CN34" s="12">
        <v>0</v>
      </c>
      <c r="CO34" s="12">
        <v>0</v>
      </c>
      <c r="CP34" s="12">
        <v>0</v>
      </c>
      <c r="CQ34" s="12">
        <v>0</v>
      </c>
      <c r="CR34" s="12">
        <v>0</v>
      </c>
      <c r="CS34" s="12">
        <v>0</v>
      </c>
      <c r="CT34" s="12">
        <v>0</v>
      </c>
      <c r="CU34" s="12">
        <v>0</v>
      </c>
      <c r="CV34" s="12">
        <v>0</v>
      </c>
      <c r="CW34" s="12">
        <v>0</v>
      </c>
      <c r="CX34" s="12">
        <v>0</v>
      </c>
      <c r="CY34" s="12">
        <v>0</v>
      </c>
      <c r="CZ34" s="12">
        <v>0</v>
      </c>
      <c r="DA34" s="12">
        <v>9</v>
      </c>
      <c r="DB34" s="12">
        <v>14</v>
      </c>
      <c r="DC34" s="12">
        <v>1</v>
      </c>
      <c r="DD34" s="12">
        <v>10</v>
      </c>
      <c r="DE34" s="12">
        <v>13</v>
      </c>
      <c r="DF34" s="12">
        <v>9</v>
      </c>
      <c r="DG34" s="12">
        <v>16</v>
      </c>
      <c r="DH34" s="12">
        <v>15</v>
      </c>
      <c r="DI34" s="12">
        <v>27</v>
      </c>
      <c r="DJ34" s="12">
        <v>19</v>
      </c>
      <c r="DK34" s="12">
        <v>13</v>
      </c>
      <c r="DL34" s="12">
        <v>18</v>
      </c>
      <c r="DM34" s="12">
        <v>14</v>
      </c>
      <c r="DN34" s="12">
        <v>16</v>
      </c>
      <c r="DO34" s="12">
        <v>21</v>
      </c>
      <c r="DP34" s="12">
        <v>17</v>
      </c>
      <c r="DQ34" s="12">
        <v>22</v>
      </c>
      <c r="DR34" s="12">
        <v>2</v>
      </c>
      <c r="DS34" s="12">
        <v>4</v>
      </c>
      <c r="DT34" s="12">
        <v>3</v>
      </c>
      <c r="DU34" s="12">
        <v>4</v>
      </c>
      <c r="DV34" s="12">
        <v>3</v>
      </c>
      <c r="DW34" s="12">
        <v>13</v>
      </c>
      <c r="DX34" s="12">
        <v>12</v>
      </c>
      <c r="DY34" s="12">
        <v>5</v>
      </c>
      <c r="DZ34" s="12">
        <v>7</v>
      </c>
      <c r="EA34" s="12">
        <v>8</v>
      </c>
      <c r="EB34" s="12">
        <v>7</v>
      </c>
      <c r="EC34" s="12">
        <v>16</v>
      </c>
      <c r="ED34" s="12">
        <v>15</v>
      </c>
      <c r="EE34" s="12">
        <v>16</v>
      </c>
      <c r="EF34" s="12">
        <v>6</v>
      </c>
      <c r="EG34" s="12">
        <v>14</v>
      </c>
      <c r="EH34" s="12">
        <v>22</v>
      </c>
      <c r="EI34" s="12">
        <v>10</v>
      </c>
      <c r="EJ34" s="12">
        <v>5</v>
      </c>
      <c r="EK34" s="12">
        <v>7</v>
      </c>
      <c r="EL34" s="12">
        <v>8</v>
      </c>
      <c r="EM34" s="12">
        <v>5</v>
      </c>
      <c r="EN34" s="12">
        <v>6</v>
      </c>
      <c r="EO34" s="12">
        <v>8</v>
      </c>
      <c r="EP34" s="12" t="str">
        <f t="shared" si="14"/>
        <v>🟢 Bien</v>
      </c>
      <c r="EQ34" s="23">
        <f t="shared" si="1"/>
        <v>9.625</v>
      </c>
      <c r="ER34" s="19">
        <f t="shared" si="2"/>
        <v>105497</v>
      </c>
      <c r="ES34" s="12">
        <f t="shared" si="3"/>
        <v>245</v>
      </c>
      <c r="ET34" s="23">
        <f t="shared" si="8"/>
        <v>36</v>
      </c>
      <c r="EU34" s="23">
        <f t="shared" si="9"/>
        <v>71.5</v>
      </c>
      <c r="EV34" s="23">
        <f t="shared" si="6"/>
        <v>38.67</v>
      </c>
      <c r="EW34" s="23">
        <f t="shared" ref="EW34:EW63" si="15">SUM(DA34:EF34)</f>
        <v>375</v>
      </c>
      <c r="EX34" s="12">
        <v>118</v>
      </c>
      <c r="EY34" s="19" cm="1">
        <f t="array" ref="EY34:FC34">VLOOKUP(_xlfn.SINGLE(B:B),'[1]Price List'!$B:$N,{8,4,5,6,7},0)</f>
        <v>387.5</v>
      </c>
      <c r="EZ34" s="9" t="str">
        <v>Tech21 EvoClear + MS iPhone 17 Clear</v>
      </c>
      <c r="FA34" s="12" t="str">
        <v>Cases iPhone</v>
      </c>
      <c r="FB34" s="12" t="str">
        <v>iPhone 17</v>
      </c>
      <c r="FC34" s="12" t="str">
        <v>iPhone 17</v>
      </c>
      <c r="FD34" s="23" t="str">
        <f>_xlfn.XLOOKUP(B:B,'[1]Price List'!$B:$B,'[1]Price List'!$A:$A)</f>
        <v>Tech21</v>
      </c>
    </row>
    <row r="35" spans="1:160" s="9" customFormat="1" x14ac:dyDescent="0.2">
      <c r="A35" s="23" t="s">
        <v>600</v>
      </c>
      <c r="B35" s="23">
        <v>840459607258</v>
      </c>
      <c r="C35" s="9" t="s">
        <v>561</v>
      </c>
      <c r="D35" s="9" t="s">
        <v>644</v>
      </c>
      <c r="E35" s="9" t="s">
        <v>477</v>
      </c>
      <c r="F35" s="9" t="s">
        <v>478</v>
      </c>
      <c r="G35" s="9" t="s">
        <v>478</v>
      </c>
      <c r="H35" s="12" t="s">
        <v>482</v>
      </c>
      <c r="I35" s="12">
        <v>999</v>
      </c>
      <c r="J35" s="11">
        <v>430.6</v>
      </c>
      <c r="K35" s="62">
        <v>0</v>
      </c>
      <c r="L35" s="12">
        <v>0</v>
      </c>
      <c r="M35" s="13" t="s">
        <v>466</v>
      </c>
      <c r="N35" s="13" t="s">
        <v>383</v>
      </c>
      <c r="O35" s="27">
        <v>46631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2">
        <v>0</v>
      </c>
      <c r="AD35" s="12">
        <v>0</v>
      </c>
      <c r="AE35" s="12">
        <v>0</v>
      </c>
      <c r="AF35" s="12">
        <v>0</v>
      </c>
      <c r="AG35" s="12">
        <v>0</v>
      </c>
      <c r="AH35" s="12">
        <v>0</v>
      </c>
      <c r="AI35" s="12">
        <v>0</v>
      </c>
      <c r="AJ35" s="12">
        <v>0</v>
      </c>
      <c r="AK35" s="12">
        <v>0</v>
      </c>
      <c r="AL35" s="12">
        <v>0</v>
      </c>
      <c r="AM35" s="12">
        <v>0</v>
      </c>
      <c r="AN35" s="12">
        <v>0</v>
      </c>
      <c r="AO35" s="12">
        <v>0</v>
      </c>
      <c r="AP35" s="12">
        <v>0</v>
      </c>
      <c r="AQ35" s="12">
        <v>0</v>
      </c>
      <c r="AR35" s="12">
        <v>0</v>
      </c>
      <c r="AS35" s="12">
        <v>0</v>
      </c>
      <c r="AT35" s="12">
        <v>0</v>
      </c>
      <c r="AU35" s="12">
        <v>0</v>
      </c>
      <c r="AV35" s="12">
        <v>0</v>
      </c>
      <c r="AW35" s="12">
        <v>0</v>
      </c>
      <c r="AX35" s="12">
        <v>0</v>
      </c>
      <c r="AY35" s="12">
        <v>0</v>
      </c>
      <c r="AZ35" s="12">
        <v>0</v>
      </c>
      <c r="BA35" s="12">
        <v>0</v>
      </c>
      <c r="BB35" s="12">
        <v>0</v>
      </c>
      <c r="BC35" s="12">
        <v>0</v>
      </c>
      <c r="BD35" s="12">
        <v>0</v>
      </c>
      <c r="BE35" s="12">
        <v>0</v>
      </c>
      <c r="BF35" s="12">
        <v>0</v>
      </c>
      <c r="BG35" s="12">
        <v>0</v>
      </c>
      <c r="BH35" s="12">
        <v>0</v>
      </c>
      <c r="BI35" s="12">
        <v>0</v>
      </c>
      <c r="BJ35" s="12">
        <v>0</v>
      </c>
      <c r="BK35" s="12">
        <v>0</v>
      </c>
      <c r="BL35" s="12">
        <v>0</v>
      </c>
      <c r="BM35" s="12">
        <v>0</v>
      </c>
      <c r="BN35" s="12">
        <v>0</v>
      </c>
      <c r="BO35" s="12">
        <v>0</v>
      </c>
      <c r="BP35" s="12">
        <v>0</v>
      </c>
      <c r="BQ35" s="12">
        <v>0</v>
      </c>
      <c r="BR35" s="12">
        <v>0</v>
      </c>
      <c r="BS35" s="12">
        <v>0</v>
      </c>
      <c r="BT35" s="12">
        <v>0</v>
      </c>
      <c r="BU35" s="12">
        <v>0</v>
      </c>
      <c r="BV35" s="12">
        <v>0</v>
      </c>
      <c r="BW35" s="12">
        <v>0</v>
      </c>
      <c r="BX35" s="12">
        <v>0</v>
      </c>
      <c r="BY35" s="12">
        <v>0</v>
      </c>
      <c r="BZ35" s="12">
        <v>0</v>
      </c>
      <c r="CA35" s="12">
        <v>0</v>
      </c>
      <c r="CB35" s="12">
        <v>0</v>
      </c>
      <c r="CC35" s="12">
        <v>0</v>
      </c>
      <c r="CD35" s="12">
        <v>0</v>
      </c>
      <c r="CE35" s="12">
        <v>0</v>
      </c>
      <c r="CF35" s="12">
        <v>0</v>
      </c>
      <c r="CG35" s="12">
        <v>0</v>
      </c>
      <c r="CH35" s="12">
        <v>0</v>
      </c>
      <c r="CI35" s="12">
        <v>0</v>
      </c>
      <c r="CJ35" s="12">
        <v>0</v>
      </c>
      <c r="CK35" s="12">
        <v>0</v>
      </c>
      <c r="CL35" s="12">
        <v>0</v>
      </c>
      <c r="CM35" s="12">
        <v>0</v>
      </c>
      <c r="CN35" s="12">
        <v>0</v>
      </c>
      <c r="CO35" s="12">
        <v>0</v>
      </c>
      <c r="CP35" s="12">
        <v>0</v>
      </c>
      <c r="CQ35" s="12">
        <v>0</v>
      </c>
      <c r="CR35" s="12">
        <v>0</v>
      </c>
      <c r="CS35" s="12">
        <v>0</v>
      </c>
      <c r="CT35" s="12">
        <v>0</v>
      </c>
      <c r="CU35" s="12">
        <v>0</v>
      </c>
      <c r="CV35" s="12">
        <v>0</v>
      </c>
      <c r="CW35" s="12">
        <v>0</v>
      </c>
      <c r="CX35" s="12">
        <v>0</v>
      </c>
      <c r="CY35" s="12">
        <v>0</v>
      </c>
      <c r="CZ35" s="12">
        <v>0</v>
      </c>
      <c r="DA35" s="12">
        <v>102</v>
      </c>
      <c r="DB35" s="12">
        <v>43</v>
      </c>
      <c r="DC35" s="12">
        <v>18</v>
      </c>
      <c r="DD35" s="12">
        <v>30</v>
      </c>
      <c r="DE35" s="12">
        <v>22</v>
      </c>
      <c r="DF35" s="12">
        <v>39</v>
      </c>
      <c r="DG35" s="12">
        <v>24</v>
      </c>
      <c r="DH35" s="12">
        <v>18</v>
      </c>
      <c r="DI35" s="12">
        <v>62</v>
      </c>
      <c r="DJ35" s="12">
        <v>23</v>
      </c>
      <c r="DK35" s="12">
        <v>29</v>
      </c>
      <c r="DL35" s="12">
        <v>32</v>
      </c>
      <c r="DM35" s="12">
        <v>31</v>
      </c>
      <c r="DN35" s="12">
        <v>27</v>
      </c>
      <c r="DO35" s="12">
        <v>39</v>
      </c>
      <c r="DP35" s="12">
        <v>28</v>
      </c>
      <c r="DQ35" s="12">
        <v>23</v>
      </c>
      <c r="DR35" s="12">
        <v>17</v>
      </c>
      <c r="DS35" s="12">
        <v>15</v>
      </c>
      <c r="DT35" s="12">
        <v>13</v>
      </c>
      <c r="DU35" s="12">
        <v>7</v>
      </c>
      <c r="DV35" s="12">
        <v>13</v>
      </c>
      <c r="DW35" s="12">
        <v>11</v>
      </c>
      <c r="DX35" s="12">
        <v>14</v>
      </c>
      <c r="DY35" s="12">
        <v>8</v>
      </c>
      <c r="DZ35" s="12">
        <v>9</v>
      </c>
      <c r="EA35" s="12">
        <v>9</v>
      </c>
      <c r="EB35" s="12">
        <v>6</v>
      </c>
      <c r="EC35" s="12">
        <v>9</v>
      </c>
      <c r="ED35" s="12">
        <v>13</v>
      </c>
      <c r="EE35" s="12">
        <v>6</v>
      </c>
      <c r="EF35" s="12">
        <v>7</v>
      </c>
      <c r="EG35" s="12">
        <v>13</v>
      </c>
      <c r="EH35" s="12">
        <v>10</v>
      </c>
      <c r="EI35" s="12">
        <v>13</v>
      </c>
      <c r="EJ35" s="12">
        <v>9</v>
      </c>
      <c r="EK35" s="12">
        <v>12</v>
      </c>
      <c r="EL35" s="12">
        <v>8</v>
      </c>
      <c r="EM35" s="12">
        <v>13</v>
      </c>
      <c r="EN35" s="12">
        <v>9</v>
      </c>
      <c r="EO35" s="12">
        <v>8</v>
      </c>
      <c r="EP35" s="12" t="str">
        <f t="shared" si="14"/>
        <v>🟢 Bien</v>
      </c>
      <c r="EQ35" s="23">
        <f t="shared" si="1"/>
        <v>11.916666666666666</v>
      </c>
      <c r="ER35" s="19">
        <f t="shared" si="2"/>
        <v>130471.8</v>
      </c>
      <c r="ES35" s="12">
        <f t="shared" si="3"/>
        <v>303</v>
      </c>
      <c r="ET35" s="23">
        <f t="shared" si="8"/>
        <v>139</v>
      </c>
      <c r="EU35" s="23">
        <f t="shared" si="9"/>
        <v>130.5</v>
      </c>
      <c r="EV35" s="23">
        <f t="shared" si="6"/>
        <v>49.11</v>
      </c>
      <c r="EW35" s="23">
        <f t="shared" si="15"/>
        <v>747</v>
      </c>
      <c r="EX35" s="12">
        <v>257</v>
      </c>
      <c r="EY35" s="19" cm="1">
        <f t="array" ref="EY35:FC35">VLOOKUP(_xlfn.SINGLE(B:B),'[1]Price List'!$B:$N,{8,4,5,6,7},0)</f>
        <v>387.5</v>
      </c>
      <c r="EZ35" s="9" t="str">
        <v>Tech21 EvoClear + MS iPhone 17 Pro Clear</v>
      </c>
      <c r="FA35" s="12" t="str">
        <v>Cases iPhone</v>
      </c>
      <c r="FB35" s="12" t="str">
        <v>iPhone 17</v>
      </c>
      <c r="FC35" s="12" t="str">
        <v>iPhone 17 Pro</v>
      </c>
      <c r="FD35" s="23" t="str">
        <f>_xlfn.XLOOKUP(B:B,'[1]Price List'!$B:$B,'[1]Price List'!$A:$A)</f>
        <v>Tech21</v>
      </c>
    </row>
    <row r="36" spans="1:160" s="9" customFormat="1" x14ac:dyDescent="0.2">
      <c r="A36" s="23" t="s">
        <v>600</v>
      </c>
      <c r="B36" s="23">
        <v>840459607371</v>
      </c>
      <c r="C36" s="9" t="s">
        <v>562</v>
      </c>
      <c r="D36" s="9" t="s">
        <v>644</v>
      </c>
      <c r="E36" s="9" t="s">
        <v>477</v>
      </c>
      <c r="F36" s="9" t="s">
        <v>479</v>
      </c>
      <c r="G36" s="9" t="s">
        <v>479</v>
      </c>
      <c r="H36" s="12" t="s">
        <v>483</v>
      </c>
      <c r="I36" s="12">
        <v>999</v>
      </c>
      <c r="J36" s="11">
        <v>430.6</v>
      </c>
      <c r="K36" s="62">
        <v>0</v>
      </c>
      <c r="L36" s="12">
        <v>0</v>
      </c>
      <c r="M36" s="13" t="s">
        <v>466</v>
      </c>
      <c r="N36" s="13" t="s">
        <v>383</v>
      </c>
      <c r="O36" s="27">
        <v>46631</v>
      </c>
      <c r="P36" s="12">
        <v>0</v>
      </c>
      <c r="Q36" s="12">
        <v>0</v>
      </c>
      <c r="R36" s="12">
        <v>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0</v>
      </c>
      <c r="AA36" s="12">
        <v>0</v>
      </c>
      <c r="AB36" s="12">
        <v>0</v>
      </c>
      <c r="AC36" s="12">
        <v>0</v>
      </c>
      <c r="AD36" s="12">
        <v>0</v>
      </c>
      <c r="AE36" s="12">
        <v>0</v>
      </c>
      <c r="AF36" s="12">
        <v>0</v>
      </c>
      <c r="AG36" s="12">
        <v>0</v>
      </c>
      <c r="AH36" s="12">
        <v>0</v>
      </c>
      <c r="AI36" s="12">
        <v>0</v>
      </c>
      <c r="AJ36" s="12">
        <v>0</v>
      </c>
      <c r="AK36" s="12">
        <v>0</v>
      </c>
      <c r="AL36" s="12">
        <v>0</v>
      </c>
      <c r="AM36" s="12">
        <v>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0</v>
      </c>
      <c r="AU36" s="12">
        <v>0</v>
      </c>
      <c r="AV36" s="12">
        <v>0</v>
      </c>
      <c r="AW36" s="12">
        <v>0</v>
      </c>
      <c r="AX36" s="12">
        <v>0</v>
      </c>
      <c r="AY36" s="12">
        <v>0</v>
      </c>
      <c r="AZ36" s="12">
        <v>0</v>
      </c>
      <c r="BA36" s="12">
        <v>0</v>
      </c>
      <c r="BB36" s="12">
        <v>0</v>
      </c>
      <c r="BC36" s="12">
        <v>0</v>
      </c>
      <c r="BD36" s="12">
        <v>0</v>
      </c>
      <c r="BE36" s="12">
        <v>0</v>
      </c>
      <c r="BF36" s="12">
        <v>0</v>
      </c>
      <c r="BG36" s="12">
        <v>0</v>
      </c>
      <c r="BH36" s="12">
        <v>0</v>
      </c>
      <c r="BI36" s="12">
        <v>0</v>
      </c>
      <c r="BJ36" s="12">
        <v>0</v>
      </c>
      <c r="BK36" s="12">
        <v>0</v>
      </c>
      <c r="BL36" s="12">
        <v>0</v>
      </c>
      <c r="BM36" s="12">
        <v>0</v>
      </c>
      <c r="BN36" s="12">
        <v>0</v>
      </c>
      <c r="BO36" s="12">
        <v>0</v>
      </c>
      <c r="BP36" s="12">
        <v>0</v>
      </c>
      <c r="BQ36" s="12">
        <v>0</v>
      </c>
      <c r="BR36" s="12">
        <v>0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12">
        <v>0</v>
      </c>
      <c r="BY36" s="12">
        <v>0</v>
      </c>
      <c r="BZ36" s="12">
        <v>0</v>
      </c>
      <c r="CA36" s="12">
        <v>0</v>
      </c>
      <c r="CB36" s="12">
        <v>0</v>
      </c>
      <c r="CC36" s="12">
        <v>0</v>
      </c>
      <c r="CD36" s="12">
        <v>0</v>
      </c>
      <c r="CE36" s="12">
        <v>0</v>
      </c>
      <c r="CF36" s="12">
        <v>0</v>
      </c>
      <c r="CG36" s="12">
        <v>0</v>
      </c>
      <c r="CH36" s="12">
        <v>0</v>
      </c>
      <c r="CI36" s="12">
        <v>0</v>
      </c>
      <c r="CJ36" s="12">
        <v>0</v>
      </c>
      <c r="CK36" s="12">
        <v>0</v>
      </c>
      <c r="CL36" s="12">
        <v>0</v>
      </c>
      <c r="CM36" s="12">
        <v>0</v>
      </c>
      <c r="CN36" s="12">
        <v>0</v>
      </c>
      <c r="CO36" s="12">
        <v>0</v>
      </c>
      <c r="CP36" s="12">
        <v>0</v>
      </c>
      <c r="CQ36" s="12">
        <v>0</v>
      </c>
      <c r="CR36" s="12">
        <v>0</v>
      </c>
      <c r="CS36" s="12">
        <v>0</v>
      </c>
      <c r="CT36" s="12">
        <v>0</v>
      </c>
      <c r="CU36" s="12">
        <v>0</v>
      </c>
      <c r="CV36" s="12">
        <v>0</v>
      </c>
      <c r="CW36" s="12">
        <v>0</v>
      </c>
      <c r="CX36" s="12">
        <v>0</v>
      </c>
      <c r="CY36" s="12">
        <v>0</v>
      </c>
      <c r="CZ36" s="12">
        <v>0</v>
      </c>
      <c r="DA36" s="12">
        <v>46</v>
      </c>
      <c r="DB36" s="12">
        <v>82</v>
      </c>
      <c r="DC36" s="12">
        <v>31</v>
      </c>
      <c r="DD36" s="12">
        <v>50</v>
      </c>
      <c r="DE36" s="12">
        <v>72</v>
      </c>
      <c r="DF36" s="12">
        <v>62</v>
      </c>
      <c r="DG36" s="12">
        <v>22</v>
      </c>
      <c r="DH36" s="12">
        <v>9</v>
      </c>
      <c r="DI36" s="12">
        <v>118</v>
      </c>
      <c r="DJ36" s="12">
        <v>70</v>
      </c>
      <c r="DK36" s="12">
        <v>50</v>
      </c>
      <c r="DL36" s="12">
        <v>67</v>
      </c>
      <c r="DM36" s="12">
        <v>129</v>
      </c>
      <c r="DN36" s="12">
        <v>82</v>
      </c>
      <c r="DO36" s="12">
        <v>40</v>
      </c>
      <c r="DP36" s="12">
        <v>17</v>
      </c>
      <c r="DQ36" s="12">
        <v>7</v>
      </c>
      <c r="DR36" s="12">
        <v>6</v>
      </c>
      <c r="DS36" s="12">
        <v>3</v>
      </c>
      <c r="DT36" s="12">
        <v>6</v>
      </c>
      <c r="DU36" s="12">
        <v>5</v>
      </c>
      <c r="DV36" s="12">
        <v>0</v>
      </c>
      <c r="DW36" s="12">
        <v>39</v>
      </c>
      <c r="DX36" s="12">
        <v>43</v>
      </c>
      <c r="DY36" s="12">
        <v>33</v>
      </c>
      <c r="DZ36" s="12">
        <v>30</v>
      </c>
      <c r="EA36" s="12">
        <v>34</v>
      </c>
      <c r="EB36" s="12">
        <v>20</v>
      </c>
      <c r="EC36" s="12">
        <v>40</v>
      </c>
      <c r="ED36" s="12">
        <v>20</v>
      </c>
      <c r="EE36" s="12">
        <v>18</v>
      </c>
      <c r="EF36" s="12">
        <v>13</v>
      </c>
      <c r="EG36" s="12">
        <v>13</v>
      </c>
      <c r="EH36" s="12">
        <v>19</v>
      </c>
      <c r="EI36" s="12">
        <v>18</v>
      </c>
      <c r="EJ36" s="12">
        <v>8</v>
      </c>
      <c r="EK36" s="12">
        <v>18</v>
      </c>
      <c r="EL36" s="12">
        <v>30</v>
      </c>
      <c r="EM36" s="12">
        <v>16</v>
      </c>
      <c r="EN36" s="12">
        <v>11</v>
      </c>
      <c r="EO36" s="12">
        <v>13</v>
      </c>
      <c r="EP36" s="12" t="str">
        <f t="shared" si="14"/>
        <v>🟢 Bien</v>
      </c>
      <c r="EQ36" s="23">
        <f t="shared" si="1"/>
        <v>19</v>
      </c>
      <c r="ER36" s="19">
        <f t="shared" si="2"/>
        <v>206688</v>
      </c>
      <c r="ES36" s="12">
        <f t="shared" si="3"/>
        <v>480</v>
      </c>
      <c r="ET36" s="23">
        <f t="shared" si="8"/>
        <v>182.5</v>
      </c>
      <c r="EU36" s="23">
        <f t="shared" si="9"/>
        <v>282.5</v>
      </c>
      <c r="EV36" s="23">
        <f t="shared" si="6"/>
        <v>77.11</v>
      </c>
      <c r="EW36" s="23">
        <f t="shared" si="15"/>
        <v>1264</v>
      </c>
      <c r="EX36" s="12">
        <v>241</v>
      </c>
      <c r="EY36" s="19" cm="1">
        <f t="array" ref="EY36:FC36">VLOOKUP(_xlfn.SINGLE(B:B),'[1]Price List'!$B:$N,{8,4,5,6,7},0)</f>
        <v>387.5</v>
      </c>
      <c r="EZ36" s="9" t="str">
        <v>Tech21 EvoClear +MS  iPhone 17 Pro Max Clear</v>
      </c>
      <c r="FA36" s="12" t="str">
        <v>Cases iPhone</v>
      </c>
      <c r="FB36" s="12" t="str">
        <v>iPhone 17</v>
      </c>
      <c r="FC36" s="12" t="str">
        <v>iPhone 17 Pro Max</v>
      </c>
      <c r="FD36" s="23" t="str">
        <f>_xlfn.XLOOKUP(B:B,'[1]Price List'!$B:$B,'[1]Price List'!$A:$A)</f>
        <v>Tech21</v>
      </c>
    </row>
    <row r="37" spans="1:160" s="9" customFormat="1" x14ac:dyDescent="0.2">
      <c r="A37" s="23" t="s">
        <v>600</v>
      </c>
      <c r="B37" s="23">
        <v>840459607043</v>
      </c>
      <c r="C37" s="9" t="s">
        <v>563</v>
      </c>
      <c r="D37" s="9" t="s">
        <v>644</v>
      </c>
      <c r="E37" s="9" t="s">
        <v>477</v>
      </c>
      <c r="F37" s="9" t="s">
        <v>477</v>
      </c>
      <c r="G37" s="9" t="s">
        <v>477</v>
      </c>
      <c r="H37" s="12" t="s">
        <v>484</v>
      </c>
      <c r="I37" s="12">
        <v>999</v>
      </c>
      <c r="J37" s="11">
        <v>430.6</v>
      </c>
      <c r="K37" s="62">
        <v>0</v>
      </c>
      <c r="L37" s="12">
        <v>0</v>
      </c>
      <c r="M37" s="13" t="s">
        <v>466</v>
      </c>
      <c r="N37" s="13" t="s">
        <v>655</v>
      </c>
      <c r="O37" s="27">
        <v>46631</v>
      </c>
      <c r="P37" s="12">
        <v>0</v>
      </c>
      <c r="Q37" s="12">
        <v>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0</v>
      </c>
      <c r="AC37" s="12">
        <v>0</v>
      </c>
      <c r="AD37" s="12">
        <v>0</v>
      </c>
      <c r="AE37" s="12">
        <v>0</v>
      </c>
      <c r="AF37" s="12">
        <v>0</v>
      </c>
      <c r="AG37" s="12">
        <v>0</v>
      </c>
      <c r="AH37" s="12">
        <v>0</v>
      </c>
      <c r="AI37" s="12">
        <v>0</v>
      </c>
      <c r="AJ37" s="12">
        <v>0</v>
      </c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>
        <v>0</v>
      </c>
      <c r="AR37" s="12">
        <v>0</v>
      </c>
      <c r="AS37" s="12">
        <v>0</v>
      </c>
      <c r="AT37" s="12">
        <v>0</v>
      </c>
      <c r="AU37" s="12">
        <v>0</v>
      </c>
      <c r="AV37" s="12">
        <v>0</v>
      </c>
      <c r="AW37" s="12">
        <v>0</v>
      </c>
      <c r="AX37" s="12">
        <v>0</v>
      </c>
      <c r="AY37" s="12">
        <v>0</v>
      </c>
      <c r="AZ37" s="12">
        <v>0</v>
      </c>
      <c r="BA37" s="12">
        <v>0</v>
      </c>
      <c r="BB37" s="12">
        <v>0</v>
      </c>
      <c r="BC37" s="12">
        <v>0</v>
      </c>
      <c r="BD37" s="12">
        <v>0</v>
      </c>
      <c r="BE37" s="12">
        <v>0</v>
      </c>
      <c r="BF37" s="12">
        <v>0</v>
      </c>
      <c r="BG37" s="12">
        <v>0</v>
      </c>
      <c r="BH37" s="12">
        <v>0</v>
      </c>
      <c r="BI37" s="12">
        <v>0</v>
      </c>
      <c r="BJ37" s="12">
        <v>0</v>
      </c>
      <c r="BK37" s="12">
        <v>0</v>
      </c>
      <c r="BL37" s="12">
        <v>0</v>
      </c>
      <c r="BM37" s="12">
        <v>0</v>
      </c>
      <c r="BN37" s="12">
        <v>0</v>
      </c>
      <c r="BO37" s="12">
        <v>0</v>
      </c>
      <c r="BP37" s="12">
        <v>0</v>
      </c>
      <c r="BQ37" s="12">
        <v>0</v>
      </c>
      <c r="BR37" s="12">
        <v>0</v>
      </c>
      <c r="BS37" s="12">
        <v>0</v>
      </c>
      <c r="BT37" s="12">
        <v>0</v>
      </c>
      <c r="BU37" s="12">
        <v>0</v>
      </c>
      <c r="BV37" s="12">
        <v>0</v>
      </c>
      <c r="BW37" s="12">
        <v>0</v>
      </c>
      <c r="BX37" s="12">
        <v>0</v>
      </c>
      <c r="BY37" s="12">
        <v>0</v>
      </c>
      <c r="BZ37" s="12">
        <v>0</v>
      </c>
      <c r="CA37" s="12">
        <v>0</v>
      </c>
      <c r="CB37" s="12">
        <v>0</v>
      </c>
      <c r="CC37" s="12">
        <v>0</v>
      </c>
      <c r="CD37" s="12">
        <v>0</v>
      </c>
      <c r="CE37" s="12">
        <v>0</v>
      </c>
      <c r="CF37" s="12">
        <v>0</v>
      </c>
      <c r="CG37" s="12">
        <v>0</v>
      </c>
      <c r="CH37" s="12">
        <v>0</v>
      </c>
      <c r="CI37" s="12">
        <v>0</v>
      </c>
      <c r="CJ37" s="12">
        <v>0</v>
      </c>
      <c r="CK37" s="12">
        <v>0</v>
      </c>
      <c r="CL37" s="12">
        <v>0</v>
      </c>
      <c r="CM37" s="12">
        <v>0</v>
      </c>
      <c r="CN37" s="12">
        <v>0</v>
      </c>
      <c r="CO37" s="12">
        <v>0</v>
      </c>
      <c r="CP37" s="12">
        <v>0</v>
      </c>
      <c r="CQ37" s="12">
        <v>0</v>
      </c>
      <c r="CR37" s="12">
        <v>0</v>
      </c>
      <c r="CS37" s="12">
        <v>0</v>
      </c>
      <c r="CT37" s="12">
        <v>0</v>
      </c>
      <c r="CU37" s="12">
        <v>0</v>
      </c>
      <c r="CV37" s="12">
        <v>0</v>
      </c>
      <c r="CW37" s="12">
        <v>0</v>
      </c>
      <c r="CX37" s="12">
        <v>0</v>
      </c>
      <c r="CY37" s="12">
        <v>0</v>
      </c>
      <c r="CZ37" s="12">
        <v>0</v>
      </c>
      <c r="DA37" s="12">
        <v>1</v>
      </c>
      <c r="DB37" s="12">
        <v>8</v>
      </c>
      <c r="DC37" s="12">
        <v>0</v>
      </c>
      <c r="DD37" s="12">
        <v>4</v>
      </c>
      <c r="DE37" s="12">
        <v>6</v>
      </c>
      <c r="DF37" s="12">
        <v>8</v>
      </c>
      <c r="DG37" s="12">
        <v>9</v>
      </c>
      <c r="DH37" s="12">
        <v>9</v>
      </c>
      <c r="DI37" s="12">
        <v>16</v>
      </c>
      <c r="DJ37" s="12">
        <v>5</v>
      </c>
      <c r="DK37" s="12">
        <v>7</v>
      </c>
      <c r="DL37" s="12">
        <v>14</v>
      </c>
      <c r="DM37" s="12">
        <v>12</v>
      </c>
      <c r="DN37" s="12">
        <v>10</v>
      </c>
      <c r="DO37" s="12">
        <v>19</v>
      </c>
      <c r="DP37" s="12">
        <v>11</v>
      </c>
      <c r="DQ37" s="12">
        <v>13</v>
      </c>
      <c r="DR37" s="12">
        <v>5</v>
      </c>
      <c r="DS37" s="12">
        <v>6</v>
      </c>
      <c r="DT37" s="12">
        <v>11</v>
      </c>
      <c r="DU37" s="12">
        <v>1</v>
      </c>
      <c r="DV37" s="12">
        <v>5</v>
      </c>
      <c r="DW37" s="12">
        <v>6</v>
      </c>
      <c r="DX37" s="12">
        <v>10</v>
      </c>
      <c r="DY37" s="12">
        <v>7</v>
      </c>
      <c r="DZ37" s="12">
        <v>6</v>
      </c>
      <c r="EA37" s="12">
        <v>8</v>
      </c>
      <c r="EB37" s="12">
        <v>3</v>
      </c>
      <c r="EC37" s="12">
        <v>10</v>
      </c>
      <c r="ED37" s="12">
        <v>6</v>
      </c>
      <c r="EE37" s="12">
        <v>9</v>
      </c>
      <c r="EF37" s="12">
        <v>4</v>
      </c>
      <c r="EG37" s="12">
        <v>4</v>
      </c>
      <c r="EH37" s="12">
        <v>4</v>
      </c>
      <c r="EI37" s="12">
        <v>3</v>
      </c>
      <c r="EJ37" s="12">
        <v>8</v>
      </c>
      <c r="EK37" s="12">
        <v>7</v>
      </c>
      <c r="EL37" s="12">
        <v>3</v>
      </c>
      <c r="EM37" s="12">
        <v>5</v>
      </c>
      <c r="EN37" s="12">
        <v>8</v>
      </c>
      <c r="EO37" s="12">
        <v>4</v>
      </c>
      <c r="EP37" s="12" t="str">
        <f t="shared" si="14"/>
        <v>🟢 Bien</v>
      </c>
      <c r="EQ37" s="23">
        <f t="shared" si="1"/>
        <v>6.458333333333333</v>
      </c>
      <c r="ER37" s="19">
        <f t="shared" si="2"/>
        <v>71910.2</v>
      </c>
      <c r="ES37" s="12">
        <f t="shared" si="3"/>
        <v>167</v>
      </c>
      <c r="ET37" s="23">
        <f t="shared" si="8"/>
        <v>18</v>
      </c>
      <c r="EU37" s="23">
        <f t="shared" si="9"/>
        <v>46</v>
      </c>
      <c r="EV37" s="23">
        <f t="shared" si="6"/>
        <v>27.78</v>
      </c>
      <c r="EW37" s="23">
        <f t="shared" si="15"/>
        <v>249</v>
      </c>
      <c r="EX37" s="12">
        <v>177</v>
      </c>
      <c r="EY37" s="19" cm="1">
        <f t="array" ref="EY37:FC37">VLOOKUP(_xlfn.SINGLE(B:B),'[1]Price List'!$B:$N,{8,4,5,6,7},0)</f>
        <v>387.5</v>
      </c>
      <c r="EZ37" s="9" t="str">
        <v>Tech21 EvoCrystal iPhone 17 Black</v>
      </c>
      <c r="FA37" s="12" t="str">
        <v>Cases iPhone</v>
      </c>
      <c r="FB37" s="12" t="str">
        <v>iPhone 17</v>
      </c>
      <c r="FC37" s="12" t="str">
        <v>iPhone 17</v>
      </c>
      <c r="FD37" s="23" t="str">
        <f>_xlfn.XLOOKUP(B:B,'[1]Price List'!$B:$B,'[1]Price List'!$A:$A)</f>
        <v>Tech21</v>
      </c>
    </row>
    <row r="38" spans="1:160" s="9" customFormat="1" x14ac:dyDescent="0.2">
      <c r="A38" s="23" t="s">
        <v>600</v>
      </c>
      <c r="B38" s="23">
        <v>840459607265</v>
      </c>
      <c r="C38" s="9" t="s">
        <v>565</v>
      </c>
      <c r="D38" s="9" t="s">
        <v>644</v>
      </c>
      <c r="E38" s="9" t="s">
        <v>477</v>
      </c>
      <c r="F38" s="9" t="s">
        <v>478</v>
      </c>
      <c r="G38" s="9" t="s">
        <v>478</v>
      </c>
      <c r="H38" s="12" t="s">
        <v>486</v>
      </c>
      <c r="I38" s="12">
        <v>999</v>
      </c>
      <c r="J38" s="11">
        <v>430.6</v>
      </c>
      <c r="K38" s="62">
        <v>0</v>
      </c>
      <c r="L38" s="12">
        <v>0</v>
      </c>
      <c r="M38" s="13" t="s">
        <v>466</v>
      </c>
      <c r="N38" s="13" t="s">
        <v>383</v>
      </c>
      <c r="O38" s="27">
        <v>46631</v>
      </c>
      <c r="P38" s="12">
        <v>0</v>
      </c>
      <c r="Q38" s="12">
        <v>0</v>
      </c>
      <c r="R38" s="12">
        <v>0</v>
      </c>
      <c r="S38" s="12">
        <v>0</v>
      </c>
      <c r="T38" s="12">
        <v>0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2">
        <v>0</v>
      </c>
      <c r="AD38" s="12">
        <v>0</v>
      </c>
      <c r="AE38" s="12">
        <v>0</v>
      </c>
      <c r="AF38" s="12">
        <v>0</v>
      </c>
      <c r="AG38" s="12">
        <v>0</v>
      </c>
      <c r="AH38" s="12">
        <v>0</v>
      </c>
      <c r="AI38" s="12">
        <v>0</v>
      </c>
      <c r="AJ38" s="12">
        <v>0</v>
      </c>
      <c r="AK38" s="12">
        <v>0</v>
      </c>
      <c r="AL38" s="12">
        <v>0</v>
      </c>
      <c r="AM38" s="12">
        <v>0</v>
      </c>
      <c r="AN38" s="12">
        <v>0</v>
      </c>
      <c r="AO38" s="12">
        <v>0</v>
      </c>
      <c r="AP38" s="12">
        <v>0</v>
      </c>
      <c r="AQ38" s="12">
        <v>0</v>
      </c>
      <c r="AR38" s="12">
        <v>0</v>
      </c>
      <c r="AS38" s="12">
        <v>0</v>
      </c>
      <c r="AT38" s="12">
        <v>0</v>
      </c>
      <c r="AU38" s="12">
        <v>0</v>
      </c>
      <c r="AV38" s="12">
        <v>0</v>
      </c>
      <c r="AW38" s="12">
        <v>0</v>
      </c>
      <c r="AX38" s="12">
        <v>0</v>
      </c>
      <c r="AY38" s="12">
        <v>0</v>
      </c>
      <c r="AZ38" s="12">
        <v>0</v>
      </c>
      <c r="BA38" s="12">
        <v>0</v>
      </c>
      <c r="BB38" s="12">
        <v>0</v>
      </c>
      <c r="BC38" s="12">
        <v>0</v>
      </c>
      <c r="BD38" s="12">
        <v>0</v>
      </c>
      <c r="BE38" s="12">
        <v>0</v>
      </c>
      <c r="BF38" s="12">
        <v>0</v>
      </c>
      <c r="BG38" s="12">
        <v>0</v>
      </c>
      <c r="BH38" s="12">
        <v>0</v>
      </c>
      <c r="BI38" s="12">
        <v>0</v>
      </c>
      <c r="BJ38" s="12">
        <v>0</v>
      </c>
      <c r="BK38" s="12">
        <v>0</v>
      </c>
      <c r="BL38" s="12">
        <v>0</v>
      </c>
      <c r="BM38" s="12">
        <v>0</v>
      </c>
      <c r="BN38" s="12">
        <v>0</v>
      </c>
      <c r="BO38" s="12">
        <v>0</v>
      </c>
      <c r="BP38" s="12">
        <v>0</v>
      </c>
      <c r="BQ38" s="12">
        <v>0</v>
      </c>
      <c r="BR38" s="12">
        <v>0</v>
      </c>
      <c r="BS38" s="12">
        <v>0</v>
      </c>
      <c r="BT38" s="12">
        <v>0</v>
      </c>
      <c r="BU38" s="12">
        <v>0</v>
      </c>
      <c r="BV38" s="12">
        <v>0</v>
      </c>
      <c r="BW38" s="12">
        <v>0</v>
      </c>
      <c r="BX38" s="12">
        <v>0</v>
      </c>
      <c r="BY38" s="12">
        <v>0</v>
      </c>
      <c r="BZ38" s="12">
        <v>0</v>
      </c>
      <c r="CA38" s="12">
        <v>0</v>
      </c>
      <c r="CB38" s="12">
        <v>0</v>
      </c>
      <c r="CC38" s="12">
        <v>0</v>
      </c>
      <c r="CD38" s="12">
        <v>0</v>
      </c>
      <c r="CE38" s="12">
        <v>0</v>
      </c>
      <c r="CF38" s="12">
        <v>0</v>
      </c>
      <c r="CG38" s="12">
        <v>0</v>
      </c>
      <c r="CH38" s="12">
        <v>0</v>
      </c>
      <c r="CI38" s="12">
        <v>0</v>
      </c>
      <c r="CJ38" s="12">
        <v>0</v>
      </c>
      <c r="CK38" s="12">
        <v>0</v>
      </c>
      <c r="CL38" s="12">
        <v>0</v>
      </c>
      <c r="CM38" s="12">
        <v>0</v>
      </c>
      <c r="CN38" s="12">
        <v>0</v>
      </c>
      <c r="CO38" s="12">
        <v>0</v>
      </c>
      <c r="CP38" s="12">
        <v>0</v>
      </c>
      <c r="CQ38" s="12">
        <v>0</v>
      </c>
      <c r="CR38" s="12">
        <v>0</v>
      </c>
      <c r="CS38" s="12">
        <v>0</v>
      </c>
      <c r="CT38" s="12">
        <v>0</v>
      </c>
      <c r="CU38" s="12">
        <v>0</v>
      </c>
      <c r="CV38" s="12">
        <v>0</v>
      </c>
      <c r="CW38" s="12">
        <v>0</v>
      </c>
      <c r="CX38" s="12">
        <v>0</v>
      </c>
      <c r="CY38" s="12">
        <v>0</v>
      </c>
      <c r="CZ38" s="12">
        <v>0</v>
      </c>
      <c r="DA38" s="12">
        <v>62</v>
      </c>
      <c r="DB38" s="12">
        <v>38</v>
      </c>
      <c r="DC38" s="12">
        <v>12</v>
      </c>
      <c r="DD38" s="12">
        <v>11</v>
      </c>
      <c r="DE38" s="12">
        <v>19</v>
      </c>
      <c r="DF38" s="12">
        <v>23</v>
      </c>
      <c r="DG38" s="12">
        <v>11</v>
      </c>
      <c r="DH38" s="12">
        <v>8</v>
      </c>
      <c r="DI38" s="12">
        <v>22</v>
      </c>
      <c r="DJ38" s="12">
        <v>14</v>
      </c>
      <c r="DK38" s="12">
        <v>6</v>
      </c>
      <c r="DL38" s="12">
        <v>9</v>
      </c>
      <c r="DM38" s="12">
        <v>18</v>
      </c>
      <c r="DN38" s="12">
        <v>16</v>
      </c>
      <c r="DO38" s="12">
        <v>18</v>
      </c>
      <c r="DP38" s="12">
        <v>8</v>
      </c>
      <c r="DQ38" s="12">
        <v>11</v>
      </c>
      <c r="DR38" s="12">
        <v>11</v>
      </c>
      <c r="DS38" s="12">
        <v>8</v>
      </c>
      <c r="DT38" s="12">
        <v>6</v>
      </c>
      <c r="DU38" s="12">
        <v>8</v>
      </c>
      <c r="DV38" s="12">
        <v>4</v>
      </c>
      <c r="DW38" s="12">
        <v>8</v>
      </c>
      <c r="DX38" s="12">
        <v>7</v>
      </c>
      <c r="DY38" s="12">
        <v>5</v>
      </c>
      <c r="DZ38" s="12">
        <v>0</v>
      </c>
      <c r="EA38" s="12">
        <v>3</v>
      </c>
      <c r="EB38" s="12">
        <v>1</v>
      </c>
      <c r="EC38" s="12">
        <v>4</v>
      </c>
      <c r="ED38" s="12">
        <v>6</v>
      </c>
      <c r="EE38" s="12">
        <v>2</v>
      </c>
      <c r="EF38" s="12">
        <v>2</v>
      </c>
      <c r="EG38" s="12">
        <v>2</v>
      </c>
      <c r="EH38" s="12">
        <v>7</v>
      </c>
      <c r="EI38" s="12">
        <v>1</v>
      </c>
      <c r="EJ38" s="12">
        <v>2</v>
      </c>
      <c r="EK38" s="12">
        <v>7</v>
      </c>
      <c r="EL38" s="12">
        <v>2</v>
      </c>
      <c r="EM38" s="12">
        <v>4</v>
      </c>
      <c r="EN38" s="12">
        <v>3</v>
      </c>
      <c r="EO38" s="12">
        <v>3</v>
      </c>
      <c r="EP38" s="12" t="str">
        <f t="shared" si="14"/>
        <v>🟢 Bien</v>
      </c>
      <c r="EQ38" s="23">
        <f t="shared" si="1"/>
        <v>4.958333333333333</v>
      </c>
      <c r="ER38" s="19">
        <f t="shared" si="2"/>
        <v>53825</v>
      </c>
      <c r="ES38" s="12">
        <f t="shared" si="3"/>
        <v>125</v>
      </c>
      <c r="ET38" s="23">
        <f t="shared" si="8"/>
        <v>88</v>
      </c>
      <c r="EU38" s="23">
        <f t="shared" si="9"/>
        <v>55.5</v>
      </c>
      <c r="EV38" s="23">
        <f t="shared" si="6"/>
        <v>21.33</v>
      </c>
      <c r="EW38" s="23">
        <f t="shared" si="15"/>
        <v>381</v>
      </c>
      <c r="EX38" s="12">
        <v>167</v>
      </c>
      <c r="EY38" s="19" cm="1">
        <f t="array" ref="EY38:FC38">VLOOKUP(_xlfn.SINGLE(B:B),'[1]Price List'!$B:$N,{8,4,5,6,7},0)</f>
        <v>387.5</v>
      </c>
      <c r="EZ38" s="9" t="str">
        <v>Tech21 EvoCrystal iPhone 17 Pro Black</v>
      </c>
      <c r="FA38" s="12" t="str">
        <v>Cases iPhone</v>
      </c>
      <c r="FB38" s="12" t="str">
        <v>iPhone 17</v>
      </c>
      <c r="FC38" s="12" t="str">
        <v>iPhone 17 Pro</v>
      </c>
      <c r="FD38" s="23" t="str">
        <f>_xlfn.XLOOKUP(B:B,'[1]Price List'!$B:$B,'[1]Price List'!$A:$A)</f>
        <v>Tech21</v>
      </c>
    </row>
    <row r="39" spans="1:160" s="9" customFormat="1" x14ac:dyDescent="0.2">
      <c r="A39" s="23" t="s">
        <v>600</v>
      </c>
      <c r="B39" s="23">
        <v>840459607388</v>
      </c>
      <c r="C39" s="9" t="s">
        <v>566</v>
      </c>
      <c r="D39" s="9" t="s">
        <v>644</v>
      </c>
      <c r="E39" s="9" t="s">
        <v>477</v>
      </c>
      <c r="F39" s="9" t="s">
        <v>479</v>
      </c>
      <c r="G39" s="9" t="s">
        <v>479</v>
      </c>
      <c r="H39" s="12" t="s">
        <v>487</v>
      </c>
      <c r="I39" s="12">
        <v>999</v>
      </c>
      <c r="J39" s="11">
        <v>430.6</v>
      </c>
      <c r="K39" s="62">
        <v>0</v>
      </c>
      <c r="L39" s="12">
        <v>0</v>
      </c>
      <c r="M39" s="13" t="s">
        <v>466</v>
      </c>
      <c r="N39" s="13" t="s">
        <v>383</v>
      </c>
      <c r="O39" s="27">
        <v>46631</v>
      </c>
      <c r="P39" s="12">
        <v>0</v>
      </c>
      <c r="Q39" s="12">
        <v>0</v>
      </c>
      <c r="R39" s="12">
        <v>0</v>
      </c>
      <c r="S39" s="12">
        <v>0</v>
      </c>
      <c r="T39" s="12">
        <v>0</v>
      </c>
      <c r="U39" s="12">
        <v>0</v>
      </c>
      <c r="V39" s="12">
        <v>0</v>
      </c>
      <c r="W39" s="12">
        <v>0</v>
      </c>
      <c r="X39" s="12">
        <v>0</v>
      </c>
      <c r="Y39" s="12">
        <v>0</v>
      </c>
      <c r="Z39" s="12">
        <v>0</v>
      </c>
      <c r="AA39" s="12">
        <v>0</v>
      </c>
      <c r="AB39" s="12">
        <v>0</v>
      </c>
      <c r="AC39" s="12">
        <v>0</v>
      </c>
      <c r="AD39" s="12">
        <v>0</v>
      </c>
      <c r="AE39" s="12">
        <v>0</v>
      </c>
      <c r="AF39" s="12">
        <v>0</v>
      </c>
      <c r="AG39" s="12">
        <v>0</v>
      </c>
      <c r="AH39" s="12">
        <v>0</v>
      </c>
      <c r="AI39" s="12">
        <v>0</v>
      </c>
      <c r="AJ39" s="12">
        <v>0</v>
      </c>
      <c r="AK39" s="12">
        <v>0</v>
      </c>
      <c r="AL39" s="12">
        <v>0</v>
      </c>
      <c r="AM39" s="12">
        <v>0</v>
      </c>
      <c r="AN39" s="12">
        <v>0</v>
      </c>
      <c r="AO39" s="12">
        <v>0</v>
      </c>
      <c r="AP39" s="12">
        <v>0</v>
      </c>
      <c r="AQ39" s="12">
        <v>0</v>
      </c>
      <c r="AR39" s="12">
        <v>0</v>
      </c>
      <c r="AS39" s="12">
        <v>0</v>
      </c>
      <c r="AT39" s="12">
        <v>0</v>
      </c>
      <c r="AU39" s="12">
        <v>0</v>
      </c>
      <c r="AV39" s="12">
        <v>0</v>
      </c>
      <c r="AW39" s="12">
        <v>0</v>
      </c>
      <c r="AX39" s="12">
        <v>0</v>
      </c>
      <c r="AY39" s="12">
        <v>0</v>
      </c>
      <c r="AZ39" s="12">
        <v>0</v>
      </c>
      <c r="BA39" s="12">
        <v>0</v>
      </c>
      <c r="BB39" s="12">
        <v>0</v>
      </c>
      <c r="BC39" s="12">
        <v>0</v>
      </c>
      <c r="BD39" s="12">
        <v>0</v>
      </c>
      <c r="BE39" s="12">
        <v>0</v>
      </c>
      <c r="BF39" s="12">
        <v>0</v>
      </c>
      <c r="BG39" s="12">
        <v>0</v>
      </c>
      <c r="BH39" s="12">
        <v>0</v>
      </c>
      <c r="BI39" s="12">
        <v>0</v>
      </c>
      <c r="BJ39" s="12">
        <v>0</v>
      </c>
      <c r="BK39" s="12">
        <v>0</v>
      </c>
      <c r="BL39" s="12">
        <v>0</v>
      </c>
      <c r="BM39" s="12">
        <v>0</v>
      </c>
      <c r="BN39" s="12">
        <v>0</v>
      </c>
      <c r="BO39" s="12">
        <v>0</v>
      </c>
      <c r="BP39" s="12">
        <v>0</v>
      </c>
      <c r="BQ39" s="12">
        <v>0</v>
      </c>
      <c r="BR39" s="12">
        <v>0</v>
      </c>
      <c r="BS39" s="12">
        <v>0</v>
      </c>
      <c r="BT39" s="12">
        <v>0</v>
      </c>
      <c r="BU39" s="12">
        <v>0</v>
      </c>
      <c r="BV39" s="12">
        <v>0</v>
      </c>
      <c r="BW39" s="12">
        <v>0</v>
      </c>
      <c r="BX39" s="12">
        <v>0</v>
      </c>
      <c r="BY39" s="12">
        <v>0</v>
      </c>
      <c r="BZ39" s="12">
        <v>0</v>
      </c>
      <c r="CA39" s="12">
        <v>0</v>
      </c>
      <c r="CB39" s="12">
        <v>0</v>
      </c>
      <c r="CC39" s="12">
        <v>0</v>
      </c>
      <c r="CD39" s="12">
        <v>0</v>
      </c>
      <c r="CE39" s="12">
        <v>0</v>
      </c>
      <c r="CF39" s="12">
        <v>0</v>
      </c>
      <c r="CG39" s="12">
        <v>0</v>
      </c>
      <c r="CH39" s="12">
        <v>0</v>
      </c>
      <c r="CI39" s="12">
        <v>0</v>
      </c>
      <c r="CJ39" s="12">
        <v>0</v>
      </c>
      <c r="CK39" s="12">
        <v>0</v>
      </c>
      <c r="CL39" s="12">
        <v>0</v>
      </c>
      <c r="CM39" s="12">
        <v>0</v>
      </c>
      <c r="CN39" s="12">
        <v>0</v>
      </c>
      <c r="CO39" s="12">
        <v>0</v>
      </c>
      <c r="CP39" s="12">
        <v>0</v>
      </c>
      <c r="CQ39" s="12">
        <v>0</v>
      </c>
      <c r="CR39" s="12">
        <v>0</v>
      </c>
      <c r="CS39" s="12">
        <v>0</v>
      </c>
      <c r="CT39" s="12">
        <v>0</v>
      </c>
      <c r="CU39" s="12">
        <v>0</v>
      </c>
      <c r="CV39" s="12">
        <v>0</v>
      </c>
      <c r="CW39" s="12">
        <v>0</v>
      </c>
      <c r="CX39" s="12">
        <v>0</v>
      </c>
      <c r="CY39" s="12">
        <v>0</v>
      </c>
      <c r="CZ39" s="12">
        <v>0</v>
      </c>
      <c r="DA39" s="12">
        <v>29</v>
      </c>
      <c r="DB39" s="12">
        <v>42</v>
      </c>
      <c r="DC39" s="12">
        <v>15</v>
      </c>
      <c r="DD39" s="12">
        <v>34</v>
      </c>
      <c r="DE39" s="12">
        <v>49</v>
      </c>
      <c r="DF39" s="12">
        <v>73</v>
      </c>
      <c r="DG39" s="12">
        <v>56</v>
      </c>
      <c r="DH39" s="12">
        <v>43</v>
      </c>
      <c r="DI39" s="12">
        <v>82</v>
      </c>
      <c r="DJ39" s="12">
        <v>63</v>
      </c>
      <c r="DK39" s="12">
        <v>74</v>
      </c>
      <c r="DL39" s="12">
        <v>51</v>
      </c>
      <c r="DM39" s="12">
        <v>62</v>
      </c>
      <c r="DN39" s="12">
        <v>105</v>
      </c>
      <c r="DO39" s="12">
        <v>77</v>
      </c>
      <c r="DP39" s="12">
        <v>43</v>
      </c>
      <c r="DQ39" s="12">
        <v>21</v>
      </c>
      <c r="DR39" s="12">
        <v>9</v>
      </c>
      <c r="DS39" s="12">
        <v>9</v>
      </c>
      <c r="DT39" s="12">
        <v>6</v>
      </c>
      <c r="DU39" s="12">
        <v>1</v>
      </c>
      <c r="DV39" s="12">
        <v>7</v>
      </c>
      <c r="DW39" s="12">
        <v>21</v>
      </c>
      <c r="DX39" s="12">
        <v>21</v>
      </c>
      <c r="DY39" s="12">
        <v>17</v>
      </c>
      <c r="DZ39" s="12">
        <v>17</v>
      </c>
      <c r="EA39" s="12">
        <v>10</v>
      </c>
      <c r="EB39" s="12">
        <v>13</v>
      </c>
      <c r="EC39" s="12">
        <v>13</v>
      </c>
      <c r="ED39" s="12">
        <v>7</v>
      </c>
      <c r="EE39" s="12">
        <v>5</v>
      </c>
      <c r="EF39" s="12">
        <v>7</v>
      </c>
      <c r="EG39" s="12">
        <v>9</v>
      </c>
      <c r="EH39" s="12">
        <v>3</v>
      </c>
      <c r="EI39" s="12">
        <v>8</v>
      </c>
      <c r="EJ39" s="12">
        <v>7</v>
      </c>
      <c r="EK39" s="12">
        <v>5</v>
      </c>
      <c r="EL39" s="12">
        <v>6</v>
      </c>
      <c r="EM39" s="12">
        <v>3</v>
      </c>
      <c r="EN39" s="12">
        <v>4</v>
      </c>
      <c r="EO39" s="12">
        <v>7</v>
      </c>
      <c r="EP39" s="12" t="str">
        <f t="shared" si="14"/>
        <v>🟢 Bien</v>
      </c>
      <c r="EQ39" s="23">
        <f t="shared" si="1"/>
        <v>11.166666666666666</v>
      </c>
      <c r="ER39" s="19">
        <f t="shared" si="2"/>
        <v>120137.40000000001</v>
      </c>
      <c r="ES39" s="12">
        <f t="shared" si="3"/>
        <v>279</v>
      </c>
      <c r="ET39" s="23">
        <f t="shared" si="8"/>
        <v>149</v>
      </c>
      <c r="EU39" s="23">
        <f t="shared" si="9"/>
        <v>278.5</v>
      </c>
      <c r="EV39" s="23">
        <f t="shared" si="6"/>
        <v>52.44</v>
      </c>
      <c r="EW39" s="23">
        <f t="shared" si="15"/>
        <v>1082</v>
      </c>
      <c r="EX39" s="12">
        <v>211</v>
      </c>
      <c r="EY39" s="19" cm="1">
        <f t="array" ref="EY39:FC39">VLOOKUP(_xlfn.SINGLE(B:B),'[1]Price List'!$B:$N,{8,4,5,6,7},0)</f>
        <v>387.5</v>
      </c>
      <c r="EZ39" s="9" t="str">
        <v>Tech21 EvoCrystal iPhone 17 Pro Max Black</v>
      </c>
      <c r="FA39" s="12" t="str">
        <v>Cases iPhone</v>
      </c>
      <c r="FB39" s="12" t="str">
        <v>iPhone 17</v>
      </c>
      <c r="FC39" s="12" t="str">
        <v>iPhone 17 Pro Max</v>
      </c>
      <c r="FD39" s="23" t="str">
        <f>_xlfn.XLOOKUP(B:B,'[1]Price List'!$B:$B,'[1]Price List'!$A:$A)</f>
        <v>Tech21</v>
      </c>
    </row>
    <row r="40" spans="1:160" s="9" customFormat="1" x14ac:dyDescent="0.2">
      <c r="A40" s="23" t="s">
        <v>600</v>
      </c>
      <c r="B40" s="23">
        <v>840459607715</v>
      </c>
      <c r="C40" s="9" t="s">
        <v>567</v>
      </c>
      <c r="D40" s="9" t="s">
        <v>644</v>
      </c>
      <c r="E40" s="9" t="s">
        <v>477</v>
      </c>
      <c r="F40" s="9" t="s">
        <v>477</v>
      </c>
      <c r="G40" s="9" t="s">
        <v>477</v>
      </c>
      <c r="H40" s="12" t="s">
        <v>488</v>
      </c>
      <c r="I40" s="12">
        <v>999</v>
      </c>
      <c r="J40" s="11">
        <v>430.6</v>
      </c>
      <c r="K40" s="62">
        <v>0</v>
      </c>
      <c r="L40" s="12">
        <v>0</v>
      </c>
      <c r="M40" s="13" t="s">
        <v>466</v>
      </c>
      <c r="N40" s="13" t="s">
        <v>655</v>
      </c>
      <c r="O40" s="27">
        <v>46631</v>
      </c>
      <c r="P40" s="12">
        <v>0</v>
      </c>
      <c r="Q40" s="12">
        <v>0</v>
      </c>
      <c r="R40" s="12">
        <v>0</v>
      </c>
      <c r="S40" s="12">
        <v>0</v>
      </c>
      <c r="T40" s="12">
        <v>0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2">
        <v>0</v>
      </c>
      <c r="AD40" s="12">
        <v>0</v>
      </c>
      <c r="AE40" s="12">
        <v>0</v>
      </c>
      <c r="AF40" s="12">
        <v>0</v>
      </c>
      <c r="AG40" s="12">
        <v>0</v>
      </c>
      <c r="AH40" s="12">
        <v>0</v>
      </c>
      <c r="AI40" s="12">
        <v>0</v>
      </c>
      <c r="AJ40" s="12">
        <v>0</v>
      </c>
      <c r="AK40" s="12">
        <v>0</v>
      </c>
      <c r="AL40" s="12">
        <v>0</v>
      </c>
      <c r="AM40" s="12">
        <v>0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0</v>
      </c>
      <c r="AT40" s="12">
        <v>0</v>
      </c>
      <c r="AU40" s="12">
        <v>0</v>
      </c>
      <c r="AV40" s="12">
        <v>0</v>
      </c>
      <c r="AW40" s="12">
        <v>0</v>
      </c>
      <c r="AX40" s="12">
        <v>0</v>
      </c>
      <c r="AY40" s="12">
        <v>0</v>
      </c>
      <c r="AZ40" s="12">
        <v>0</v>
      </c>
      <c r="BA40" s="12">
        <v>0</v>
      </c>
      <c r="BB40" s="12">
        <v>0</v>
      </c>
      <c r="BC40" s="12">
        <v>0</v>
      </c>
      <c r="BD40" s="12">
        <v>0</v>
      </c>
      <c r="BE40" s="12">
        <v>0</v>
      </c>
      <c r="BF40" s="12">
        <v>0</v>
      </c>
      <c r="BG40" s="12">
        <v>0</v>
      </c>
      <c r="BH40" s="12">
        <v>0</v>
      </c>
      <c r="BI40" s="12">
        <v>0</v>
      </c>
      <c r="BJ40" s="12">
        <v>0</v>
      </c>
      <c r="BK40" s="12">
        <v>0</v>
      </c>
      <c r="BL40" s="12">
        <v>0</v>
      </c>
      <c r="BM40" s="12">
        <v>0</v>
      </c>
      <c r="BN40" s="12">
        <v>0</v>
      </c>
      <c r="BO40" s="12">
        <v>0</v>
      </c>
      <c r="BP40" s="12">
        <v>0</v>
      </c>
      <c r="BQ40" s="12">
        <v>0</v>
      </c>
      <c r="BR40" s="12">
        <v>0</v>
      </c>
      <c r="BS40" s="12">
        <v>0</v>
      </c>
      <c r="BT40" s="12">
        <v>0</v>
      </c>
      <c r="BU40" s="12">
        <v>0</v>
      </c>
      <c r="BV40" s="12">
        <v>0</v>
      </c>
      <c r="BW40" s="12">
        <v>0</v>
      </c>
      <c r="BX40" s="12">
        <v>0</v>
      </c>
      <c r="BY40" s="12">
        <v>0</v>
      </c>
      <c r="BZ40" s="12">
        <v>0</v>
      </c>
      <c r="CA40" s="12">
        <v>0</v>
      </c>
      <c r="CB40" s="12">
        <v>0</v>
      </c>
      <c r="CC40" s="12">
        <v>0</v>
      </c>
      <c r="CD40" s="12">
        <v>0</v>
      </c>
      <c r="CE40" s="12">
        <v>0</v>
      </c>
      <c r="CF40" s="12">
        <v>0</v>
      </c>
      <c r="CG40" s="12">
        <v>0</v>
      </c>
      <c r="CH40" s="12">
        <v>0</v>
      </c>
      <c r="CI40" s="12">
        <v>0</v>
      </c>
      <c r="CJ40" s="12">
        <v>0</v>
      </c>
      <c r="CK40" s="12">
        <v>0</v>
      </c>
      <c r="CL40" s="12">
        <v>0</v>
      </c>
      <c r="CM40" s="12">
        <v>0</v>
      </c>
      <c r="CN40" s="12">
        <v>0</v>
      </c>
      <c r="CO40" s="12">
        <v>0</v>
      </c>
      <c r="CP40" s="12">
        <v>0</v>
      </c>
      <c r="CQ40" s="12">
        <v>0</v>
      </c>
      <c r="CR40" s="12">
        <v>0</v>
      </c>
      <c r="CS40" s="12">
        <v>0</v>
      </c>
      <c r="CT40" s="12">
        <v>0</v>
      </c>
      <c r="CU40" s="12">
        <v>0</v>
      </c>
      <c r="CV40" s="12">
        <v>0</v>
      </c>
      <c r="CW40" s="12">
        <v>0</v>
      </c>
      <c r="CX40" s="12">
        <v>0</v>
      </c>
      <c r="CY40" s="12">
        <v>0</v>
      </c>
      <c r="CZ40" s="12">
        <v>0</v>
      </c>
      <c r="DA40" s="12">
        <v>7</v>
      </c>
      <c r="DB40" s="12">
        <v>1</v>
      </c>
      <c r="DC40" s="12">
        <v>2</v>
      </c>
      <c r="DD40" s="12">
        <v>4</v>
      </c>
      <c r="DE40" s="12">
        <v>4</v>
      </c>
      <c r="DF40" s="12">
        <v>4</v>
      </c>
      <c r="DG40" s="12">
        <v>6</v>
      </c>
      <c r="DH40" s="12">
        <v>2</v>
      </c>
      <c r="DI40" s="12">
        <v>13</v>
      </c>
      <c r="DJ40" s="12">
        <v>6</v>
      </c>
      <c r="DK40" s="12">
        <v>3</v>
      </c>
      <c r="DL40" s="12">
        <v>15</v>
      </c>
      <c r="DM40" s="12">
        <v>8</v>
      </c>
      <c r="DN40" s="12">
        <v>9</v>
      </c>
      <c r="DO40" s="12">
        <v>10</v>
      </c>
      <c r="DP40" s="12">
        <v>8</v>
      </c>
      <c r="DQ40" s="12">
        <v>21</v>
      </c>
      <c r="DR40" s="12">
        <v>7</v>
      </c>
      <c r="DS40" s="12">
        <v>10</v>
      </c>
      <c r="DT40" s="12">
        <v>2</v>
      </c>
      <c r="DU40" s="12">
        <v>11</v>
      </c>
      <c r="DV40" s="12">
        <v>10</v>
      </c>
      <c r="DW40" s="12">
        <v>6</v>
      </c>
      <c r="DX40" s="12">
        <v>2</v>
      </c>
      <c r="DY40" s="12">
        <v>4</v>
      </c>
      <c r="DZ40" s="12">
        <v>11</v>
      </c>
      <c r="EA40" s="12">
        <v>5</v>
      </c>
      <c r="EB40" s="12">
        <v>3</v>
      </c>
      <c r="EC40" s="12">
        <v>9</v>
      </c>
      <c r="ED40" s="12">
        <v>5</v>
      </c>
      <c r="EE40" s="12">
        <v>3</v>
      </c>
      <c r="EF40" s="12">
        <v>5</v>
      </c>
      <c r="EG40" s="12">
        <v>3</v>
      </c>
      <c r="EH40" s="12">
        <v>4</v>
      </c>
      <c r="EI40" s="12">
        <v>5</v>
      </c>
      <c r="EJ40" s="12">
        <v>3</v>
      </c>
      <c r="EK40" s="12">
        <v>2</v>
      </c>
      <c r="EL40" s="12">
        <v>5</v>
      </c>
      <c r="EM40" s="12">
        <v>2</v>
      </c>
      <c r="EN40" s="12">
        <v>4</v>
      </c>
      <c r="EO40" s="12">
        <v>2</v>
      </c>
      <c r="EP40" s="12" t="str">
        <f t="shared" si="14"/>
        <v>🟠 Bajo</v>
      </c>
      <c r="EQ40" s="23">
        <f t="shared" si="1"/>
        <v>6.083333333333333</v>
      </c>
      <c r="ER40" s="19">
        <f t="shared" si="2"/>
        <v>65451.200000000004</v>
      </c>
      <c r="ES40" s="12">
        <f t="shared" si="3"/>
        <v>152</v>
      </c>
      <c r="ET40" s="23">
        <f t="shared" si="8"/>
        <v>14</v>
      </c>
      <c r="EU40" s="23">
        <f t="shared" si="9"/>
        <v>33</v>
      </c>
      <c r="EV40" s="23">
        <f t="shared" si="6"/>
        <v>27.78</v>
      </c>
      <c r="EW40" s="23">
        <f t="shared" si="15"/>
        <v>216</v>
      </c>
      <c r="EX40" s="12">
        <v>114</v>
      </c>
      <c r="EY40" s="19" cm="1">
        <f t="array" ref="EY40:FC40">VLOOKUP(_xlfn.SINGLE(B:B),'[1]Price List'!$B:$N,{8,4,5,6,7},0)</f>
        <v>387.5</v>
      </c>
      <c r="EZ40" s="9" t="str">
        <v>Tech21 EvoSparkle iPhone 17 Focus</v>
      </c>
      <c r="FA40" s="12" t="str">
        <v>Cases iPhone</v>
      </c>
      <c r="FB40" s="12" t="str">
        <v>iPhone 17</v>
      </c>
      <c r="FC40" s="12" t="str">
        <v>iPhone 17</v>
      </c>
      <c r="FD40" s="23" t="str">
        <f>_xlfn.XLOOKUP(B:B,'[1]Price List'!$B:$B,'[1]Price List'!$A:$A)</f>
        <v>Tech21</v>
      </c>
    </row>
    <row r="41" spans="1:160" s="9" customFormat="1" x14ac:dyDescent="0.2">
      <c r="A41" s="23" t="s">
        <v>600</v>
      </c>
      <c r="B41" s="23">
        <v>840459607753</v>
      </c>
      <c r="C41" s="9" t="s">
        <v>568</v>
      </c>
      <c r="D41" s="9" t="s">
        <v>644</v>
      </c>
      <c r="E41" s="9" t="s">
        <v>477</v>
      </c>
      <c r="F41" s="9" t="s">
        <v>478</v>
      </c>
      <c r="G41" s="9" t="s">
        <v>478</v>
      </c>
      <c r="H41" s="12" t="s">
        <v>489</v>
      </c>
      <c r="I41" s="12">
        <v>999</v>
      </c>
      <c r="J41" s="11">
        <v>430.6</v>
      </c>
      <c r="K41" s="62">
        <v>0</v>
      </c>
      <c r="L41" s="12">
        <v>0</v>
      </c>
      <c r="M41" s="13" t="s">
        <v>466</v>
      </c>
      <c r="N41" s="13" t="s">
        <v>383</v>
      </c>
      <c r="O41" s="27">
        <v>46631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0</v>
      </c>
      <c r="V41" s="12">
        <v>0</v>
      </c>
      <c r="W41" s="12">
        <v>0</v>
      </c>
      <c r="X41" s="12">
        <v>0</v>
      </c>
      <c r="Y41" s="12">
        <v>0</v>
      </c>
      <c r="Z41" s="12">
        <v>0</v>
      </c>
      <c r="AA41" s="12">
        <v>0</v>
      </c>
      <c r="AB41" s="12">
        <v>0</v>
      </c>
      <c r="AC41" s="12">
        <v>0</v>
      </c>
      <c r="AD41" s="12">
        <v>0</v>
      </c>
      <c r="AE41" s="12">
        <v>0</v>
      </c>
      <c r="AF41" s="12">
        <v>0</v>
      </c>
      <c r="AG41" s="12">
        <v>0</v>
      </c>
      <c r="AH41" s="12">
        <v>0</v>
      </c>
      <c r="AI41" s="12">
        <v>0</v>
      </c>
      <c r="AJ41" s="12">
        <v>0</v>
      </c>
      <c r="AK41" s="12">
        <v>0</v>
      </c>
      <c r="AL41" s="12">
        <v>0</v>
      </c>
      <c r="AM41" s="12">
        <v>0</v>
      </c>
      <c r="AN41" s="12">
        <v>0</v>
      </c>
      <c r="AO41" s="12">
        <v>0</v>
      </c>
      <c r="AP41" s="12">
        <v>0</v>
      </c>
      <c r="AQ41" s="12">
        <v>0</v>
      </c>
      <c r="AR41" s="12">
        <v>0</v>
      </c>
      <c r="AS41" s="12">
        <v>0</v>
      </c>
      <c r="AT41" s="12">
        <v>0</v>
      </c>
      <c r="AU41" s="12">
        <v>0</v>
      </c>
      <c r="AV41" s="12">
        <v>0</v>
      </c>
      <c r="AW41" s="12">
        <v>0</v>
      </c>
      <c r="AX41" s="12">
        <v>0</v>
      </c>
      <c r="AY41" s="12">
        <v>0</v>
      </c>
      <c r="AZ41" s="12">
        <v>0</v>
      </c>
      <c r="BA41" s="12">
        <v>0</v>
      </c>
      <c r="BB41" s="12">
        <v>0</v>
      </c>
      <c r="BC41" s="12">
        <v>0</v>
      </c>
      <c r="BD41" s="12">
        <v>0</v>
      </c>
      <c r="BE41" s="12">
        <v>0</v>
      </c>
      <c r="BF41" s="12">
        <v>0</v>
      </c>
      <c r="BG41" s="12">
        <v>0</v>
      </c>
      <c r="BH41" s="12">
        <v>0</v>
      </c>
      <c r="BI41" s="12">
        <v>0</v>
      </c>
      <c r="BJ41" s="12">
        <v>0</v>
      </c>
      <c r="BK41" s="12">
        <v>0</v>
      </c>
      <c r="BL41" s="12">
        <v>0</v>
      </c>
      <c r="BM41" s="12">
        <v>0</v>
      </c>
      <c r="BN41" s="12">
        <v>0</v>
      </c>
      <c r="BO41" s="12">
        <v>0</v>
      </c>
      <c r="BP41" s="12">
        <v>0</v>
      </c>
      <c r="BQ41" s="12">
        <v>0</v>
      </c>
      <c r="BR41" s="12">
        <v>0</v>
      </c>
      <c r="BS41" s="12">
        <v>0</v>
      </c>
      <c r="BT41" s="12">
        <v>0</v>
      </c>
      <c r="BU41" s="12">
        <v>0</v>
      </c>
      <c r="BV41" s="12">
        <v>0</v>
      </c>
      <c r="BW41" s="12">
        <v>0</v>
      </c>
      <c r="BX41" s="12">
        <v>0</v>
      </c>
      <c r="BY41" s="12">
        <v>0</v>
      </c>
      <c r="BZ41" s="12">
        <v>0</v>
      </c>
      <c r="CA41" s="12">
        <v>0</v>
      </c>
      <c r="CB41" s="12">
        <v>0</v>
      </c>
      <c r="CC41" s="12">
        <v>0</v>
      </c>
      <c r="CD41" s="12">
        <v>0</v>
      </c>
      <c r="CE41" s="12">
        <v>0</v>
      </c>
      <c r="CF41" s="12">
        <v>0</v>
      </c>
      <c r="CG41" s="12">
        <v>0</v>
      </c>
      <c r="CH41" s="12">
        <v>0</v>
      </c>
      <c r="CI41" s="12">
        <v>0</v>
      </c>
      <c r="CJ41" s="12">
        <v>0</v>
      </c>
      <c r="CK41" s="12">
        <v>0</v>
      </c>
      <c r="CL41" s="12">
        <v>0</v>
      </c>
      <c r="CM41" s="12">
        <v>0</v>
      </c>
      <c r="CN41" s="12">
        <v>0</v>
      </c>
      <c r="CO41" s="12">
        <v>0</v>
      </c>
      <c r="CP41" s="12">
        <v>0</v>
      </c>
      <c r="CQ41" s="12">
        <v>0</v>
      </c>
      <c r="CR41" s="12">
        <v>0</v>
      </c>
      <c r="CS41" s="12">
        <v>0</v>
      </c>
      <c r="CT41" s="12">
        <v>0</v>
      </c>
      <c r="CU41" s="12">
        <v>0</v>
      </c>
      <c r="CV41" s="12">
        <v>0</v>
      </c>
      <c r="CW41" s="12">
        <v>0</v>
      </c>
      <c r="CX41" s="12">
        <v>0</v>
      </c>
      <c r="CY41" s="12">
        <v>0</v>
      </c>
      <c r="CZ41" s="12">
        <v>0</v>
      </c>
      <c r="DA41" s="12">
        <v>21</v>
      </c>
      <c r="DB41" s="12">
        <v>11</v>
      </c>
      <c r="DC41" s="12">
        <v>6</v>
      </c>
      <c r="DD41" s="12">
        <v>5</v>
      </c>
      <c r="DE41" s="12">
        <v>7</v>
      </c>
      <c r="DF41" s="12">
        <v>5</v>
      </c>
      <c r="DG41" s="12">
        <v>3</v>
      </c>
      <c r="DH41" s="12">
        <v>8</v>
      </c>
      <c r="DI41" s="12">
        <v>6</v>
      </c>
      <c r="DJ41" s="12">
        <v>4</v>
      </c>
      <c r="DK41" s="12">
        <v>6</v>
      </c>
      <c r="DL41" s="12">
        <v>4</v>
      </c>
      <c r="DM41" s="12">
        <v>9</v>
      </c>
      <c r="DN41" s="12">
        <v>9</v>
      </c>
      <c r="DO41" s="12">
        <v>12</v>
      </c>
      <c r="DP41" s="12">
        <v>7</v>
      </c>
      <c r="DQ41" s="12">
        <v>6</v>
      </c>
      <c r="DR41" s="12">
        <v>2</v>
      </c>
      <c r="DS41" s="12">
        <v>5</v>
      </c>
      <c r="DT41" s="12">
        <v>1</v>
      </c>
      <c r="DU41" s="12">
        <v>3</v>
      </c>
      <c r="DV41" s="12">
        <v>2</v>
      </c>
      <c r="DW41" s="12">
        <v>0</v>
      </c>
      <c r="DX41" s="12">
        <v>3</v>
      </c>
      <c r="DY41" s="12">
        <v>4</v>
      </c>
      <c r="DZ41" s="12">
        <v>1</v>
      </c>
      <c r="EA41" s="12">
        <v>1</v>
      </c>
      <c r="EB41" s="12">
        <v>8</v>
      </c>
      <c r="EC41" s="12">
        <v>4</v>
      </c>
      <c r="ED41" s="12">
        <v>2</v>
      </c>
      <c r="EE41" s="12">
        <v>3</v>
      </c>
      <c r="EF41" s="12">
        <v>2</v>
      </c>
      <c r="EG41" s="12">
        <v>4</v>
      </c>
      <c r="EH41" s="12">
        <v>4</v>
      </c>
      <c r="EI41" s="12">
        <v>3</v>
      </c>
      <c r="EJ41" s="12">
        <v>0</v>
      </c>
      <c r="EK41" s="12">
        <v>1</v>
      </c>
      <c r="EL41" s="12">
        <v>5</v>
      </c>
      <c r="EM41" s="12">
        <v>4</v>
      </c>
      <c r="EN41" s="12">
        <v>1</v>
      </c>
      <c r="EO41" s="12">
        <v>1</v>
      </c>
      <c r="EP41" s="12" t="str">
        <f t="shared" si="14"/>
        <v>🟠 Bajo</v>
      </c>
      <c r="EQ41" s="23">
        <f t="shared" si="1"/>
        <v>3.125</v>
      </c>
      <c r="ER41" s="19">
        <f t="shared" si="2"/>
        <v>33156.200000000004</v>
      </c>
      <c r="ES41" s="12">
        <f t="shared" si="3"/>
        <v>77</v>
      </c>
      <c r="ET41" s="23">
        <f t="shared" si="8"/>
        <v>29</v>
      </c>
      <c r="EU41" s="23">
        <f t="shared" si="9"/>
        <v>29</v>
      </c>
      <c r="EV41" s="23">
        <f t="shared" si="6"/>
        <v>12.89</v>
      </c>
      <c r="EW41" s="23">
        <f t="shared" si="15"/>
        <v>170</v>
      </c>
      <c r="EX41" s="12">
        <v>187</v>
      </c>
      <c r="EY41" s="19" cm="1">
        <f t="array" ref="EY41:FC41">VLOOKUP(_xlfn.SINGLE(B:B),'[1]Price List'!$B:$N,{8,4,5,6,7},0)</f>
        <v>387.5</v>
      </c>
      <c r="EZ41" s="9" t="str">
        <v>Tech21 EvoSparkle iPhone 17 Pro Focus</v>
      </c>
      <c r="FA41" s="12" t="str">
        <v>Cases iPhone</v>
      </c>
      <c r="FB41" s="12" t="str">
        <v>iPhone 17</v>
      </c>
      <c r="FC41" s="12" t="str">
        <v>iPhone 17 Pro</v>
      </c>
      <c r="FD41" s="23" t="str">
        <f>_xlfn.XLOOKUP(B:B,'[1]Price List'!$B:$B,'[1]Price List'!$A:$A)</f>
        <v>Tech21</v>
      </c>
    </row>
    <row r="42" spans="1:160" s="9" customFormat="1" x14ac:dyDescent="0.2">
      <c r="A42" s="23" t="s">
        <v>600</v>
      </c>
      <c r="B42" s="23">
        <v>840459607777</v>
      </c>
      <c r="C42" s="9" t="s">
        <v>569</v>
      </c>
      <c r="D42" s="9" t="s">
        <v>644</v>
      </c>
      <c r="E42" s="9" t="s">
        <v>477</v>
      </c>
      <c r="F42" s="9" t="s">
        <v>479</v>
      </c>
      <c r="G42" s="9" t="s">
        <v>479</v>
      </c>
      <c r="H42" s="12" t="s">
        <v>490</v>
      </c>
      <c r="I42" s="12">
        <v>999</v>
      </c>
      <c r="J42" s="11">
        <v>430.6</v>
      </c>
      <c r="K42" s="62">
        <v>0</v>
      </c>
      <c r="L42" s="12">
        <v>0</v>
      </c>
      <c r="M42" s="13" t="s">
        <v>466</v>
      </c>
      <c r="N42" s="13" t="s">
        <v>383</v>
      </c>
      <c r="O42" s="27">
        <v>46631</v>
      </c>
      <c r="P42" s="12">
        <v>0</v>
      </c>
      <c r="Q42" s="12">
        <v>0</v>
      </c>
      <c r="R42" s="12">
        <v>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  <c r="X42" s="12">
        <v>0</v>
      </c>
      <c r="Y42" s="12">
        <v>0</v>
      </c>
      <c r="Z42" s="12">
        <v>0</v>
      </c>
      <c r="AA42" s="12">
        <v>0</v>
      </c>
      <c r="AB42" s="12">
        <v>0</v>
      </c>
      <c r="AC42" s="12">
        <v>0</v>
      </c>
      <c r="AD42" s="12">
        <v>0</v>
      </c>
      <c r="AE42" s="12">
        <v>0</v>
      </c>
      <c r="AF42" s="12">
        <v>0</v>
      </c>
      <c r="AG42" s="12">
        <v>0</v>
      </c>
      <c r="AH42" s="12">
        <v>0</v>
      </c>
      <c r="AI42" s="12">
        <v>0</v>
      </c>
      <c r="AJ42" s="12">
        <v>0</v>
      </c>
      <c r="AK42" s="12">
        <v>0</v>
      </c>
      <c r="AL42" s="12">
        <v>0</v>
      </c>
      <c r="AM42" s="12">
        <v>0</v>
      </c>
      <c r="AN42" s="12">
        <v>0</v>
      </c>
      <c r="AO42" s="12">
        <v>0</v>
      </c>
      <c r="AP42" s="12">
        <v>0</v>
      </c>
      <c r="AQ42" s="12">
        <v>0</v>
      </c>
      <c r="AR42" s="12">
        <v>0</v>
      </c>
      <c r="AS42" s="12">
        <v>0</v>
      </c>
      <c r="AT42" s="12">
        <v>0</v>
      </c>
      <c r="AU42" s="12">
        <v>0</v>
      </c>
      <c r="AV42" s="12">
        <v>0</v>
      </c>
      <c r="AW42" s="12">
        <v>0</v>
      </c>
      <c r="AX42" s="12">
        <v>0</v>
      </c>
      <c r="AY42" s="12">
        <v>0</v>
      </c>
      <c r="AZ42" s="12">
        <v>0</v>
      </c>
      <c r="BA42" s="12">
        <v>0</v>
      </c>
      <c r="BB42" s="12">
        <v>0</v>
      </c>
      <c r="BC42" s="12">
        <v>0</v>
      </c>
      <c r="BD42" s="12">
        <v>0</v>
      </c>
      <c r="BE42" s="12">
        <v>0</v>
      </c>
      <c r="BF42" s="12">
        <v>0</v>
      </c>
      <c r="BG42" s="12">
        <v>0</v>
      </c>
      <c r="BH42" s="12">
        <v>0</v>
      </c>
      <c r="BI42" s="12">
        <v>0</v>
      </c>
      <c r="BJ42" s="12">
        <v>0</v>
      </c>
      <c r="BK42" s="12">
        <v>0</v>
      </c>
      <c r="BL42" s="12">
        <v>0</v>
      </c>
      <c r="BM42" s="12">
        <v>0</v>
      </c>
      <c r="BN42" s="12">
        <v>0</v>
      </c>
      <c r="BO42" s="12">
        <v>0</v>
      </c>
      <c r="BP42" s="12">
        <v>0</v>
      </c>
      <c r="BQ42" s="12">
        <v>0</v>
      </c>
      <c r="BR42" s="12">
        <v>0</v>
      </c>
      <c r="BS42" s="12">
        <v>0</v>
      </c>
      <c r="BT42" s="12">
        <v>0</v>
      </c>
      <c r="BU42" s="12">
        <v>0</v>
      </c>
      <c r="BV42" s="12">
        <v>0</v>
      </c>
      <c r="BW42" s="12">
        <v>0</v>
      </c>
      <c r="BX42" s="12">
        <v>0</v>
      </c>
      <c r="BY42" s="12">
        <v>0</v>
      </c>
      <c r="BZ42" s="12">
        <v>0</v>
      </c>
      <c r="CA42" s="12">
        <v>0</v>
      </c>
      <c r="CB42" s="12">
        <v>0</v>
      </c>
      <c r="CC42" s="12">
        <v>0</v>
      </c>
      <c r="CD42" s="12">
        <v>0</v>
      </c>
      <c r="CE42" s="12">
        <v>0</v>
      </c>
      <c r="CF42" s="12">
        <v>0</v>
      </c>
      <c r="CG42" s="12">
        <v>0</v>
      </c>
      <c r="CH42" s="12">
        <v>0</v>
      </c>
      <c r="CI42" s="12">
        <v>0</v>
      </c>
      <c r="CJ42" s="12">
        <v>0</v>
      </c>
      <c r="CK42" s="12">
        <v>0</v>
      </c>
      <c r="CL42" s="12">
        <v>0</v>
      </c>
      <c r="CM42" s="12">
        <v>0</v>
      </c>
      <c r="CN42" s="12">
        <v>0</v>
      </c>
      <c r="CO42" s="12">
        <v>0</v>
      </c>
      <c r="CP42" s="12">
        <v>0</v>
      </c>
      <c r="CQ42" s="12">
        <v>0</v>
      </c>
      <c r="CR42" s="12">
        <v>0</v>
      </c>
      <c r="CS42" s="12">
        <v>0</v>
      </c>
      <c r="CT42" s="12">
        <v>0</v>
      </c>
      <c r="CU42" s="12">
        <v>0</v>
      </c>
      <c r="CV42" s="12">
        <v>0</v>
      </c>
      <c r="CW42" s="12">
        <v>0</v>
      </c>
      <c r="CX42" s="12">
        <v>0</v>
      </c>
      <c r="CY42" s="12">
        <v>0</v>
      </c>
      <c r="CZ42" s="12">
        <v>0</v>
      </c>
      <c r="DA42" s="12">
        <v>25</v>
      </c>
      <c r="DB42" s="12">
        <v>20</v>
      </c>
      <c r="DC42" s="12">
        <v>10</v>
      </c>
      <c r="DD42" s="12">
        <v>27</v>
      </c>
      <c r="DE42" s="12">
        <v>34</v>
      </c>
      <c r="DF42" s="12">
        <v>29</v>
      </c>
      <c r="DG42" s="12">
        <v>39</v>
      </c>
      <c r="DH42" s="12">
        <v>36</v>
      </c>
      <c r="DI42" s="12">
        <v>23</v>
      </c>
      <c r="DJ42" s="12">
        <v>23</v>
      </c>
      <c r="DK42" s="12">
        <v>20</v>
      </c>
      <c r="DL42" s="12">
        <v>25</v>
      </c>
      <c r="DM42" s="12">
        <v>43</v>
      </c>
      <c r="DN42" s="12">
        <v>56</v>
      </c>
      <c r="DO42" s="12">
        <v>39</v>
      </c>
      <c r="DP42" s="12">
        <v>37</v>
      </c>
      <c r="DQ42" s="12">
        <v>30</v>
      </c>
      <c r="DR42" s="12">
        <v>18</v>
      </c>
      <c r="DS42" s="12">
        <v>12</v>
      </c>
      <c r="DT42" s="12">
        <v>6</v>
      </c>
      <c r="DU42" s="12">
        <v>6</v>
      </c>
      <c r="DV42" s="12">
        <v>7</v>
      </c>
      <c r="DW42" s="12">
        <v>7</v>
      </c>
      <c r="DX42" s="12">
        <v>13</v>
      </c>
      <c r="DY42" s="12">
        <v>7</v>
      </c>
      <c r="DZ42" s="12">
        <v>16</v>
      </c>
      <c r="EA42" s="12">
        <v>10</v>
      </c>
      <c r="EB42" s="12">
        <v>9</v>
      </c>
      <c r="EC42" s="12">
        <v>13</v>
      </c>
      <c r="ED42" s="12">
        <v>9</v>
      </c>
      <c r="EE42" s="12">
        <v>10</v>
      </c>
      <c r="EF42" s="12">
        <v>6</v>
      </c>
      <c r="EG42" s="12">
        <v>11</v>
      </c>
      <c r="EH42" s="12">
        <v>9</v>
      </c>
      <c r="EI42" s="12">
        <v>6</v>
      </c>
      <c r="EJ42" s="12">
        <v>9</v>
      </c>
      <c r="EK42" s="12">
        <v>7</v>
      </c>
      <c r="EL42" s="12">
        <v>5</v>
      </c>
      <c r="EM42" s="12">
        <v>4</v>
      </c>
      <c r="EN42" s="12">
        <v>6</v>
      </c>
      <c r="EO42" s="12">
        <v>2</v>
      </c>
      <c r="EP42" s="12" t="str">
        <f t="shared" si="14"/>
        <v>🟢 Bien</v>
      </c>
      <c r="EQ42" s="23">
        <f t="shared" si="1"/>
        <v>11.125</v>
      </c>
      <c r="ER42" s="19">
        <f t="shared" si="2"/>
        <v>118415</v>
      </c>
      <c r="ES42" s="12">
        <f t="shared" si="3"/>
        <v>275</v>
      </c>
      <c r="ET42" s="23">
        <f t="shared" si="8"/>
        <v>92</v>
      </c>
      <c r="EU42" s="23">
        <f t="shared" si="9"/>
        <v>132.5</v>
      </c>
      <c r="EV42" s="23">
        <f t="shared" si="6"/>
        <v>50.44</v>
      </c>
      <c r="EW42" s="23">
        <f t="shared" si="15"/>
        <v>665</v>
      </c>
      <c r="EX42" s="12">
        <v>200</v>
      </c>
      <c r="EY42" s="19" cm="1">
        <f t="array" ref="EY42:FC42">VLOOKUP(_xlfn.SINGLE(B:B),'[1]Price List'!$B:$N,{8,4,5,6,7},0)</f>
        <v>387.5</v>
      </c>
      <c r="EZ42" s="9" t="str">
        <v>Tech21 EvoSparkle iPhone 17 Pro Max Focus</v>
      </c>
      <c r="FA42" s="12" t="str">
        <v>Cases iPhone</v>
      </c>
      <c r="FB42" s="12" t="str">
        <v>iPhone 17</v>
      </c>
      <c r="FC42" s="12" t="str">
        <v>iPhone 17 Pro Max</v>
      </c>
      <c r="FD42" s="23" t="str">
        <f>_xlfn.XLOOKUP(B:B,'[1]Price List'!$B:$B,'[1]Price List'!$A:$A)</f>
        <v>Tech21</v>
      </c>
    </row>
    <row r="43" spans="1:160" s="9" customFormat="1" x14ac:dyDescent="0.2">
      <c r="A43" s="23" t="s">
        <v>600</v>
      </c>
      <c r="B43" s="23">
        <v>840459607845</v>
      </c>
      <c r="C43" s="9" t="s">
        <v>570</v>
      </c>
      <c r="D43" s="9" t="s">
        <v>644</v>
      </c>
      <c r="E43" s="9" t="s">
        <v>477</v>
      </c>
      <c r="F43" s="9" t="s">
        <v>477</v>
      </c>
      <c r="G43" s="9" t="s">
        <v>477</v>
      </c>
      <c r="H43" s="12" t="s">
        <v>491</v>
      </c>
      <c r="I43" s="12">
        <v>999</v>
      </c>
      <c r="J43" s="11">
        <v>430.6</v>
      </c>
      <c r="K43" s="62">
        <v>0</v>
      </c>
      <c r="L43" s="12">
        <v>0</v>
      </c>
      <c r="M43" s="13" t="s">
        <v>466</v>
      </c>
      <c r="N43" s="13" t="s">
        <v>655</v>
      </c>
      <c r="O43" s="27">
        <v>46631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  <c r="X43" s="12">
        <v>0</v>
      </c>
      <c r="Y43" s="12">
        <v>0</v>
      </c>
      <c r="Z43" s="12">
        <v>0</v>
      </c>
      <c r="AA43" s="12">
        <v>0</v>
      </c>
      <c r="AB43" s="12">
        <v>0</v>
      </c>
      <c r="AC43" s="12">
        <v>0</v>
      </c>
      <c r="AD43" s="12">
        <v>0</v>
      </c>
      <c r="AE43" s="12">
        <v>0</v>
      </c>
      <c r="AF43" s="12">
        <v>0</v>
      </c>
      <c r="AG43" s="12">
        <v>0</v>
      </c>
      <c r="AH43" s="12">
        <v>0</v>
      </c>
      <c r="AI43" s="12">
        <v>0</v>
      </c>
      <c r="AJ43" s="12">
        <v>0</v>
      </c>
      <c r="AK43" s="12">
        <v>0</v>
      </c>
      <c r="AL43" s="12">
        <v>0</v>
      </c>
      <c r="AM43" s="12">
        <v>0</v>
      </c>
      <c r="AN43" s="12">
        <v>0</v>
      </c>
      <c r="AO43" s="12">
        <v>0</v>
      </c>
      <c r="AP43" s="12">
        <v>0</v>
      </c>
      <c r="AQ43" s="12">
        <v>0</v>
      </c>
      <c r="AR43" s="12">
        <v>0</v>
      </c>
      <c r="AS43" s="12">
        <v>0</v>
      </c>
      <c r="AT43" s="12">
        <v>0</v>
      </c>
      <c r="AU43" s="12">
        <v>0</v>
      </c>
      <c r="AV43" s="12">
        <v>0</v>
      </c>
      <c r="AW43" s="12">
        <v>0</v>
      </c>
      <c r="AX43" s="12">
        <v>0</v>
      </c>
      <c r="AY43" s="12">
        <v>0</v>
      </c>
      <c r="AZ43" s="12">
        <v>0</v>
      </c>
      <c r="BA43" s="12">
        <v>0</v>
      </c>
      <c r="BB43" s="12">
        <v>0</v>
      </c>
      <c r="BC43" s="12">
        <v>0</v>
      </c>
      <c r="BD43" s="12">
        <v>0</v>
      </c>
      <c r="BE43" s="12">
        <v>0</v>
      </c>
      <c r="BF43" s="12">
        <v>0</v>
      </c>
      <c r="BG43" s="12">
        <v>0</v>
      </c>
      <c r="BH43" s="12">
        <v>0</v>
      </c>
      <c r="BI43" s="12">
        <v>0</v>
      </c>
      <c r="BJ43" s="12">
        <v>0</v>
      </c>
      <c r="BK43" s="12">
        <v>0</v>
      </c>
      <c r="BL43" s="12">
        <v>0</v>
      </c>
      <c r="BM43" s="12">
        <v>0</v>
      </c>
      <c r="BN43" s="12">
        <v>0</v>
      </c>
      <c r="BO43" s="12">
        <v>0</v>
      </c>
      <c r="BP43" s="12">
        <v>0</v>
      </c>
      <c r="BQ43" s="12">
        <v>0</v>
      </c>
      <c r="BR43" s="12">
        <v>0</v>
      </c>
      <c r="BS43" s="12">
        <v>0</v>
      </c>
      <c r="BT43" s="12">
        <v>0</v>
      </c>
      <c r="BU43" s="12">
        <v>0</v>
      </c>
      <c r="BV43" s="12">
        <v>0</v>
      </c>
      <c r="BW43" s="12">
        <v>0</v>
      </c>
      <c r="BX43" s="12">
        <v>0</v>
      </c>
      <c r="BY43" s="12">
        <v>0</v>
      </c>
      <c r="BZ43" s="12">
        <v>0</v>
      </c>
      <c r="CA43" s="12">
        <v>0</v>
      </c>
      <c r="CB43" s="12">
        <v>0</v>
      </c>
      <c r="CC43" s="12">
        <v>0</v>
      </c>
      <c r="CD43" s="12">
        <v>0</v>
      </c>
      <c r="CE43" s="12">
        <v>0</v>
      </c>
      <c r="CF43" s="12">
        <v>0</v>
      </c>
      <c r="CG43" s="12">
        <v>0</v>
      </c>
      <c r="CH43" s="12">
        <v>0</v>
      </c>
      <c r="CI43" s="12">
        <v>0</v>
      </c>
      <c r="CJ43" s="12">
        <v>0</v>
      </c>
      <c r="CK43" s="12">
        <v>0</v>
      </c>
      <c r="CL43" s="12">
        <v>0</v>
      </c>
      <c r="CM43" s="12">
        <v>0</v>
      </c>
      <c r="CN43" s="12">
        <v>0</v>
      </c>
      <c r="CO43" s="12">
        <v>0</v>
      </c>
      <c r="CP43" s="12">
        <v>0</v>
      </c>
      <c r="CQ43" s="12">
        <v>0</v>
      </c>
      <c r="CR43" s="12">
        <v>0</v>
      </c>
      <c r="CS43" s="12">
        <v>0</v>
      </c>
      <c r="CT43" s="12">
        <v>0</v>
      </c>
      <c r="CU43" s="12">
        <v>0</v>
      </c>
      <c r="CV43" s="12">
        <v>0</v>
      </c>
      <c r="CW43" s="12">
        <v>0</v>
      </c>
      <c r="CX43" s="12">
        <v>0</v>
      </c>
      <c r="CY43" s="12">
        <v>0</v>
      </c>
      <c r="CZ43" s="12">
        <v>0</v>
      </c>
      <c r="DA43" s="12">
        <v>2</v>
      </c>
      <c r="DB43" s="12">
        <v>2</v>
      </c>
      <c r="DC43" s="12">
        <v>0</v>
      </c>
      <c r="DD43" s="12">
        <v>4</v>
      </c>
      <c r="DE43" s="12">
        <v>2</v>
      </c>
      <c r="DF43" s="12">
        <v>4</v>
      </c>
      <c r="DG43" s="12">
        <v>3</v>
      </c>
      <c r="DH43" s="12">
        <v>3</v>
      </c>
      <c r="DI43" s="12">
        <v>7</v>
      </c>
      <c r="DJ43" s="12">
        <v>0</v>
      </c>
      <c r="DK43" s="12">
        <v>3</v>
      </c>
      <c r="DL43" s="12">
        <v>4</v>
      </c>
      <c r="DM43" s="12">
        <v>4</v>
      </c>
      <c r="DN43" s="12">
        <v>10</v>
      </c>
      <c r="DO43" s="12">
        <v>10</v>
      </c>
      <c r="DP43" s="12">
        <v>2</v>
      </c>
      <c r="DQ43" s="12">
        <v>4</v>
      </c>
      <c r="DR43" s="12">
        <v>4</v>
      </c>
      <c r="DS43" s="12">
        <v>1</v>
      </c>
      <c r="DT43" s="12">
        <v>0</v>
      </c>
      <c r="DU43" s="12">
        <v>3</v>
      </c>
      <c r="DV43" s="12">
        <v>3</v>
      </c>
      <c r="DW43" s="12">
        <v>1</v>
      </c>
      <c r="DX43" s="12">
        <v>2</v>
      </c>
      <c r="DY43" s="12">
        <v>1</v>
      </c>
      <c r="DZ43" s="12">
        <v>4</v>
      </c>
      <c r="EA43" s="12">
        <v>4</v>
      </c>
      <c r="EB43" s="12">
        <v>4</v>
      </c>
      <c r="EC43" s="12">
        <v>1</v>
      </c>
      <c r="ED43" s="12">
        <v>5</v>
      </c>
      <c r="EE43" s="12">
        <v>1</v>
      </c>
      <c r="EF43" s="12">
        <v>1</v>
      </c>
      <c r="EG43" s="12">
        <v>3</v>
      </c>
      <c r="EH43" s="12">
        <v>2</v>
      </c>
      <c r="EI43" s="12">
        <v>1</v>
      </c>
      <c r="EJ43" s="12">
        <v>4</v>
      </c>
      <c r="EK43" s="12">
        <v>4</v>
      </c>
      <c r="EL43" s="12">
        <v>1</v>
      </c>
      <c r="EM43" s="12">
        <v>1</v>
      </c>
      <c r="EN43" s="12">
        <v>2</v>
      </c>
      <c r="EO43" s="12">
        <v>4</v>
      </c>
      <c r="EP43" s="12" t="str">
        <f t="shared" si="14"/>
        <v>🟠 Bajo</v>
      </c>
      <c r="EQ43" s="23">
        <f t="shared" si="1"/>
        <v>2.375</v>
      </c>
      <c r="ER43" s="19">
        <f t="shared" si="2"/>
        <v>27127.800000000003</v>
      </c>
      <c r="ES43" s="12">
        <f t="shared" si="3"/>
        <v>63</v>
      </c>
      <c r="ET43" s="23">
        <f t="shared" si="8"/>
        <v>8.5</v>
      </c>
      <c r="EU43" s="23">
        <f t="shared" si="9"/>
        <v>20.5</v>
      </c>
      <c r="EV43" s="23">
        <f t="shared" si="6"/>
        <v>9.7799999999999994</v>
      </c>
      <c r="EW43" s="23">
        <f t="shared" si="15"/>
        <v>99</v>
      </c>
      <c r="EX43" s="12">
        <v>171</v>
      </c>
      <c r="EY43" s="19" cm="1">
        <f t="array" ref="EY43:FC43">VLOOKUP(_xlfn.SINGLE(B:B),'[1]Price List'!$B:$N,{8,4,5,6,7},0)</f>
        <v>387.5</v>
      </c>
      <c r="EZ43" s="9" t="str">
        <v>Tech21 EvoSparkle iPhone 17 Lunar</v>
      </c>
      <c r="FA43" s="12" t="str">
        <v>Cases iPhone</v>
      </c>
      <c r="FB43" s="12" t="str">
        <v>iPhone 17</v>
      </c>
      <c r="FC43" s="12" t="str">
        <v>iPhone 17</v>
      </c>
      <c r="FD43" s="23" t="str">
        <f>_xlfn.XLOOKUP(B:B,'[1]Price List'!$B:$B,'[1]Price List'!$A:$A)</f>
        <v>Tech21</v>
      </c>
    </row>
    <row r="44" spans="1:160" s="9" customFormat="1" x14ac:dyDescent="0.2">
      <c r="A44" s="23" t="s">
        <v>600</v>
      </c>
      <c r="B44" s="23">
        <v>840459607869</v>
      </c>
      <c r="C44" s="9" t="s">
        <v>571</v>
      </c>
      <c r="D44" s="9" t="s">
        <v>644</v>
      </c>
      <c r="E44" s="9" t="s">
        <v>477</v>
      </c>
      <c r="F44" s="9" t="s">
        <v>478</v>
      </c>
      <c r="G44" s="9" t="s">
        <v>478</v>
      </c>
      <c r="H44" s="12" t="s">
        <v>492</v>
      </c>
      <c r="I44" s="12">
        <v>999</v>
      </c>
      <c r="J44" s="11">
        <v>430.6</v>
      </c>
      <c r="K44" s="62">
        <v>0</v>
      </c>
      <c r="L44" s="12">
        <v>0</v>
      </c>
      <c r="M44" s="13" t="s">
        <v>466</v>
      </c>
      <c r="N44" s="13" t="s">
        <v>383</v>
      </c>
      <c r="O44" s="27">
        <v>46631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0</v>
      </c>
      <c r="AA44" s="12">
        <v>0</v>
      </c>
      <c r="AB44" s="12">
        <v>0</v>
      </c>
      <c r="AC44" s="12">
        <v>0</v>
      </c>
      <c r="AD44" s="12">
        <v>0</v>
      </c>
      <c r="AE44" s="12">
        <v>0</v>
      </c>
      <c r="AF44" s="12">
        <v>0</v>
      </c>
      <c r="AG44" s="12">
        <v>0</v>
      </c>
      <c r="AH44" s="12">
        <v>0</v>
      </c>
      <c r="AI44" s="12">
        <v>0</v>
      </c>
      <c r="AJ44" s="12">
        <v>0</v>
      </c>
      <c r="AK44" s="12">
        <v>0</v>
      </c>
      <c r="AL44" s="12">
        <v>0</v>
      </c>
      <c r="AM44" s="12">
        <v>0</v>
      </c>
      <c r="AN44" s="12">
        <v>0</v>
      </c>
      <c r="AO44" s="12">
        <v>0</v>
      </c>
      <c r="AP44" s="12">
        <v>0</v>
      </c>
      <c r="AQ44" s="12">
        <v>0</v>
      </c>
      <c r="AR44" s="12">
        <v>0</v>
      </c>
      <c r="AS44" s="12">
        <v>0</v>
      </c>
      <c r="AT44" s="12">
        <v>0</v>
      </c>
      <c r="AU44" s="12">
        <v>0</v>
      </c>
      <c r="AV44" s="12">
        <v>0</v>
      </c>
      <c r="AW44" s="12">
        <v>0</v>
      </c>
      <c r="AX44" s="12">
        <v>0</v>
      </c>
      <c r="AY44" s="12">
        <v>0</v>
      </c>
      <c r="AZ44" s="12">
        <v>0</v>
      </c>
      <c r="BA44" s="12">
        <v>0</v>
      </c>
      <c r="BB44" s="12">
        <v>0</v>
      </c>
      <c r="BC44" s="12">
        <v>0</v>
      </c>
      <c r="BD44" s="12">
        <v>0</v>
      </c>
      <c r="BE44" s="12">
        <v>0</v>
      </c>
      <c r="BF44" s="12">
        <v>0</v>
      </c>
      <c r="BG44" s="12">
        <v>0</v>
      </c>
      <c r="BH44" s="12">
        <v>0</v>
      </c>
      <c r="BI44" s="12">
        <v>0</v>
      </c>
      <c r="BJ44" s="12">
        <v>0</v>
      </c>
      <c r="BK44" s="12">
        <v>0</v>
      </c>
      <c r="BL44" s="12">
        <v>0</v>
      </c>
      <c r="BM44" s="12">
        <v>0</v>
      </c>
      <c r="BN44" s="12">
        <v>0</v>
      </c>
      <c r="BO44" s="12">
        <v>0</v>
      </c>
      <c r="BP44" s="12">
        <v>0</v>
      </c>
      <c r="BQ44" s="12">
        <v>0</v>
      </c>
      <c r="BR44" s="12">
        <v>0</v>
      </c>
      <c r="BS44" s="12">
        <v>0</v>
      </c>
      <c r="BT44" s="12">
        <v>0</v>
      </c>
      <c r="BU44" s="12">
        <v>0</v>
      </c>
      <c r="BV44" s="12">
        <v>0</v>
      </c>
      <c r="BW44" s="12">
        <v>0</v>
      </c>
      <c r="BX44" s="12">
        <v>0</v>
      </c>
      <c r="BY44" s="12">
        <v>0</v>
      </c>
      <c r="BZ44" s="12">
        <v>0</v>
      </c>
      <c r="CA44" s="12">
        <v>0</v>
      </c>
      <c r="CB44" s="12">
        <v>0</v>
      </c>
      <c r="CC44" s="12">
        <v>0</v>
      </c>
      <c r="CD44" s="12">
        <v>0</v>
      </c>
      <c r="CE44" s="12">
        <v>0</v>
      </c>
      <c r="CF44" s="12">
        <v>0</v>
      </c>
      <c r="CG44" s="12">
        <v>0</v>
      </c>
      <c r="CH44" s="12">
        <v>0</v>
      </c>
      <c r="CI44" s="12">
        <v>0</v>
      </c>
      <c r="CJ44" s="12">
        <v>0</v>
      </c>
      <c r="CK44" s="12">
        <v>0</v>
      </c>
      <c r="CL44" s="12">
        <v>0</v>
      </c>
      <c r="CM44" s="12">
        <v>0</v>
      </c>
      <c r="CN44" s="12">
        <v>0</v>
      </c>
      <c r="CO44" s="12">
        <v>0</v>
      </c>
      <c r="CP44" s="12">
        <v>0</v>
      </c>
      <c r="CQ44" s="12">
        <v>0</v>
      </c>
      <c r="CR44" s="12">
        <v>0</v>
      </c>
      <c r="CS44" s="12">
        <v>0</v>
      </c>
      <c r="CT44" s="12">
        <v>0</v>
      </c>
      <c r="CU44" s="12">
        <v>0</v>
      </c>
      <c r="CV44" s="12">
        <v>0</v>
      </c>
      <c r="CW44" s="12">
        <v>0</v>
      </c>
      <c r="CX44" s="12">
        <v>0</v>
      </c>
      <c r="CY44" s="12">
        <v>0</v>
      </c>
      <c r="CZ44" s="12">
        <v>0</v>
      </c>
      <c r="DA44" s="12">
        <v>9</v>
      </c>
      <c r="DB44" s="12">
        <v>3</v>
      </c>
      <c r="DC44" s="12">
        <v>1</v>
      </c>
      <c r="DD44" s="12">
        <v>3</v>
      </c>
      <c r="DE44" s="12">
        <v>4</v>
      </c>
      <c r="DF44" s="12">
        <v>5</v>
      </c>
      <c r="DG44" s="12">
        <v>2</v>
      </c>
      <c r="DH44" s="12">
        <v>2</v>
      </c>
      <c r="DI44" s="12">
        <v>2</v>
      </c>
      <c r="DJ44" s="12">
        <v>4</v>
      </c>
      <c r="DK44" s="12">
        <v>1</v>
      </c>
      <c r="DL44" s="12">
        <v>2</v>
      </c>
      <c r="DM44" s="12">
        <v>5</v>
      </c>
      <c r="DN44" s="12">
        <v>3</v>
      </c>
      <c r="DO44" s="12">
        <v>7</v>
      </c>
      <c r="DP44" s="12">
        <v>1</v>
      </c>
      <c r="DQ44" s="12">
        <v>2</v>
      </c>
      <c r="DR44" s="12">
        <v>2</v>
      </c>
      <c r="DS44" s="12">
        <v>4</v>
      </c>
      <c r="DT44" s="12">
        <v>1</v>
      </c>
      <c r="DU44" s="12">
        <v>0</v>
      </c>
      <c r="DV44" s="12">
        <v>0</v>
      </c>
      <c r="DW44" s="12">
        <v>0</v>
      </c>
      <c r="DX44" s="12">
        <v>1</v>
      </c>
      <c r="DY44" s="12">
        <v>1</v>
      </c>
      <c r="DZ44" s="12">
        <v>0</v>
      </c>
      <c r="EA44" s="12">
        <v>0</v>
      </c>
      <c r="EB44" s="12">
        <v>0</v>
      </c>
      <c r="EC44" s="12">
        <v>0</v>
      </c>
      <c r="ED44" s="12">
        <v>1</v>
      </c>
      <c r="EE44" s="12">
        <v>0</v>
      </c>
      <c r="EF44" s="12">
        <v>1</v>
      </c>
      <c r="EG44" s="12">
        <v>0</v>
      </c>
      <c r="EH44" s="12">
        <v>1</v>
      </c>
      <c r="EI44" s="12">
        <v>1</v>
      </c>
      <c r="EJ44" s="12">
        <v>0</v>
      </c>
      <c r="EK44" s="12">
        <v>1</v>
      </c>
      <c r="EL44" s="12">
        <v>3</v>
      </c>
      <c r="EM44" s="12">
        <v>0</v>
      </c>
      <c r="EN44" s="12">
        <v>1</v>
      </c>
      <c r="EO44" s="12">
        <v>1</v>
      </c>
      <c r="EP44" s="12" t="str">
        <f t="shared" si="14"/>
        <v>🟢 Bien</v>
      </c>
      <c r="EQ44" s="23">
        <f t="shared" si="1"/>
        <v>0.83333333333333337</v>
      </c>
      <c r="ER44" s="19">
        <f t="shared" si="2"/>
        <v>9473.2000000000007</v>
      </c>
      <c r="ES44" s="12">
        <f t="shared" si="3"/>
        <v>22</v>
      </c>
      <c r="ET44" s="23">
        <f t="shared" si="8"/>
        <v>13.5</v>
      </c>
      <c r="EU44" s="23">
        <f t="shared" si="9"/>
        <v>13</v>
      </c>
      <c r="EV44" s="23">
        <f t="shared" si="6"/>
        <v>3.11</v>
      </c>
      <c r="EW44" s="23">
        <f t="shared" si="15"/>
        <v>67</v>
      </c>
      <c r="EX44" s="12">
        <v>200</v>
      </c>
      <c r="EY44" s="19" cm="1">
        <f t="array" ref="EY44:FC44">VLOOKUP(_xlfn.SINGLE(B:B),'[1]Price List'!$B:$N,{8,4,5,6,7},0)</f>
        <v>387.5</v>
      </c>
      <c r="EZ44" s="9" t="str">
        <v>Tech21 EvoSparkle iPhone 17 Pro Lunar</v>
      </c>
      <c r="FA44" s="12" t="str">
        <v>Cases iPhone</v>
      </c>
      <c r="FB44" s="12" t="str">
        <v>iPhone 17</v>
      </c>
      <c r="FC44" s="12" t="str">
        <v>iPhone 17 Pro</v>
      </c>
      <c r="FD44" s="23" t="str">
        <f>_xlfn.XLOOKUP(B:B,'[1]Price List'!$B:$B,'[1]Price List'!$A:$A)</f>
        <v>Tech21</v>
      </c>
    </row>
    <row r="45" spans="1:160" s="9" customFormat="1" x14ac:dyDescent="0.2">
      <c r="A45" s="23" t="s">
        <v>600</v>
      </c>
      <c r="B45" s="23">
        <v>840459607890</v>
      </c>
      <c r="C45" s="9" t="s">
        <v>572</v>
      </c>
      <c r="D45" s="9" t="s">
        <v>644</v>
      </c>
      <c r="E45" s="9" t="s">
        <v>477</v>
      </c>
      <c r="F45" s="9" t="s">
        <v>479</v>
      </c>
      <c r="G45" s="9" t="s">
        <v>479</v>
      </c>
      <c r="H45" s="12" t="s">
        <v>493</v>
      </c>
      <c r="I45" s="12">
        <v>999</v>
      </c>
      <c r="J45" s="11">
        <v>430.6</v>
      </c>
      <c r="K45" s="62">
        <v>0</v>
      </c>
      <c r="L45" s="12">
        <v>0</v>
      </c>
      <c r="M45" s="13" t="s">
        <v>466</v>
      </c>
      <c r="N45" s="13" t="s">
        <v>383</v>
      </c>
      <c r="O45" s="27">
        <v>46631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  <c r="X45" s="12">
        <v>0</v>
      </c>
      <c r="Y45" s="12">
        <v>0</v>
      </c>
      <c r="Z45" s="12">
        <v>0</v>
      </c>
      <c r="AA45" s="12">
        <v>0</v>
      </c>
      <c r="AB45" s="12">
        <v>0</v>
      </c>
      <c r="AC45" s="12">
        <v>0</v>
      </c>
      <c r="AD45" s="12">
        <v>0</v>
      </c>
      <c r="AE45" s="12">
        <v>0</v>
      </c>
      <c r="AF45" s="12">
        <v>0</v>
      </c>
      <c r="AG45" s="12">
        <v>0</v>
      </c>
      <c r="AH45" s="12">
        <v>0</v>
      </c>
      <c r="AI45" s="12">
        <v>0</v>
      </c>
      <c r="AJ45" s="12">
        <v>0</v>
      </c>
      <c r="AK45" s="12">
        <v>0</v>
      </c>
      <c r="AL45" s="12">
        <v>0</v>
      </c>
      <c r="AM45" s="12">
        <v>0</v>
      </c>
      <c r="AN45" s="12">
        <v>0</v>
      </c>
      <c r="AO45" s="12">
        <v>0</v>
      </c>
      <c r="AP45" s="12">
        <v>0</v>
      </c>
      <c r="AQ45" s="12">
        <v>0</v>
      </c>
      <c r="AR45" s="12">
        <v>0</v>
      </c>
      <c r="AS45" s="12">
        <v>0</v>
      </c>
      <c r="AT45" s="12">
        <v>0</v>
      </c>
      <c r="AU45" s="12">
        <v>0</v>
      </c>
      <c r="AV45" s="12">
        <v>0</v>
      </c>
      <c r="AW45" s="12">
        <v>0</v>
      </c>
      <c r="AX45" s="12">
        <v>0</v>
      </c>
      <c r="AY45" s="12">
        <v>0</v>
      </c>
      <c r="AZ45" s="12">
        <v>0</v>
      </c>
      <c r="BA45" s="12">
        <v>0</v>
      </c>
      <c r="BB45" s="12">
        <v>0</v>
      </c>
      <c r="BC45" s="12">
        <v>0</v>
      </c>
      <c r="BD45" s="12">
        <v>0</v>
      </c>
      <c r="BE45" s="12">
        <v>0</v>
      </c>
      <c r="BF45" s="12">
        <v>0</v>
      </c>
      <c r="BG45" s="12">
        <v>0</v>
      </c>
      <c r="BH45" s="12">
        <v>0</v>
      </c>
      <c r="BI45" s="12">
        <v>0</v>
      </c>
      <c r="BJ45" s="12">
        <v>0</v>
      </c>
      <c r="BK45" s="12">
        <v>0</v>
      </c>
      <c r="BL45" s="12">
        <v>0</v>
      </c>
      <c r="BM45" s="12">
        <v>0</v>
      </c>
      <c r="BN45" s="12">
        <v>0</v>
      </c>
      <c r="BO45" s="12">
        <v>0</v>
      </c>
      <c r="BP45" s="12">
        <v>0</v>
      </c>
      <c r="BQ45" s="12">
        <v>0</v>
      </c>
      <c r="BR45" s="12">
        <v>0</v>
      </c>
      <c r="BS45" s="12">
        <v>0</v>
      </c>
      <c r="BT45" s="12">
        <v>0</v>
      </c>
      <c r="BU45" s="12">
        <v>0</v>
      </c>
      <c r="BV45" s="12">
        <v>0</v>
      </c>
      <c r="BW45" s="12">
        <v>0</v>
      </c>
      <c r="BX45" s="12">
        <v>0</v>
      </c>
      <c r="BY45" s="12">
        <v>0</v>
      </c>
      <c r="BZ45" s="12">
        <v>0</v>
      </c>
      <c r="CA45" s="12">
        <v>0</v>
      </c>
      <c r="CB45" s="12">
        <v>0</v>
      </c>
      <c r="CC45" s="12">
        <v>0</v>
      </c>
      <c r="CD45" s="12">
        <v>0</v>
      </c>
      <c r="CE45" s="12">
        <v>0</v>
      </c>
      <c r="CF45" s="12">
        <v>0</v>
      </c>
      <c r="CG45" s="12">
        <v>0</v>
      </c>
      <c r="CH45" s="12">
        <v>0</v>
      </c>
      <c r="CI45" s="12">
        <v>0</v>
      </c>
      <c r="CJ45" s="12">
        <v>0</v>
      </c>
      <c r="CK45" s="12">
        <v>0</v>
      </c>
      <c r="CL45" s="12">
        <v>0</v>
      </c>
      <c r="CM45" s="12">
        <v>0</v>
      </c>
      <c r="CN45" s="12">
        <v>0</v>
      </c>
      <c r="CO45" s="12">
        <v>0</v>
      </c>
      <c r="CP45" s="12">
        <v>0</v>
      </c>
      <c r="CQ45" s="12">
        <v>0</v>
      </c>
      <c r="CR45" s="12">
        <v>0</v>
      </c>
      <c r="CS45" s="12">
        <v>0</v>
      </c>
      <c r="CT45" s="12">
        <v>0</v>
      </c>
      <c r="CU45" s="12">
        <v>0</v>
      </c>
      <c r="CV45" s="12">
        <v>0</v>
      </c>
      <c r="CW45" s="12">
        <v>0</v>
      </c>
      <c r="CX45" s="12">
        <v>0</v>
      </c>
      <c r="CY45" s="12">
        <v>0</v>
      </c>
      <c r="CZ45" s="12">
        <v>0</v>
      </c>
      <c r="DA45" s="12">
        <v>14</v>
      </c>
      <c r="DB45" s="12">
        <v>17</v>
      </c>
      <c r="DC45" s="12">
        <v>4</v>
      </c>
      <c r="DD45" s="12">
        <v>13</v>
      </c>
      <c r="DE45" s="12">
        <v>15</v>
      </c>
      <c r="DF45" s="12">
        <v>37</v>
      </c>
      <c r="DG45" s="12">
        <v>23</v>
      </c>
      <c r="DH45" s="12">
        <v>13</v>
      </c>
      <c r="DI45" s="12">
        <v>21</v>
      </c>
      <c r="DJ45" s="12">
        <v>19</v>
      </c>
      <c r="DK45" s="12">
        <v>22</v>
      </c>
      <c r="DL45" s="12">
        <v>15</v>
      </c>
      <c r="DM45" s="12">
        <v>20</v>
      </c>
      <c r="DN45" s="12">
        <v>34</v>
      </c>
      <c r="DO45" s="12">
        <v>30</v>
      </c>
      <c r="DP45" s="12">
        <v>29</v>
      </c>
      <c r="DQ45" s="12">
        <v>25</v>
      </c>
      <c r="DR45" s="12">
        <v>11</v>
      </c>
      <c r="DS45" s="12">
        <v>8</v>
      </c>
      <c r="DT45" s="12">
        <v>4</v>
      </c>
      <c r="DU45" s="12">
        <v>4</v>
      </c>
      <c r="DV45" s="12">
        <v>2</v>
      </c>
      <c r="DW45" s="12">
        <v>3</v>
      </c>
      <c r="DX45" s="12">
        <v>0</v>
      </c>
      <c r="DY45" s="12">
        <v>8</v>
      </c>
      <c r="DZ45" s="12">
        <v>6</v>
      </c>
      <c r="EA45" s="12">
        <v>5</v>
      </c>
      <c r="EB45" s="12">
        <v>3</v>
      </c>
      <c r="EC45" s="12">
        <v>5</v>
      </c>
      <c r="ED45" s="12">
        <v>7</v>
      </c>
      <c r="EE45" s="12">
        <v>3</v>
      </c>
      <c r="EF45" s="12">
        <v>0</v>
      </c>
      <c r="EG45" s="12">
        <v>3</v>
      </c>
      <c r="EH45" s="12">
        <v>6</v>
      </c>
      <c r="EI45" s="12">
        <v>3</v>
      </c>
      <c r="EJ45" s="12">
        <v>1</v>
      </c>
      <c r="EK45" s="12">
        <v>3</v>
      </c>
      <c r="EL45" s="12">
        <v>1</v>
      </c>
      <c r="EM45" s="12">
        <v>1</v>
      </c>
      <c r="EN45" s="12">
        <v>0</v>
      </c>
      <c r="EO45" s="12">
        <v>4</v>
      </c>
      <c r="EP45" s="12" t="str">
        <f t="shared" si="14"/>
        <v>🟢 Bien</v>
      </c>
      <c r="EQ45" s="23">
        <f t="shared" si="1"/>
        <v>5.875</v>
      </c>
      <c r="ER45" s="19">
        <f t="shared" si="2"/>
        <v>62437</v>
      </c>
      <c r="ES45" s="12">
        <f t="shared" si="3"/>
        <v>145</v>
      </c>
      <c r="ET45" s="23">
        <f t="shared" si="8"/>
        <v>61.5</v>
      </c>
      <c r="EU45" s="23">
        <f t="shared" si="9"/>
        <v>87</v>
      </c>
      <c r="EV45" s="23">
        <f t="shared" si="6"/>
        <v>28</v>
      </c>
      <c r="EW45" s="23">
        <f t="shared" si="15"/>
        <v>420</v>
      </c>
      <c r="EX45" s="12">
        <v>231</v>
      </c>
      <c r="EY45" s="19" cm="1">
        <f t="array" ref="EY45:FC45">VLOOKUP(_xlfn.SINGLE(B:B),'[1]Price List'!$B:$N,{8,4,5,6,7},0)</f>
        <v>387.5</v>
      </c>
      <c r="EZ45" s="9" t="str">
        <v>Tech21 EvoSparkle iPhone 17 Pro Max Lunar</v>
      </c>
      <c r="FA45" s="12" t="str">
        <v>Cases iPhone</v>
      </c>
      <c r="FB45" s="12" t="str">
        <v>iPhone 17</v>
      </c>
      <c r="FC45" s="12" t="str">
        <v>iPhone 17 Pro Max</v>
      </c>
      <c r="FD45" s="23" t="str">
        <f>_xlfn.XLOOKUP(B:B,'[1]Price List'!$B:$B,'[1]Price List'!$A:$A)</f>
        <v>Tech21</v>
      </c>
    </row>
    <row r="46" spans="1:160" s="9" customFormat="1" x14ac:dyDescent="0.2">
      <c r="A46" s="23" t="s">
        <v>599</v>
      </c>
      <c r="B46" s="23">
        <v>840168546732</v>
      </c>
      <c r="C46" s="9" t="s">
        <v>573</v>
      </c>
      <c r="D46" s="9" t="s">
        <v>644</v>
      </c>
      <c r="E46" s="9" t="s">
        <v>477</v>
      </c>
      <c r="F46" s="9" t="s">
        <v>477</v>
      </c>
      <c r="G46" s="9" t="s">
        <v>477</v>
      </c>
      <c r="H46" s="12" t="s">
        <v>494</v>
      </c>
      <c r="I46" s="12">
        <v>799</v>
      </c>
      <c r="J46" s="11">
        <v>309.95999999999998</v>
      </c>
      <c r="K46" s="62">
        <v>0</v>
      </c>
      <c r="L46" s="12">
        <v>0</v>
      </c>
      <c r="M46" s="13" t="s">
        <v>466</v>
      </c>
      <c r="N46" s="13" t="s">
        <v>655</v>
      </c>
      <c r="O46" s="27">
        <v>46631</v>
      </c>
      <c r="P46" s="12">
        <v>0</v>
      </c>
      <c r="Q46" s="12">
        <v>0</v>
      </c>
      <c r="R46" s="12">
        <v>0</v>
      </c>
      <c r="S46" s="12">
        <v>0</v>
      </c>
      <c r="T46" s="12">
        <v>0</v>
      </c>
      <c r="U46" s="12">
        <v>0</v>
      </c>
      <c r="V46" s="12">
        <v>0</v>
      </c>
      <c r="W46" s="12">
        <v>0</v>
      </c>
      <c r="X46" s="12">
        <v>0</v>
      </c>
      <c r="Y46" s="12">
        <v>0</v>
      </c>
      <c r="Z46" s="12">
        <v>0</v>
      </c>
      <c r="AA46" s="12">
        <v>0</v>
      </c>
      <c r="AB46" s="12">
        <v>0</v>
      </c>
      <c r="AC46" s="12">
        <v>0</v>
      </c>
      <c r="AD46" s="12">
        <v>0</v>
      </c>
      <c r="AE46" s="12">
        <v>0</v>
      </c>
      <c r="AF46" s="12">
        <v>0</v>
      </c>
      <c r="AG46" s="12">
        <v>0</v>
      </c>
      <c r="AH46" s="12">
        <v>0</v>
      </c>
      <c r="AI46" s="12">
        <v>0</v>
      </c>
      <c r="AJ46" s="12">
        <v>0</v>
      </c>
      <c r="AK46" s="12">
        <v>0</v>
      </c>
      <c r="AL46" s="12">
        <v>0</v>
      </c>
      <c r="AM46" s="12">
        <v>0</v>
      </c>
      <c r="AN46" s="12">
        <v>0</v>
      </c>
      <c r="AO46" s="12">
        <v>0</v>
      </c>
      <c r="AP46" s="12">
        <v>0</v>
      </c>
      <c r="AQ46" s="12">
        <v>0</v>
      </c>
      <c r="AR46" s="12">
        <v>0</v>
      </c>
      <c r="AS46" s="12">
        <v>0</v>
      </c>
      <c r="AT46" s="12">
        <v>0</v>
      </c>
      <c r="AU46" s="12">
        <v>0</v>
      </c>
      <c r="AV46" s="12">
        <v>0</v>
      </c>
      <c r="AW46" s="12">
        <v>0</v>
      </c>
      <c r="AX46" s="12">
        <v>0</v>
      </c>
      <c r="AY46" s="12">
        <v>0</v>
      </c>
      <c r="AZ46" s="12">
        <v>0</v>
      </c>
      <c r="BA46" s="12">
        <v>0</v>
      </c>
      <c r="BB46" s="12">
        <v>0</v>
      </c>
      <c r="BC46" s="12">
        <v>0</v>
      </c>
      <c r="BD46" s="12">
        <v>0</v>
      </c>
      <c r="BE46" s="12">
        <v>0</v>
      </c>
      <c r="BF46" s="12">
        <v>0</v>
      </c>
      <c r="BG46" s="12">
        <v>0</v>
      </c>
      <c r="BH46" s="12">
        <v>0</v>
      </c>
      <c r="BI46" s="12">
        <v>0</v>
      </c>
      <c r="BJ46" s="12">
        <v>0</v>
      </c>
      <c r="BK46" s="12">
        <v>0</v>
      </c>
      <c r="BL46" s="12">
        <v>0</v>
      </c>
      <c r="BM46" s="12">
        <v>0</v>
      </c>
      <c r="BN46" s="12">
        <v>0</v>
      </c>
      <c r="BO46" s="12">
        <v>0</v>
      </c>
      <c r="BP46" s="12">
        <v>0</v>
      </c>
      <c r="BQ46" s="12">
        <v>0</v>
      </c>
      <c r="BR46" s="12">
        <v>0</v>
      </c>
      <c r="BS46" s="12">
        <v>0</v>
      </c>
      <c r="BT46" s="12">
        <v>0</v>
      </c>
      <c r="BU46" s="12">
        <v>0</v>
      </c>
      <c r="BV46" s="12">
        <v>0</v>
      </c>
      <c r="BW46" s="12">
        <v>0</v>
      </c>
      <c r="BX46" s="12">
        <v>0</v>
      </c>
      <c r="BY46" s="12">
        <v>0</v>
      </c>
      <c r="BZ46" s="12">
        <v>0</v>
      </c>
      <c r="CA46" s="12">
        <v>0</v>
      </c>
      <c r="CB46" s="12">
        <v>0</v>
      </c>
      <c r="CC46" s="12">
        <v>0</v>
      </c>
      <c r="CD46" s="12">
        <v>0</v>
      </c>
      <c r="CE46" s="12">
        <v>0</v>
      </c>
      <c r="CF46" s="12">
        <v>0</v>
      </c>
      <c r="CG46" s="12">
        <v>0</v>
      </c>
      <c r="CH46" s="12">
        <v>0</v>
      </c>
      <c r="CI46" s="12">
        <v>0</v>
      </c>
      <c r="CJ46" s="12">
        <v>0</v>
      </c>
      <c r="CK46" s="12">
        <v>0</v>
      </c>
      <c r="CL46" s="12">
        <v>0</v>
      </c>
      <c r="CM46" s="12">
        <v>0</v>
      </c>
      <c r="CN46" s="12">
        <v>0</v>
      </c>
      <c r="CO46" s="12">
        <v>0</v>
      </c>
      <c r="CP46" s="12">
        <v>0</v>
      </c>
      <c r="CQ46" s="12">
        <v>0</v>
      </c>
      <c r="CR46" s="12">
        <v>0</v>
      </c>
      <c r="CS46" s="12">
        <v>0</v>
      </c>
      <c r="CT46" s="12">
        <v>0</v>
      </c>
      <c r="CU46" s="12">
        <v>0</v>
      </c>
      <c r="CV46" s="12">
        <v>0</v>
      </c>
      <c r="CW46" s="12">
        <v>0</v>
      </c>
      <c r="CX46" s="12">
        <v>0</v>
      </c>
      <c r="CY46" s="12">
        <v>0</v>
      </c>
      <c r="CZ46" s="12">
        <v>0</v>
      </c>
      <c r="DA46" s="12">
        <v>1</v>
      </c>
      <c r="DB46" s="12">
        <v>5</v>
      </c>
      <c r="DC46" s="12">
        <v>1</v>
      </c>
      <c r="DD46" s="12">
        <v>3</v>
      </c>
      <c r="DE46" s="12">
        <v>4</v>
      </c>
      <c r="DF46" s="12">
        <v>4</v>
      </c>
      <c r="DG46" s="12">
        <v>3</v>
      </c>
      <c r="DH46" s="12">
        <v>4</v>
      </c>
      <c r="DI46" s="12">
        <v>7</v>
      </c>
      <c r="DJ46" s="12">
        <v>5</v>
      </c>
      <c r="DK46" s="12">
        <v>6</v>
      </c>
      <c r="DL46" s="12">
        <v>4</v>
      </c>
      <c r="DM46" s="12">
        <v>5</v>
      </c>
      <c r="DN46" s="12">
        <v>6</v>
      </c>
      <c r="DO46" s="12">
        <v>12</v>
      </c>
      <c r="DP46" s="12">
        <v>4</v>
      </c>
      <c r="DQ46" s="12">
        <v>11</v>
      </c>
      <c r="DR46" s="12">
        <v>0</v>
      </c>
      <c r="DS46" s="12">
        <v>3</v>
      </c>
      <c r="DT46" s="12">
        <v>3</v>
      </c>
      <c r="DU46" s="12">
        <v>6</v>
      </c>
      <c r="DV46" s="12">
        <v>2</v>
      </c>
      <c r="DW46" s="12">
        <v>2</v>
      </c>
      <c r="DX46" s="12">
        <v>3</v>
      </c>
      <c r="DY46" s="12">
        <v>2</v>
      </c>
      <c r="DZ46" s="12">
        <v>3</v>
      </c>
      <c r="EA46" s="12">
        <v>0</v>
      </c>
      <c r="EB46" s="12">
        <v>3</v>
      </c>
      <c r="EC46" s="12">
        <v>0</v>
      </c>
      <c r="ED46" s="12">
        <v>4</v>
      </c>
      <c r="EE46" s="12">
        <v>3</v>
      </c>
      <c r="EF46" s="12">
        <v>5</v>
      </c>
      <c r="EG46" s="12">
        <v>2</v>
      </c>
      <c r="EH46" s="12">
        <v>6</v>
      </c>
      <c r="EI46" s="12">
        <v>1</v>
      </c>
      <c r="EJ46" s="12">
        <v>6</v>
      </c>
      <c r="EK46" s="12">
        <v>6</v>
      </c>
      <c r="EL46" s="12">
        <v>4</v>
      </c>
      <c r="EM46" s="12">
        <v>0</v>
      </c>
      <c r="EN46" s="12">
        <v>0</v>
      </c>
      <c r="EO46" s="12">
        <v>1</v>
      </c>
      <c r="EP46" s="12" t="str">
        <f t="shared" si="14"/>
        <v>🟢 Bien</v>
      </c>
      <c r="EQ46" s="23">
        <f t="shared" si="1"/>
        <v>3.2916666666666665</v>
      </c>
      <c r="ER46" s="19">
        <f t="shared" si="2"/>
        <v>24796.799999999999</v>
      </c>
      <c r="ES46" s="12">
        <f t="shared" si="3"/>
        <v>80</v>
      </c>
      <c r="ET46" s="23">
        <f t="shared" si="8"/>
        <v>10.5</v>
      </c>
      <c r="EU46" s="23">
        <f t="shared" si="9"/>
        <v>24.5</v>
      </c>
      <c r="EV46" s="23">
        <f t="shared" si="6"/>
        <v>12.44</v>
      </c>
      <c r="EW46" s="23">
        <f t="shared" si="15"/>
        <v>124</v>
      </c>
      <c r="EX46" s="12">
        <v>181</v>
      </c>
      <c r="EY46" s="19" cm="1">
        <f t="array" ref="EY46:FC46">VLOOKUP(_xlfn.SINGLE(B:B),'[1]Price List'!$B:$N,{8,4,5,6,7},0)</f>
        <v>309.95999999999998</v>
      </c>
      <c r="EZ46" s="9" t="str">
        <v>Speck Gemshell Grip + MS iPhone 17 Clear</v>
      </c>
      <c r="FA46" s="12" t="str">
        <v>Cases iPhone</v>
      </c>
      <c r="FB46" s="12" t="str">
        <v>iPhone 17</v>
      </c>
      <c r="FC46" s="12" t="str">
        <v>iPhone 17</v>
      </c>
      <c r="FD46" s="23" t="str">
        <f>_xlfn.XLOOKUP(B:B,'[1]Price List'!$B:$B,'[1]Price List'!$A:$A)</f>
        <v>Speck</v>
      </c>
    </row>
    <row r="47" spans="1:160" s="9" customFormat="1" x14ac:dyDescent="0.2">
      <c r="A47" s="23" t="s">
        <v>599</v>
      </c>
      <c r="B47" s="23">
        <v>840168546107</v>
      </c>
      <c r="C47" s="9" t="s">
        <v>575</v>
      </c>
      <c r="D47" s="9" t="s">
        <v>644</v>
      </c>
      <c r="E47" s="9" t="s">
        <v>477</v>
      </c>
      <c r="F47" s="9" t="s">
        <v>477</v>
      </c>
      <c r="G47" s="9" t="s">
        <v>477</v>
      </c>
      <c r="H47" s="12" t="s">
        <v>496</v>
      </c>
      <c r="I47" s="12">
        <v>999</v>
      </c>
      <c r="J47" s="11">
        <v>387.54</v>
      </c>
      <c r="K47" s="62">
        <v>0</v>
      </c>
      <c r="L47" s="12">
        <v>0</v>
      </c>
      <c r="M47" s="13" t="s">
        <v>466</v>
      </c>
      <c r="N47" s="13" t="s">
        <v>655</v>
      </c>
      <c r="O47" s="27">
        <v>46631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>
        <v>0</v>
      </c>
      <c r="V47" s="12">
        <v>0</v>
      </c>
      <c r="W47" s="12">
        <v>0</v>
      </c>
      <c r="X47" s="12">
        <v>0</v>
      </c>
      <c r="Y47" s="12">
        <v>0</v>
      </c>
      <c r="Z47" s="12">
        <v>0</v>
      </c>
      <c r="AA47" s="12">
        <v>0</v>
      </c>
      <c r="AB47" s="12">
        <v>0</v>
      </c>
      <c r="AC47" s="12">
        <v>0</v>
      </c>
      <c r="AD47" s="12">
        <v>0</v>
      </c>
      <c r="AE47" s="12">
        <v>0</v>
      </c>
      <c r="AF47" s="12">
        <v>0</v>
      </c>
      <c r="AG47" s="12">
        <v>0</v>
      </c>
      <c r="AH47" s="12">
        <v>0</v>
      </c>
      <c r="AI47" s="12">
        <v>0</v>
      </c>
      <c r="AJ47" s="12">
        <v>0</v>
      </c>
      <c r="AK47" s="12">
        <v>0</v>
      </c>
      <c r="AL47" s="12">
        <v>0</v>
      </c>
      <c r="AM47" s="12">
        <v>0</v>
      </c>
      <c r="AN47" s="12">
        <v>0</v>
      </c>
      <c r="AO47" s="12">
        <v>0</v>
      </c>
      <c r="AP47" s="12">
        <v>0</v>
      </c>
      <c r="AQ47" s="12">
        <v>0</v>
      </c>
      <c r="AR47" s="12">
        <v>0</v>
      </c>
      <c r="AS47" s="12">
        <v>0</v>
      </c>
      <c r="AT47" s="12">
        <v>0</v>
      </c>
      <c r="AU47" s="12">
        <v>0</v>
      </c>
      <c r="AV47" s="12">
        <v>0</v>
      </c>
      <c r="AW47" s="12">
        <v>0</v>
      </c>
      <c r="AX47" s="12">
        <v>0</v>
      </c>
      <c r="AY47" s="12">
        <v>0</v>
      </c>
      <c r="AZ47" s="12">
        <v>0</v>
      </c>
      <c r="BA47" s="12">
        <v>0</v>
      </c>
      <c r="BB47" s="12">
        <v>0</v>
      </c>
      <c r="BC47" s="12">
        <v>0</v>
      </c>
      <c r="BD47" s="12">
        <v>0</v>
      </c>
      <c r="BE47" s="12">
        <v>0</v>
      </c>
      <c r="BF47" s="12">
        <v>0</v>
      </c>
      <c r="BG47" s="12">
        <v>0</v>
      </c>
      <c r="BH47" s="12">
        <v>0</v>
      </c>
      <c r="BI47" s="12">
        <v>0</v>
      </c>
      <c r="BJ47" s="12">
        <v>0</v>
      </c>
      <c r="BK47" s="12">
        <v>0</v>
      </c>
      <c r="BL47" s="12">
        <v>0</v>
      </c>
      <c r="BM47" s="12">
        <v>0</v>
      </c>
      <c r="BN47" s="12">
        <v>0</v>
      </c>
      <c r="BO47" s="12">
        <v>0</v>
      </c>
      <c r="BP47" s="12">
        <v>0</v>
      </c>
      <c r="BQ47" s="12">
        <v>0</v>
      </c>
      <c r="BR47" s="12">
        <v>0</v>
      </c>
      <c r="BS47" s="12">
        <v>0</v>
      </c>
      <c r="BT47" s="12">
        <v>0</v>
      </c>
      <c r="BU47" s="12">
        <v>0</v>
      </c>
      <c r="BV47" s="12">
        <v>0</v>
      </c>
      <c r="BW47" s="12">
        <v>0</v>
      </c>
      <c r="BX47" s="12">
        <v>0</v>
      </c>
      <c r="BY47" s="12">
        <v>0</v>
      </c>
      <c r="BZ47" s="12">
        <v>0</v>
      </c>
      <c r="CA47" s="12">
        <v>0</v>
      </c>
      <c r="CB47" s="12">
        <v>0</v>
      </c>
      <c r="CC47" s="12">
        <v>0</v>
      </c>
      <c r="CD47" s="12">
        <v>0</v>
      </c>
      <c r="CE47" s="12">
        <v>0</v>
      </c>
      <c r="CF47" s="12">
        <v>0</v>
      </c>
      <c r="CG47" s="12">
        <v>0</v>
      </c>
      <c r="CH47" s="12">
        <v>0</v>
      </c>
      <c r="CI47" s="12">
        <v>0</v>
      </c>
      <c r="CJ47" s="12">
        <v>0</v>
      </c>
      <c r="CK47" s="12">
        <v>0</v>
      </c>
      <c r="CL47" s="12">
        <v>0</v>
      </c>
      <c r="CM47" s="12">
        <v>0</v>
      </c>
      <c r="CN47" s="12">
        <v>0</v>
      </c>
      <c r="CO47" s="12">
        <v>0</v>
      </c>
      <c r="CP47" s="12">
        <v>0</v>
      </c>
      <c r="CQ47" s="12">
        <v>0</v>
      </c>
      <c r="CR47" s="12">
        <v>0</v>
      </c>
      <c r="CS47" s="12">
        <v>0</v>
      </c>
      <c r="CT47" s="12">
        <v>0</v>
      </c>
      <c r="CU47" s="12">
        <v>0</v>
      </c>
      <c r="CV47" s="12">
        <v>0</v>
      </c>
      <c r="CW47" s="12">
        <v>0</v>
      </c>
      <c r="CX47" s="12">
        <v>0</v>
      </c>
      <c r="CY47" s="12">
        <v>0</v>
      </c>
      <c r="CZ47" s="12">
        <v>0</v>
      </c>
      <c r="DA47" s="12">
        <v>5</v>
      </c>
      <c r="DB47" s="12">
        <v>8</v>
      </c>
      <c r="DC47" s="12">
        <v>6</v>
      </c>
      <c r="DD47" s="12">
        <v>15</v>
      </c>
      <c r="DE47" s="12">
        <v>11</v>
      </c>
      <c r="DF47" s="12">
        <v>6</v>
      </c>
      <c r="DG47" s="12">
        <v>15</v>
      </c>
      <c r="DH47" s="12">
        <v>16</v>
      </c>
      <c r="DI47" s="12">
        <v>22</v>
      </c>
      <c r="DJ47" s="12">
        <v>14</v>
      </c>
      <c r="DK47" s="12">
        <v>9</v>
      </c>
      <c r="DL47" s="12">
        <v>15</v>
      </c>
      <c r="DM47" s="12">
        <v>11</v>
      </c>
      <c r="DN47" s="12">
        <v>20</v>
      </c>
      <c r="DO47" s="12">
        <v>15</v>
      </c>
      <c r="DP47" s="12">
        <v>8</v>
      </c>
      <c r="DQ47" s="12">
        <v>14</v>
      </c>
      <c r="DR47" s="12">
        <v>8</v>
      </c>
      <c r="DS47" s="12">
        <v>3</v>
      </c>
      <c r="DT47" s="12">
        <v>4</v>
      </c>
      <c r="DU47" s="12">
        <v>3</v>
      </c>
      <c r="DV47" s="12">
        <v>7</v>
      </c>
      <c r="DW47" s="12">
        <v>4</v>
      </c>
      <c r="DX47" s="12">
        <v>10</v>
      </c>
      <c r="DY47" s="12">
        <v>9</v>
      </c>
      <c r="DZ47" s="12">
        <v>4</v>
      </c>
      <c r="EA47" s="12">
        <v>6</v>
      </c>
      <c r="EB47" s="12">
        <v>6</v>
      </c>
      <c r="EC47" s="12">
        <v>9</v>
      </c>
      <c r="ED47" s="12">
        <v>10</v>
      </c>
      <c r="EE47" s="12">
        <v>6</v>
      </c>
      <c r="EF47" s="12">
        <v>2</v>
      </c>
      <c r="EG47" s="12">
        <v>14</v>
      </c>
      <c r="EH47" s="12">
        <v>7</v>
      </c>
      <c r="EI47" s="12">
        <v>9</v>
      </c>
      <c r="EJ47" s="12">
        <v>5</v>
      </c>
      <c r="EK47" s="12">
        <v>12</v>
      </c>
      <c r="EL47" s="12">
        <v>3</v>
      </c>
      <c r="EM47" s="12">
        <v>2</v>
      </c>
      <c r="EN47" s="12">
        <v>5</v>
      </c>
      <c r="EO47" s="12">
        <v>4</v>
      </c>
      <c r="EP47" s="12" t="str">
        <f t="shared" si="14"/>
        <v>🟢 Bien</v>
      </c>
      <c r="EQ47" s="23">
        <f t="shared" si="1"/>
        <v>6.875</v>
      </c>
      <c r="ER47" s="19">
        <f t="shared" si="2"/>
        <v>67431.960000000006</v>
      </c>
      <c r="ES47" s="12">
        <f t="shared" si="3"/>
        <v>174</v>
      </c>
      <c r="ET47" s="23">
        <f t="shared" si="8"/>
        <v>33</v>
      </c>
      <c r="EU47" s="23">
        <f t="shared" si="9"/>
        <v>61</v>
      </c>
      <c r="EV47" s="23">
        <f t="shared" si="6"/>
        <v>28.22</v>
      </c>
      <c r="EW47" s="23">
        <f t="shared" si="15"/>
        <v>301</v>
      </c>
      <c r="EX47" s="12">
        <v>168</v>
      </c>
      <c r="EY47" s="19" cm="1">
        <f t="array" ref="EY47:FC47">VLOOKUP(_xlfn.SINGLE(B:B),'[1]Price List'!$B:$N,{8,4,5,6,7},0)</f>
        <v>387.54</v>
      </c>
      <c r="EZ47" s="9" t="str">
        <v>Speck Presidio Perfect-Clear + MS iPhone 17 Clear</v>
      </c>
      <c r="FA47" s="12" t="str">
        <v>Cases iPhone</v>
      </c>
      <c r="FB47" s="12" t="str">
        <v>iPhone 17</v>
      </c>
      <c r="FC47" s="12" t="str">
        <v>iPhone 17</v>
      </c>
      <c r="FD47" s="23" t="str">
        <f>_xlfn.XLOOKUP(B:B,'[1]Price List'!$B:$B,'[1]Price List'!$A:$A)</f>
        <v>Speck</v>
      </c>
    </row>
    <row r="48" spans="1:160" s="9" customFormat="1" x14ac:dyDescent="0.2">
      <c r="A48" s="23" t="s">
        <v>599</v>
      </c>
      <c r="B48" s="23">
        <v>840168546381</v>
      </c>
      <c r="C48" s="9" t="s">
        <v>576</v>
      </c>
      <c r="D48" s="9" t="s">
        <v>644</v>
      </c>
      <c r="E48" s="9" t="s">
        <v>477</v>
      </c>
      <c r="F48" s="9" t="s">
        <v>478</v>
      </c>
      <c r="G48" s="9" t="s">
        <v>478</v>
      </c>
      <c r="H48" s="12" t="s">
        <v>497</v>
      </c>
      <c r="I48" s="12">
        <v>999</v>
      </c>
      <c r="J48" s="11">
        <v>387.54</v>
      </c>
      <c r="K48" s="62">
        <v>0</v>
      </c>
      <c r="L48" s="12">
        <v>0</v>
      </c>
      <c r="M48" s="13" t="s">
        <v>466</v>
      </c>
      <c r="N48" s="13" t="s">
        <v>383</v>
      </c>
      <c r="O48" s="27">
        <v>46631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  <c r="X48" s="12">
        <v>0</v>
      </c>
      <c r="Y48" s="12">
        <v>0</v>
      </c>
      <c r="Z48" s="12">
        <v>0</v>
      </c>
      <c r="AA48" s="12">
        <v>0</v>
      </c>
      <c r="AB48" s="12">
        <v>0</v>
      </c>
      <c r="AC48" s="12">
        <v>0</v>
      </c>
      <c r="AD48" s="12">
        <v>0</v>
      </c>
      <c r="AE48" s="12">
        <v>0</v>
      </c>
      <c r="AF48" s="12">
        <v>0</v>
      </c>
      <c r="AG48" s="12">
        <v>0</v>
      </c>
      <c r="AH48" s="12">
        <v>0</v>
      </c>
      <c r="AI48" s="12">
        <v>0</v>
      </c>
      <c r="AJ48" s="12">
        <v>0</v>
      </c>
      <c r="AK48" s="12">
        <v>0</v>
      </c>
      <c r="AL48" s="12">
        <v>0</v>
      </c>
      <c r="AM48" s="12">
        <v>0</v>
      </c>
      <c r="AN48" s="12">
        <v>0</v>
      </c>
      <c r="AO48" s="12">
        <v>0</v>
      </c>
      <c r="AP48" s="12">
        <v>0</v>
      </c>
      <c r="AQ48" s="12">
        <v>0</v>
      </c>
      <c r="AR48" s="12">
        <v>0</v>
      </c>
      <c r="AS48" s="12">
        <v>0</v>
      </c>
      <c r="AT48" s="12">
        <v>0</v>
      </c>
      <c r="AU48" s="12">
        <v>0</v>
      </c>
      <c r="AV48" s="12">
        <v>0</v>
      </c>
      <c r="AW48" s="12">
        <v>0</v>
      </c>
      <c r="AX48" s="12">
        <v>0</v>
      </c>
      <c r="AY48" s="12">
        <v>0</v>
      </c>
      <c r="AZ48" s="12">
        <v>0</v>
      </c>
      <c r="BA48" s="12">
        <v>0</v>
      </c>
      <c r="BB48" s="12">
        <v>0</v>
      </c>
      <c r="BC48" s="12">
        <v>0</v>
      </c>
      <c r="BD48" s="12">
        <v>0</v>
      </c>
      <c r="BE48" s="12">
        <v>0</v>
      </c>
      <c r="BF48" s="12">
        <v>0</v>
      </c>
      <c r="BG48" s="12">
        <v>0</v>
      </c>
      <c r="BH48" s="12">
        <v>0</v>
      </c>
      <c r="BI48" s="12">
        <v>0</v>
      </c>
      <c r="BJ48" s="12">
        <v>0</v>
      </c>
      <c r="BK48" s="12">
        <v>0</v>
      </c>
      <c r="BL48" s="12">
        <v>0</v>
      </c>
      <c r="BM48" s="12">
        <v>0</v>
      </c>
      <c r="BN48" s="12">
        <v>0</v>
      </c>
      <c r="BO48" s="12">
        <v>0</v>
      </c>
      <c r="BP48" s="12">
        <v>0</v>
      </c>
      <c r="BQ48" s="12">
        <v>0</v>
      </c>
      <c r="BR48" s="12">
        <v>0</v>
      </c>
      <c r="BS48" s="12">
        <v>0</v>
      </c>
      <c r="BT48" s="12">
        <v>0</v>
      </c>
      <c r="BU48" s="12">
        <v>0</v>
      </c>
      <c r="BV48" s="12">
        <v>0</v>
      </c>
      <c r="BW48" s="12">
        <v>0</v>
      </c>
      <c r="BX48" s="12">
        <v>0</v>
      </c>
      <c r="BY48" s="12">
        <v>0</v>
      </c>
      <c r="BZ48" s="12">
        <v>0</v>
      </c>
      <c r="CA48" s="12">
        <v>0</v>
      </c>
      <c r="CB48" s="12">
        <v>0</v>
      </c>
      <c r="CC48" s="12">
        <v>0</v>
      </c>
      <c r="CD48" s="12">
        <v>0</v>
      </c>
      <c r="CE48" s="12">
        <v>0</v>
      </c>
      <c r="CF48" s="12">
        <v>0</v>
      </c>
      <c r="CG48" s="12">
        <v>0</v>
      </c>
      <c r="CH48" s="12">
        <v>0</v>
      </c>
      <c r="CI48" s="12">
        <v>0</v>
      </c>
      <c r="CJ48" s="12">
        <v>0</v>
      </c>
      <c r="CK48" s="12">
        <v>0</v>
      </c>
      <c r="CL48" s="12">
        <v>0</v>
      </c>
      <c r="CM48" s="12">
        <v>0</v>
      </c>
      <c r="CN48" s="12">
        <v>0</v>
      </c>
      <c r="CO48" s="12">
        <v>0</v>
      </c>
      <c r="CP48" s="12">
        <v>0</v>
      </c>
      <c r="CQ48" s="12">
        <v>0</v>
      </c>
      <c r="CR48" s="12">
        <v>0</v>
      </c>
      <c r="CS48" s="12">
        <v>0</v>
      </c>
      <c r="CT48" s="12">
        <v>0</v>
      </c>
      <c r="CU48" s="12">
        <v>0</v>
      </c>
      <c r="CV48" s="12">
        <v>0</v>
      </c>
      <c r="CW48" s="12">
        <v>0</v>
      </c>
      <c r="CX48" s="12">
        <v>0</v>
      </c>
      <c r="CY48" s="12">
        <v>0</v>
      </c>
      <c r="CZ48" s="12">
        <v>0</v>
      </c>
      <c r="DA48" s="12">
        <v>96</v>
      </c>
      <c r="DB48" s="12">
        <v>39</v>
      </c>
      <c r="DC48" s="12">
        <v>17</v>
      </c>
      <c r="DD48" s="12">
        <v>35</v>
      </c>
      <c r="DE48" s="12">
        <v>30</v>
      </c>
      <c r="DF48" s="12">
        <v>37</v>
      </c>
      <c r="DG48" s="12">
        <v>22</v>
      </c>
      <c r="DH48" s="12">
        <v>29</v>
      </c>
      <c r="DI48" s="12">
        <v>61</v>
      </c>
      <c r="DJ48" s="12">
        <v>37</v>
      </c>
      <c r="DK48" s="12">
        <v>21</v>
      </c>
      <c r="DL48" s="12">
        <v>32</v>
      </c>
      <c r="DM48" s="12">
        <v>27</v>
      </c>
      <c r="DN48" s="12">
        <v>40</v>
      </c>
      <c r="DO48" s="12">
        <v>43</v>
      </c>
      <c r="DP48" s="12">
        <v>17</v>
      </c>
      <c r="DQ48" s="12">
        <v>11</v>
      </c>
      <c r="DR48" s="12">
        <v>12</v>
      </c>
      <c r="DS48" s="12">
        <v>17</v>
      </c>
      <c r="DT48" s="12">
        <v>14</v>
      </c>
      <c r="DU48" s="12">
        <v>15</v>
      </c>
      <c r="DV48" s="12">
        <v>15</v>
      </c>
      <c r="DW48" s="12">
        <v>7</v>
      </c>
      <c r="DX48" s="12">
        <v>16</v>
      </c>
      <c r="DY48" s="12">
        <v>16</v>
      </c>
      <c r="DZ48" s="12">
        <v>4</v>
      </c>
      <c r="EA48" s="12">
        <v>8</v>
      </c>
      <c r="EB48" s="12">
        <v>10</v>
      </c>
      <c r="EC48" s="12">
        <v>5</v>
      </c>
      <c r="ED48" s="12">
        <v>10</v>
      </c>
      <c r="EE48" s="12">
        <v>5</v>
      </c>
      <c r="EF48" s="12">
        <v>7</v>
      </c>
      <c r="EG48" s="12">
        <v>12</v>
      </c>
      <c r="EH48" s="12">
        <v>9</v>
      </c>
      <c r="EI48" s="12">
        <v>11</v>
      </c>
      <c r="EJ48" s="12">
        <v>1</v>
      </c>
      <c r="EK48" s="12">
        <v>12</v>
      </c>
      <c r="EL48" s="12">
        <v>8</v>
      </c>
      <c r="EM48" s="12">
        <v>10</v>
      </c>
      <c r="EN48" s="12">
        <v>5</v>
      </c>
      <c r="EO48" s="12">
        <v>8</v>
      </c>
      <c r="EP48" s="12" t="str">
        <f t="shared" si="14"/>
        <v>🟢 Bien</v>
      </c>
      <c r="EQ48" s="23">
        <f t="shared" si="1"/>
        <v>10.5</v>
      </c>
      <c r="ER48" s="19">
        <f t="shared" si="2"/>
        <v>102698.1</v>
      </c>
      <c r="ES48" s="12">
        <f t="shared" si="3"/>
        <v>265</v>
      </c>
      <c r="ET48" s="23">
        <f t="shared" si="8"/>
        <v>138</v>
      </c>
      <c r="EU48" s="23">
        <f t="shared" si="9"/>
        <v>145</v>
      </c>
      <c r="EV48" s="23">
        <f t="shared" si="6"/>
        <v>44.67</v>
      </c>
      <c r="EW48" s="23">
        <f t="shared" si="15"/>
        <v>755</v>
      </c>
      <c r="EX48" s="12">
        <v>249</v>
      </c>
      <c r="EY48" s="19" cm="1">
        <f t="array" ref="EY48:FC48">VLOOKUP(_xlfn.SINGLE(B:B),'[1]Price List'!$B:$N,{8,4,5,6,7},0)</f>
        <v>387.54</v>
      </c>
      <c r="EZ48" s="9" t="str">
        <v>Speck Presidio Perfect-Clear + MS iPhone 17 Pro Clear</v>
      </c>
      <c r="FA48" s="12" t="str">
        <v>Cases iPhone</v>
      </c>
      <c r="FB48" s="12" t="str">
        <v>iPhone 17</v>
      </c>
      <c r="FC48" s="12" t="str">
        <v>iPhone 17 Pro</v>
      </c>
      <c r="FD48" s="23" t="str">
        <f>_xlfn.XLOOKUP(B:B,'[1]Price List'!$B:$B,'[1]Price List'!$A:$A)</f>
        <v>Speck</v>
      </c>
    </row>
    <row r="49" spans="1:160" s="9" customFormat="1" x14ac:dyDescent="0.2">
      <c r="A49" s="23" t="s">
        <v>599</v>
      </c>
      <c r="B49" s="23">
        <v>840168546527</v>
      </c>
      <c r="C49" s="9" t="s">
        <v>577</v>
      </c>
      <c r="D49" s="9" t="s">
        <v>644</v>
      </c>
      <c r="E49" s="9" t="s">
        <v>477</v>
      </c>
      <c r="F49" s="9" t="s">
        <v>479</v>
      </c>
      <c r="G49" s="9" t="s">
        <v>479</v>
      </c>
      <c r="H49" s="12" t="s">
        <v>498</v>
      </c>
      <c r="I49" s="12">
        <v>999</v>
      </c>
      <c r="J49" s="11">
        <v>387.54</v>
      </c>
      <c r="K49" s="62">
        <v>0</v>
      </c>
      <c r="L49" s="12">
        <v>0</v>
      </c>
      <c r="M49" s="13" t="s">
        <v>466</v>
      </c>
      <c r="N49" s="13" t="s">
        <v>383</v>
      </c>
      <c r="O49" s="27">
        <v>46631</v>
      </c>
      <c r="P49" s="12">
        <v>0</v>
      </c>
      <c r="Q49" s="12">
        <v>0</v>
      </c>
      <c r="R49" s="12">
        <v>0</v>
      </c>
      <c r="S49" s="12">
        <v>0</v>
      </c>
      <c r="T49" s="12">
        <v>0</v>
      </c>
      <c r="U49" s="12">
        <v>0</v>
      </c>
      <c r="V49" s="12">
        <v>0</v>
      </c>
      <c r="W49" s="12">
        <v>0</v>
      </c>
      <c r="X49" s="12">
        <v>0</v>
      </c>
      <c r="Y49" s="12">
        <v>0</v>
      </c>
      <c r="Z49" s="12">
        <v>0</v>
      </c>
      <c r="AA49" s="12">
        <v>0</v>
      </c>
      <c r="AB49" s="12">
        <v>0</v>
      </c>
      <c r="AC49" s="12">
        <v>0</v>
      </c>
      <c r="AD49" s="12">
        <v>0</v>
      </c>
      <c r="AE49" s="12">
        <v>0</v>
      </c>
      <c r="AF49" s="12">
        <v>0</v>
      </c>
      <c r="AG49" s="12">
        <v>0</v>
      </c>
      <c r="AH49" s="12">
        <v>0</v>
      </c>
      <c r="AI49" s="12">
        <v>0</v>
      </c>
      <c r="AJ49" s="12">
        <v>0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2">
        <v>0</v>
      </c>
      <c r="AW49" s="12">
        <v>0</v>
      </c>
      <c r="AX49" s="12">
        <v>0</v>
      </c>
      <c r="AY49" s="12">
        <v>0</v>
      </c>
      <c r="AZ49" s="12">
        <v>0</v>
      </c>
      <c r="BA49" s="12">
        <v>0</v>
      </c>
      <c r="BB49" s="12">
        <v>0</v>
      </c>
      <c r="BC49" s="12">
        <v>0</v>
      </c>
      <c r="BD49" s="12">
        <v>0</v>
      </c>
      <c r="BE49" s="12">
        <v>0</v>
      </c>
      <c r="BF49" s="12">
        <v>0</v>
      </c>
      <c r="BG49" s="12">
        <v>0</v>
      </c>
      <c r="BH49" s="12">
        <v>0</v>
      </c>
      <c r="BI49" s="12">
        <v>0</v>
      </c>
      <c r="BJ49" s="12">
        <v>0</v>
      </c>
      <c r="BK49" s="12">
        <v>0</v>
      </c>
      <c r="BL49" s="12">
        <v>0</v>
      </c>
      <c r="BM49" s="12">
        <v>0</v>
      </c>
      <c r="BN49" s="12">
        <v>0</v>
      </c>
      <c r="BO49" s="12">
        <v>0</v>
      </c>
      <c r="BP49" s="12">
        <v>0</v>
      </c>
      <c r="BQ49" s="12">
        <v>0</v>
      </c>
      <c r="BR49" s="12">
        <v>0</v>
      </c>
      <c r="BS49" s="12">
        <v>0</v>
      </c>
      <c r="BT49" s="12">
        <v>0</v>
      </c>
      <c r="BU49" s="12">
        <v>0</v>
      </c>
      <c r="BV49" s="12">
        <v>0</v>
      </c>
      <c r="BW49" s="12">
        <v>0</v>
      </c>
      <c r="BX49" s="12">
        <v>0</v>
      </c>
      <c r="BY49" s="12">
        <v>0</v>
      </c>
      <c r="BZ49" s="12">
        <v>0</v>
      </c>
      <c r="CA49" s="12">
        <v>0</v>
      </c>
      <c r="CB49" s="12">
        <v>0</v>
      </c>
      <c r="CC49" s="12">
        <v>0</v>
      </c>
      <c r="CD49" s="12">
        <v>0</v>
      </c>
      <c r="CE49" s="12">
        <v>0</v>
      </c>
      <c r="CF49" s="12">
        <v>0</v>
      </c>
      <c r="CG49" s="12">
        <v>0</v>
      </c>
      <c r="CH49" s="12">
        <v>0</v>
      </c>
      <c r="CI49" s="12">
        <v>0</v>
      </c>
      <c r="CJ49" s="12">
        <v>0</v>
      </c>
      <c r="CK49" s="12">
        <v>0</v>
      </c>
      <c r="CL49" s="12">
        <v>0</v>
      </c>
      <c r="CM49" s="12">
        <v>0</v>
      </c>
      <c r="CN49" s="12">
        <v>0</v>
      </c>
      <c r="CO49" s="12">
        <v>0</v>
      </c>
      <c r="CP49" s="12">
        <v>0</v>
      </c>
      <c r="CQ49" s="12">
        <v>0</v>
      </c>
      <c r="CR49" s="12">
        <v>0</v>
      </c>
      <c r="CS49" s="12">
        <v>0</v>
      </c>
      <c r="CT49" s="12">
        <v>0</v>
      </c>
      <c r="CU49" s="12">
        <v>0</v>
      </c>
      <c r="CV49" s="12">
        <v>0</v>
      </c>
      <c r="CW49" s="12">
        <v>0</v>
      </c>
      <c r="CX49" s="12">
        <v>0</v>
      </c>
      <c r="CY49" s="12">
        <v>0</v>
      </c>
      <c r="CZ49" s="12">
        <v>0</v>
      </c>
      <c r="DA49" s="12">
        <v>67</v>
      </c>
      <c r="DB49" s="12">
        <v>107</v>
      </c>
      <c r="DC49" s="12">
        <v>29</v>
      </c>
      <c r="DD49" s="12">
        <v>63</v>
      </c>
      <c r="DE49" s="12">
        <v>85</v>
      </c>
      <c r="DF49" s="12">
        <v>131</v>
      </c>
      <c r="DG49" s="12">
        <v>33</v>
      </c>
      <c r="DH49" s="12">
        <v>106</v>
      </c>
      <c r="DI49" s="12">
        <v>184</v>
      </c>
      <c r="DJ49" s="12">
        <v>142</v>
      </c>
      <c r="DK49" s="12">
        <v>52</v>
      </c>
      <c r="DL49" s="12">
        <v>119</v>
      </c>
      <c r="DM49" s="12">
        <v>202</v>
      </c>
      <c r="DN49" s="12">
        <v>165</v>
      </c>
      <c r="DO49" s="12">
        <v>73</v>
      </c>
      <c r="DP49" s="12">
        <v>54</v>
      </c>
      <c r="DQ49" s="12">
        <v>27</v>
      </c>
      <c r="DR49" s="12">
        <v>9</v>
      </c>
      <c r="DS49" s="12">
        <v>15</v>
      </c>
      <c r="DT49" s="12">
        <v>30</v>
      </c>
      <c r="DU49" s="12">
        <v>13</v>
      </c>
      <c r="DV49" s="12">
        <v>3</v>
      </c>
      <c r="DW49" s="12">
        <v>57</v>
      </c>
      <c r="DX49" s="12">
        <v>62</v>
      </c>
      <c r="DY49" s="12">
        <v>55</v>
      </c>
      <c r="DZ49" s="12">
        <v>39</v>
      </c>
      <c r="EA49" s="12">
        <v>54</v>
      </c>
      <c r="EB49" s="12">
        <v>30</v>
      </c>
      <c r="EC49" s="12">
        <v>42</v>
      </c>
      <c r="ED49" s="12">
        <v>34</v>
      </c>
      <c r="EE49" s="12">
        <v>17</v>
      </c>
      <c r="EF49" s="12">
        <v>15</v>
      </c>
      <c r="EG49" s="12">
        <v>25</v>
      </c>
      <c r="EH49" s="12">
        <v>33</v>
      </c>
      <c r="EI49" s="12">
        <v>45</v>
      </c>
      <c r="EJ49" s="12">
        <v>18</v>
      </c>
      <c r="EK49" s="12">
        <v>24</v>
      </c>
      <c r="EL49" s="12">
        <v>28</v>
      </c>
      <c r="EM49" s="12">
        <v>25</v>
      </c>
      <c r="EN49" s="12">
        <v>14</v>
      </c>
      <c r="EO49" s="12">
        <v>17</v>
      </c>
      <c r="EP49" s="12" t="str">
        <f t="shared" si="14"/>
        <v>🟢 Bien</v>
      </c>
      <c r="EQ49" s="23">
        <f t="shared" si="1"/>
        <v>31.416666666666668</v>
      </c>
      <c r="ER49" s="19">
        <f t="shared" si="2"/>
        <v>304218.90000000002</v>
      </c>
      <c r="ES49" s="12">
        <f t="shared" si="3"/>
        <v>785</v>
      </c>
      <c r="ET49" s="23">
        <f t="shared" si="8"/>
        <v>257.5</v>
      </c>
      <c r="EU49" s="23">
        <f t="shared" si="9"/>
        <v>521.5</v>
      </c>
      <c r="EV49" s="23">
        <f t="shared" si="6"/>
        <v>129.11000000000001</v>
      </c>
      <c r="EW49" s="23">
        <f t="shared" si="15"/>
        <v>2114</v>
      </c>
      <c r="EX49" s="12">
        <v>307</v>
      </c>
      <c r="EY49" s="19" cm="1">
        <f t="array" ref="EY49:FC49">VLOOKUP(_xlfn.SINGLE(B:B),'[1]Price List'!$B:$N,{8,4,5,6,7},0)</f>
        <v>387.54</v>
      </c>
      <c r="EZ49" s="9" t="str">
        <v>Speck Presidio Perfect-Clear  iPhone 17 Pro Max Clear</v>
      </c>
      <c r="FA49" s="12" t="str">
        <v>Cases iPhone</v>
      </c>
      <c r="FB49" s="12" t="str">
        <v>iPhone 17</v>
      </c>
      <c r="FC49" s="12" t="str">
        <v>iPhone 17 Pro Max</v>
      </c>
      <c r="FD49" s="23" t="str">
        <f>_xlfn.XLOOKUP(B:B,'[1]Price List'!$B:$B,'[1]Price List'!$A:$A)</f>
        <v>Speck</v>
      </c>
    </row>
    <row r="50" spans="1:160" s="9" customFormat="1" x14ac:dyDescent="0.2">
      <c r="A50" s="23" t="s">
        <v>599</v>
      </c>
      <c r="B50" s="23">
        <v>840168546145</v>
      </c>
      <c r="C50" s="9" t="s">
        <v>578</v>
      </c>
      <c r="D50" s="9" t="s">
        <v>644</v>
      </c>
      <c r="E50" s="9" t="s">
        <v>477</v>
      </c>
      <c r="F50" s="9" t="s">
        <v>477</v>
      </c>
      <c r="G50" s="9" t="s">
        <v>477</v>
      </c>
      <c r="H50" s="12" t="s">
        <v>499</v>
      </c>
      <c r="I50" s="12">
        <v>999</v>
      </c>
      <c r="J50" s="11">
        <v>387.54</v>
      </c>
      <c r="K50" s="62">
        <v>0</v>
      </c>
      <c r="L50" s="12">
        <v>0</v>
      </c>
      <c r="M50" s="13" t="s">
        <v>466</v>
      </c>
      <c r="N50" s="13" t="s">
        <v>655</v>
      </c>
      <c r="O50" s="27">
        <v>46631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  <c r="AG50" s="12">
        <v>0</v>
      </c>
      <c r="AH50" s="12">
        <v>0</v>
      </c>
      <c r="AI50" s="12">
        <v>0</v>
      </c>
      <c r="AJ50" s="12">
        <v>0</v>
      </c>
      <c r="AK50" s="12">
        <v>0</v>
      </c>
      <c r="AL50" s="12">
        <v>0</v>
      </c>
      <c r="AM50" s="12">
        <v>0</v>
      </c>
      <c r="AN50" s="12">
        <v>0</v>
      </c>
      <c r="AO50" s="12">
        <v>0</v>
      </c>
      <c r="AP50" s="12">
        <v>0</v>
      </c>
      <c r="AQ50" s="12">
        <v>0</v>
      </c>
      <c r="AR50" s="12">
        <v>0</v>
      </c>
      <c r="AS50" s="12">
        <v>0</v>
      </c>
      <c r="AT50" s="12">
        <v>0</v>
      </c>
      <c r="AU50" s="12">
        <v>0</v>
      </c>
      <c r="AV50" s="12">
        <v>0</v>
      </c>
      <c r="AW50" s="12">
        <v>0</v>
      </c>
      <c r="AX50" s="12">
        <v>0</v>
      </c>
      <c r="AY50" s="12">
        <v>0</v>
      </c>
      <c r="AZ50" s="12">
        <v>0</v>
      </c>
      <c r="BA50" s="12">
        <v>0</v>
      </c>
      <c r="BB50" s="12">
        <v>0</v>
      </c>
      <c r="BC50" s="12">
        <v>0</v>
      </c>
      <c r="BD50" s="12">
        <v>0</v>
      </c>
      <c r="BE50" s="12">
        <v>0</v>
      </c>
      <c r="BF50" s="12">
        <v>0</v>
      </c>
      <c r="BG50" s="12">
        <v>0</v>
      </c>
      <c r="BH50" s="12">
        <v>0</v>
      </c>
      <c r="BI50" s="12">
        <v>0</v>
      </c>
      <c r="BJ50" s="12">
        <v>0</v>
      </c>
      <c r="BK50" s="12">
        <v>0</v>
      </c>
      <c r="BL50" s="12">
        <v>0</v>
      </c>
      <c r="BM50" s="12">
        <v>0</v>
      </c>
      <c r="BN50" s="12">
        <v>0</v>
      </c>
      <c r="BO50" s="12">
        <v>0</v>
      </c>
      <c r="BP50" s="12">
        <v>0</v>
      </c>
      <c r="BQ50" s="12">
        <v>0</v>
      </c>
      <c r="BR50" s="12">
        <v>0</v>
      </c>
      <c r="BS50" s="12">
        <v>0</v>
      </c>
      <c r="BT50" s="12">
        <v>0</v>
      </c>
      <c r="BU50" s="12">
        <v>0</v>
      </c>
      <c r="BV50" s="12">
        <v>0</v>
      </c>
      <c r="BW50" s="12">
        <v>0</v>
      </c>
      <c r="BX50" s="12">
        <v>0</v>
      </c>
      <c r="BY50" s="12">
        <v>0</v>
      </c>
      <c r="BZ50" s="12">
        <v>0</v>
      </c>
      <c r="CA50" s="12">
        <v>0</v>
      </c>
      <c r="CB50" s="12">
        <v>0</v>
      </c>
      <c r="CC50" s="12">
        <v>0</v>
      </c>
      <c r="CD50" s="12">
        <v>0</v>
      </c>
      <c r="CE50" s="12">
        <v>0</v>
      </c>
      <c r="CF50" s="12">
        <v>0</v>
      </c>
      <c r="CG50" s="12">
        <v>0</v>
      </c>
      <c r="CH50" s="12">
        <v>0</v>
      </c>
      <c r="CI50" s="12">
        <v>0</v>
      </c>
      <c r="CJ50" s="12">
        <v>0</v>
      </c>
      <c r="CK50" s="12">
        <v>0</v>
      </c>
      <c r="CL50" s="12">
        <v>0</v>
      </c>
      <c r="CM50" s="12">
        <v>0</v>
      </c>
      <c r="CN50" s="12">
        <v>0</v>
      </c>
      <c r="CO50" s="12">
        <v>0</v>
      </c>
      <c r="CP50" s="12">
        <v>0</v>
      </c>
      <c r="CQ50" s="12">
        <v>0</v>
      </c>
      <c r="CR50" s="12">
        <v>0</v>
      </c>
      <c r="CS50" s="12">
        <v>0</v>
      </c>
      <c r="CT50" s="12">
        <v>0</v>
      </c>
      <c r="CU50" s="12">
        <v>0</v>
      </c>
      <c r="CV50" s="12">
        <v>0</v>
      </c>
      <c r="CW50" s="12">
        <v>0</v>
      </c>
      <c r="CX50" s="12">
        <v>0</v>
      </c>
      <c r="CY50" s="12">
        <v>0</v>
      </c>
      <c r="CZ50" s="12">
        <v>0</v>
      </c>
      <c r="DA50" s="12">
        <v>3</v>
      </c>
      <c r="DB50" s="12">
        <v>8</v>
      </c>
      <c r="DC50" s="12">
        <v>3</v>
      </c>
      <c r="DD50" s="12">
        <v>2</v>
      </c>
      <c r="DE50" s="12">
        <v>5</v>
      </c>
      <c r="DF50" s="12">
        <v>6</v>
      </c>
      <c r="DG50" s="12">
        <v>4</v>
      </c>
      <c r="DH50" s="12">
        <v>3</v>
      </c>
      <c r="DI50" s="12">
        <v>9</v>
      </c>
      <c r="DJ50" s="12">
        <v>4</v>
      </c>
      <c r="DK50" s="12">
        <v>4</v>
      </c>
      <c r="DL50" s="12">
        <v>3</v>
      </c>
      <c r="DM50" s="12">
        <v>4</v>
      </c>
      <c r="DN50" s="12">
        <v>8</v>
      </c>
      <c r="DO50" s="12">
        <v>7</v>
      </c>
      <c r="DP50" s="12">
        <v>1</v>
      </c>
      <c r="DQ50" s="12">
        <v>9</v>
      </c>
      <c r="DR50" s="12">
        <v>3</v>
      </c>
      <c r="DS50" s="12">
        <v>3</v>
      </c>
      <c r="DT50" s="12">
        <v>5</v>
      </c>
      <c r="DU50" s="12">
        <v>4</v>
      </c>
      <c r="DV50" s="12">
        <v>4</v>
      </c>
      <c r="DW50" s="12">
        <v>1</v>
      </c>
      <c r="DX50" s="12">
        <v>1</v>
      </c>
      <c r="DY50" s="12">
        <v>4</v>
      </c>
      <c r="DZ50" s="12">
        <v>2</v>
      </c>
      <c r="EA50" s="12">
        <v>2</v>
      </c>
      <c r="EB50" s="12">
        <v>5</v>
      </c>
      <c r="EC50" s="12">
        <v>1</v>
      </c>
      <c r="ED50" s="12">
        <v>7</v>
      </c>
      <c r="EE50" s="12">
        <v>3</v>
      </c>
      <c r="EF50" s="12">
        <v>2</v>
      </c>
      <c r="EG50" s="12">
        <v>5</v>
      </c>
      <c r="EH50" s="12">
        <v>4</v>
      </c>
      <c r="EI50" s="12">
        <v>7</v>
      </c>
      <c r="EJ50" s="12">
        <v>1</v>
      </c>
      <c r="EK50" s="12">
        <v>3</v>
      </c>
      <c r="EL50" s="12">
        <v>6</v>
      </c>
      <c r="EM50" s="12">
        <v>2</v>
      </c>
      <c r="EN50" s="12">
        <v>5</v>
      </c>
      <c r="EO50" s="12">
        <v>0</v>
      </c>
      <c r="EP50" s="12" t="str">
        <f t="shared" si="14"/>
        <v>🟢 Bien</v>
      </c>
      <c r="EQ50" s="23">
        <f t="shared" si="1"/>
        <v>3.5416666666666665</v>
      </c>
      <c r="ER50" s="19">
        <f t="shared" si="2"/>
        <v>34878.6</v>
      </c>
      <c r="ES50" s="12">
        <f t="shared" si="3"/>
        <v>90</v>
      </c>
      <c r="ET50" s="23">
        <f t="shared" si="8"/>
        <v>15.5</v>
      </c>
      <c r="EU50" s="23">
        <f t="shared" si="9"/>
        <v>21</v>
      </c>
      <c r="EV50" s="23">
        <f t="shared" si="6"/>
        <v>13.78</v>
      </c>
      <c r="EW50" s="23">
        <f t="shared" si="15"/>
        <v>130</v>
      </c>
      <c r="EX50" s="12">
        <v>180</v>
      </c>
      <c r="EY50" s="19" cm="1">
        <f t="array" ref="EY50:FC50">VLOOKUP(_xlfn.SINGLE(B:B),'[1]Price List'!$B:$N,{8,4,5,6,7},0)</f>
        <v>387.54</v>
      </c>
      <c r="EZ50" s="9" t="str">
        <v>Speck Presidio2 Grip + MS iPhone 17 Black</v>
      </c>
      <c r="FA50" s="12" t="str">
        <v>Cases iPhone</v>
      </c>
      <c r="FB50" s="12" t="str">
        <v>iPhone 17</v>
      </c>
      <c r="FC50" s="12" t="str">
        <v>iPhone 17</v>
      </c>
      <c r="FD50" s="23" t="str">
        <f>_xlfn.XLOOKUP(B:B,'[1]Price List'!$B:$B,'[1]Price List'!$A:$A)</f>
        <v>Speck</v>
      </c>
    </row>
    <row r="51" spans="1:160" s="9" customFormat="1" x14ac:dyDescent="0.2">
      <c r="A51" s="23" t="s">
        <v>599</v>
      </c>
      <c r="B51" s="23">
        <v>840168546428</v>
      </c>
      <c r="C51" s="9" t="s">
        <v>580</v>
      </c>
      <c r="D51" s="9" t="s">
        <v>644</v>
      </c>
      <c r="E51" s="9" t="s">
        <v>477</v>
      </c>
      <c r="F51" s="9" t="s">
        <v>478</v>
      </c>
      <c r="G51" s="9" t="s">
        <v>478</v>
      </c>
      <c r="H51" s="12" t="s">
        <v>501</v>
      </c>
      <c r="I51" s="12">
        <v>999</v>
      </c>
      <c r="J51" s="11">
        <v>387.54</v>
      </c>
      <c r="K51" s="62">
        <v>0</v>
      </c>
      <c r="L51" s="12">
        <v>0</v>
      </c>
      <c r="M51" s="13" t="s">
        <v>466</v>
      </c>
      <c r="N51" s="13" t="s">
        <v>383</v>
      </c>
      <c r="O51" s="27">
        <v>46631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0</v>
      </c>
      <c r="AA51" s="12">
        <v>0</v>
      </c>
      <c r="AB51" s="12">
        <v>0</v>
      </c>
      <c r="AC51" s="12">
        <v>0</v>
      </c>
      <c r="AD51" s="12">
        <v>0</v>
      </c>
      <c r="AE51" s="12">
        <v>0</v>
      </c>
      <c r="AF51" s="12">
        <v>0</v>
      </c>
      <c r="AG51" s="12">
        <v>0</v>
      </c>
      <c r="AH51" s="12">
        <v>0</v>
      </c>
      <c r="AI51" s="12">
        <v>0</v>
      </c>
      <c r="AJ51" s="12">
        <v>0</v>
      </c>
      <c r="AK51" s="12">
        <v>0</v>
      </c>
      <c r="AL51" s="12">
        <v>0</v>
      </c>
      <c r="AM51" s="12">
        <v>0</v>
      </c>
      <c r="AN51" s="12">
        <v>0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0</v>
      </c>
      <c r="AU51" s="12">
        <v>0</v>
      </c>
      <c r="AV51" s="12">
        <v>0</v>
      </c>
      <c r="AW51" s="12">
        <v>0</v>
      </c>
      <c r="AX51" s="12">
        <v>0</v>
      </c>
      <c r="AY51" s="12">
        <v>0</v>
      </c>
      <c r="AZ51" s="12">
        <v>0</v>
      </c>
      <c r="BA51" s="12">
        <v>0</v>
      </c>
      <c r="BB51" s="12">
        <v>0</v>
      </c>
      <c r="BC51" s="12">
        <v>0</v>
      </c>
      <c r="BD51" s="12">
        <v>0</v>
      </c>
      <c r="BE51" s="12">
        <v>0</v>
      </c>
      <c r="BF51" s="12">
        <v>0</v>
      </c>
      <c r="BG51" s="12">
        <v>0</v>
      </c>
      <c r="BH51" s="12">
        <v>0</v>
      </c>
      <c r="BI51" s="12">
        <v>0</v>
      </c>
      <c r="BJ51" s="12">
        <v>0</v>
      </c>
      <c r="BK51" s="12">
        <v>0</v>
      </c>
      <c r="BL51" s="12">
        <v>0</v>
      </c>
      <c r="BM51" s="12">
        <v>0</v>
      </c>
      <c r="BN51" s="12">
        <v>0</v>
      </c>
      <c r="BO51" s="12">
        <v>0</v>
      </c>
      <c r="BP51" s="12">
        <v>0</v>
      </c>
      <c r="BQ51" s="12">
        <v>0</v>
      </c>
      <c r="BR51" s="12">
        <v>0</v>
      </c>
      <c r="BS51" s="12">
        <v>0</v>
      </c>
      <c r="BT51" s="12">
        <v>0</v>
      </c>
      <c r="BU51" s="12">
        <v>0</v>
      </c>
      <c r="BV51" s="12">
        <v>0</v>
      </c>
      <c r="BW51" s="12">
        <v>0</v>
      </c>
      <c r="BX51" s="12">
        <v>0</v>
      </c>
      <c r="BY51" s="12">
        <v>0</v>
      </c>
      <c r="BZ51" s="12">
        <v>0</v>
      </c>
      <c r="CA51" s="12">
        <v>0</v>
      </c>
      <c r="CB51" s="12">
        <v>0</v>
      </c>
      <c r="CC51" s="12">
        <v>0</v>
      </c>
      <c r="CD51" s="12">
        <v>0</v>
      </c>
      <c r="CE51" s="12">
        <v>0</v>
      </c>
      <c r="CF51" s="12">
        <v>0</v>
      </c>
      <c r="CG51" s="12">
        <v>0</v>
      </c>
      <c r="CH51" s="12">
        <v>0</v>
      </c>
      <c r="CI51" s="12">
        <v>0</v>
      </c>
      <c r="CJ51" s="12">
        <v>0</v>
      </c>
      <c r="CK51" s="12">
        <v>0</v>
      </c>
      <c r="CL51" s="12">
        <v>0</v>
      </c>
      <c r="CM51" s="12">
        <v>0</v>
      </c>
      <c r="CN51" s="12">
        <v>0</v>
      </c>
      <c r="CO51" s="12">
        <v>0</v>
      </c>
      <c r="CP51" s="12">
        <v>0</v>
      </c>
      <c r="CQ51" s="12">
        <v>0</v>
      </c>
      <c r="CR51" s="12">
        <v>0</v>
      </c>
      <c r="CS51" s="12">
        <v>0</v>
      </c>
      <c r="CT51" s="12">
        <v>0</v>
      </c>
      <c r="CU51" s="12">
        <v>0</v>
      </c>
      <c r="CV51" s="12">
        <v>0</v>
      </c>
      <c r="CW51" s="12">
        <v>0</v>
      </c>
      <c r="CX51" s="12">
        <v>0</v>
      </c>
      <c r="CY51" s="12">
        <v>0</v>
      </c>
      <c r="CZ51" s="12">
        <v>0</v>
      </c>
      <c r="DA51" s="12">
        <v>12</v>
      </c>
      <c r="DB51" s="12">
        <v>14</v>
      </c>
      <c r="DC51" s="12">
        <v>6</v>
      </c>
      <c r="DD51" s="12">
        <v>15</v>
      </c>
      <c r="DE51" s="12">
        <v>3</v>
      </c>
      <c r="DF51" s="12">
        <v>7</v>
      </c>
      <c r="DG51" s="12">
        <v>7</v>
      </c>
      <c r="DH51" s="12">
        <v>3</v>
      </c>
      <c r="DI51" s="12">
        <v>9</v>
      </c>
      <c r="DJ51" s="12">
        <v>10</v>
      </c>
      <c r="DK51" s="12">
        <v>4</v>
      </c>
      <c r="DL51" s="12">
        <v>6</v>
      </c>
      <c r="DM51" s="12">
        <v>1</v>
      </c>
      <c r="DN51" s="12">
        <v>4</v>
      </c>
      <c r="DO51" s="12">
        <v>12</v>
      </c>
      <c r="DP51" s="12">
        <v>6</v>
      </c>
      <c r="DQ51" s="12">
        <v>5</v>
      </c>
      <c r="DR51" s="12">
        <v>5</v>
      </c>
      <c r="DS51" s="12">
        <v>4</v>
      </c>
      <c r="DT51" s="12">
        <v>2</v>
      </c>
      <c r="DU51" s="12">
        <v>5</v>
      </c>
      <c r="DV51" s="12">
        <v>8</v>
      </c>
      <c r="DW51" s="12">
        <v>4</v>
      </c>
      <c r="DX51" s="12">
        <v>0</v>
      </c>
      <c r="DY51" s="12">
        <v>0</v>
      </c>
      <c r="DZ51" s="12">
        <v>2</v>
      </c>
      <c r="EA51" s="12">
        <v>5</v>
      </c>
      <c r="EB51" s="12">
        <v>6</v>
      </c>
      <c r="EC51" s="12">
        <v>2</v>
      </c>
      <c r="ED51" s="12">
        <v>2</v>
      </c>
      <c r="EE51" s="12">
        <v>4</v>
      </c>
      <c r="EF51" s="12">
        <v>0</v>
      </c>
      <c r="EG51" s="12">
        <v>2</v>
      </c>
      <c r="EH51" s="12">
        <v>1</v>
      </c>
      <c r="EI51" s="12">
        <v>4</v>
      </c>
      <c r="EJ51" s="12">
        <v>1</v>
      </c>
      <c r="EK51" s="12">
        <v>2</v>
      </c>
      <c r="EL51" s="12">
        <v>2</v>
      </c>
      <c r="EM51" s="12">
        <v>2</v>
      </c>
      <c r="EN51" s="12">
        <v>3</v>
      </c>
      <c r="EO51" s="12">
        <v>3</v>
      </c>
      <c r="EP51" s="12" t="str">
        <f t="shared" si="14"/>
        <v>🟢 Bien</v>
      </c>
      <c r="EQ51" s="23">
        <f t="shared" si="1"/>
        <v>3.0833333333333335</v>
      </c>
      <c r="ER51" s="19">
        <f t="shared" si="2"/>
        <v>31003.200000000001</v>
      </c>
      <c r="ES51" s="12">
        <f t="shared" si="3"/>
        <v>80</v>
      </c>
      <c r="ET51" s="23">
        <f t="shared" si="8"/>
        <v>32</v>
      </c>
      <c r="EU51" s="23">
        <f t="shared" si="9"/>
        <v>24.5</v>
      </c>
      <c r="EV51" s="23">
        <f t="shared" si="6"/>
        <v>13.78</v>
      </c>
      <c r="EW51" s="23">
        <f t="shared" si="15"/>
        <v>173</v>
      </c>
      <c r="EX51" s="12">
        <v>186</v>
      </c>
      <c r="EY51" s="19" cm="1">
        <f t="array" ref="EY51:FC51">VLOOKUP(_xlfn.SINGLE(B:B),'[1]Price List'!$B:$N,{8,4,5,6,7},0)</f>
        <v>387.54</v>
      </c>
      <c r="EZ51" s="9" t="str">
        <v>Speck Presidio2 Grip + MS iPhone 17 Pro Black</v>
      </c>
      <c r="FA51" s="12" t="str">
        <v>Cases iPhone</v>
      </c>
      <c r="FB51" s="12" t="str">
        <v>iPhone 17</v>
      </c>
      <c r="FC51" s="12" t="str">
        <v>iPhone 17 Pro</v>
      </c>
      <c r="FD51" s="23" t="str">
        <f>_xlfn.XLOOKUP(B:B,'[1]Price List'!$B:$B,'[1]Price List'!$A:$A)</f>
        <v>Speck</v>
      </c>
    </row>
    <row r="52" spans="1:160" s="55" customFormat="1" x14ac:dyDescent="0.2">
      <c r="A52" s="54" t="s">
        <v>599</v>
      </c>
      <c r="B52" s="54">
        <v>840168546565</v>
      </c>
      <c r="C52" s="55" t="s">
        <v>581</v>
      </c>
      <c r="D52" s="55" t="s">
        <v>644</v>
      </c>
      <c r="E52" s="55" t="s">
        <v>477</v>
      </c>
      <c r="F52" s="55" t="s">
        <v>479</v>
      </c>
      <c r="G52" s="9" t="s">
        <v>479</v>
      </c>
      <c r="H52" s="53" t="s">
        <v>502</v>
      </c>
      <c r="I52" s="53">
        <v>999</v>
      </c>
      <c r="J52" s="56">
        <v>387.54</v>
      </c>
      <c r="K52" s="62">
        <v>0</v>
      </c>
      <c r="L52" s="53">
        <v>0</v>
      </c>
      <c r="M52" s="57" t="s">
        <v>467</v>
      </c>
      <c r="N52" s="57" t="s">
        <v>475</v>
      </c>
      <c r="O52" s="58">
        <v>46631</v>
      </c>
      <c r="P52" s="53">
        <v>0</v>
      </c>
      <c r="Q52" s="53">
        <v>0</v>
      </c>
      <c r="R52" s="53">
        <v>0</v>
      </c>
      <c r="S52" s="53">
        <v>0</v>
      </c>
      <c r="T52" s="53">
        <v>0</v>
      </c>
      <c r="U52" s="53">
        <v>0</v>
      </c>
      <c r="V52" s="53">
        <v>0</v>
      </c>
      <c r="W52" s="53">
        <v>0</v>
      </c>
      <c r="X52" s="53">
        <v>0</v>
      </c>
      <c r="Y52" s="53">
        <v>0</v>
      </c>
      <c r="Z52" s="53">
        <v>0</v>
      </c>
      <c r="AA52" s="53">
        <v>0</v>
      </c>
      <c r="AB52" s="53">
        <v>0</v>
      </c>
      <c r="AC52" s="53">
        <v>0</v>
      </c>
      <c r="AD52" s="53">
        <v>0</v>
      </c>
      <c r="AE52" s="53">
        <v>0</v>
      </c>
      <c r="AF52" s="53">
        <v>0</v>
      </c>
      <c r="AG52" s="53">
        <v>0</v>
      </c>
      <c r="AH52" s="53">
        <v>0</v>
      </c>
      <c r="AI52" s="53">
        <v>0</v>
      </c>
      <c r="AJ52" s="53">
        <v>0</v>
      </c>
      <c r="AK52" s="53">
        <v>0</v>
      </c>
      <c r="AL52" s="53">
        <v>0</v>
      </c>
      <c r="AM52" s="53">
        <v>0</v>
      </c>
      <c r="AN52" s="53">
        <v>0</v>
      </c>
      <c r="AO52" s="53">
        <v>0</v>
      </c>
      <c r="AP52" s="53">
        <v>0</v>
      </c>
      <c r="AQ52" s="53">
        <v>0</v>
      </c>
      <c r="AR52" s="53">
        <v>0</v>
      </c>
      <c r="AS52" s="53">
        <v>0</v>
      </c>
      <c r="AT52" s="53">
        <v>0</v>
      </c>
      <c r="AU52" s="53">
        <v>0</v>
      </c>
      <c r="AV52" s="53">
        <v>0</v>
      </c>
      <c r="AW52" s="53">
        <v>0</v>
      </c>
      <c r="AX52" s="53">
        <v>0</v>
      </c>
      <c r="AY52" s="53">
        <v>0</v>
      </c>
      <c r="AZ52" s="53">
        <v>0</v>
      </c>
      <c r="BA52" s="53">
        <v>0</v>
      </c>
      <c r="BB52" s="53">
        <v>0</v>
      </c>
      <c r="BC52" s="53">
        <v>0</v>
      </c>
      <c r="BD52" s="53">
        <v>0</v>
      </c>
      <c r="BE52" s="53">
        <v>0</v>
      </c>
      <c r="BF52" s="53">
        <v>0</v>
      </c>
      <c r="BG52" s="53">
        <v>0</v>
      </c>
      <c r="BH52" s="53">
        <v>0</v>
      </c>
      <c r="BI52" s="53">
        <v>0</v>
      </c>
      <c r="BJ52" s="53">
        <v>0</v>
      </c>
      <c r="BK52" s="53">
        <v>0</v>
      </c>
      <c r="BL52" s="53">
        <v>0</v>
      </c>
      <c r="BM52" s="53">
        <v>0</v>
      </c>
      <c r="BN52" s="53">
        <v>0</v>
      </c>
      <c r="BO52" s="53">
        <v>0</v>
      </c>
      <c r="BP52" s="53">
        <v>0</v>
      </c>
      <c r="BQ52" s="53">
        <v>0</v>
      </c>
      <c r="BR52" s="53">
        <v>0</v>
      </c>
      <c r="BS52" s="53">
        <v>0</v>
      </c>
      <c r="BT52" s="53">
        <v>0</v>
      </c>
      <c r="BU52" s="53">
        <v>0</v>
      </c>
      <c r="BV52" s="53">
        <v>0</v>
      </c>
      <c r="BW52" s="53">
        <v>0</v>
      </c>
      <c r="BX52" s="53">
        <v>0</v>
      </c>
      <c r="BY52" s="53">
        <v>0</v>
      </c>
      <c r="BZ52" s="53">
        <v>0</v>
      </c>
      <c r="CA52" s="53">
        <v>0</v>
      </c>
      <c r="CB52" s="53">
        <v>0</v>
      </c>
      <c r="CC52" s="53">
        <v>0</v>
      </c>
      <c r="CD52" s="53">
        <v>0</v>
      </c>
      <c r="CE52" s="53">
        <v>0</v>
      </c>
      <c r="CF52" s="53">
        <v>0</v>
      </c>
      <c r="CG52" s="53">
        <v>0</v>
      </c>
      <c r="CH52" s="53">
        <v>0</v>
      </c>
      <c r="CI52" s="53">
        <v>0</v>
      </c>
      <c r="CJ52" s="53">
        <v>0</v>
      </c>
      <c r="CK52" s="53">
        <v>0</v>
      </c>
      <c r="CL52" s="53">
        <v>0</v>
      </c>
      <c r="CM52" s="53">
        <v>0</v>
      </c>
      <c r="CN52" s="53">
        <v>0</v>
      </c>
      <c r="CO52" s="53">
        <v>0</v>
      </c>
      <c r="CP52" s="53">
        <v>0</v>
      </c>
      <c r="CQ52" s="53">
        <v>0</v>
      </c>
      <c r="CR52" s="53">
        <v>0</v>
      </c>
      <c r="CS52" s="53">
        <v>0</v>
      </c>
      <c r="CT52" s="53">
        <v>0</v>
      </c>
      <c r="CU52" s="53">
        <v>0</v>
      </c>
      <c r="CV52" s="53">
        <v>0</v>
      </c>
      <c r="CW52" s="53">
        <v>0</v>
      </c>
      <c r="CX52" s="53">
        <v>0</v>
      </c>
      <c r="CY52" s="53">
        <v>0</v>
      </c>
      <c r="CZ52" s="53">
        <v>0</v>
      </c>
      <c r="DA52" s="53">
        <v>17</v>
      </c>
      <c r="DB52" s="53">
        <v>25</v>
      </c>
      <c r="DC52" s="53">
        <v>4</v>
      </c>
      <c r="DD52" s="53">
        <v>19</v>
      </c>
      <c r="DE52" s="53">
        <v>22</v>
      </c>
      <c r="DF52" s="53">
        <v>23</v>
      </c>
      <c r="DG52" s="53">
        <v>17</v>
      </c>
      <c r="DH52" s="53">
        <v>16</v>
      </c>
      <c r="DI52" s="53">
        <v>28</v>
      </c>
      <c r="DJ52" s="53">
        <v>24</v>
      </c>
      <c r="DK52" s="53">
        <v>13</v>
      </c>
      <c r="DL52" s="53">
        <v>26</v>
      </c>
      <c r="DM52" s="53">
        <v>26</v>
      </c>
      <c r="DN52" s="53">
        <v>28</v>
      </c>
      <c r="DO52" s="53">
        <v>30</v>
      </c>
      <c r="DP52" s="53">
        <v>25</v>
      </c>
      <c r="DQ52" s="53">
        <v>24</v>
      </c>
      <c r="DR52" s="53">
        <v>24</v>
      </c>
      <c r="DS52" s="53">
        <v>13</v>
      </c>
      <c r="DT52" s="53">
        <v>9</v>
      </c>
      <c r="DU52" s="53">
        <v>10</v>
      </c>
      <c r="DV52" s="53">
        <v>8</v>
      </c>
      <c r="DW52" s="53">
        <v>2</v>
      </c>
      <c r="DX52" s="53">
        <v>7</v>
      </c>
      <c r="DY52" s="53">
        <v>4</v>
      </c>
      <c r="DZ52" s="53">
        <v>2</v>
      </c>
      <c r="EA52" s="53">
        <v>5</v>
      </c>
      <c r="EB52" s="12">
        <v>5</v>
      </c>
      <c r="EC52" s="12">
        <v>2</v>
      </c>
      <c r="ED52" s="12">
        <v>4</v>
      </c>
      <c r="EE52" s="12">
        <v>2</v>
      </c>
      <c r="EF52" s="12">
        <v>3</v>
      </c>
      <c r="EG52" s="12">
        <v>0</v>
      </c>
      <c r="EH52" s="12">
        <v>4</v>
      </c>
      <c r="EI52" s="12">
        <v>4</v>
      </c>
      <c r="EJ52" s="12">
        <v>3</v>
      </c>
      <c r="EK52" s="12">
        <v>1</v>
      </c>
      <c r="EL52" s="12">
        <v>3</v>
      </c>
      <c r="EM52" s="12">
        <v>0</v>
      </c>
      <c r="EN52" s="12">
        <v>1</v>
      </c>
      <c r="EO52" s="12">
        <v>2</v>
      </c>
      <c r="EP52" s="12" t="str">
        <f t="shared" si="14"/>
        <v>🟢 Bien</v>
      </c>
      <c r="EQ52" s="23">
        <f t="shared" si="1"/>
        <v>6.833333333333333</v>
      </c>
      <c r="ER52" s="19">
        <f t="shared" si="2"/>
        <v>64719.18</v>
      </c>
      <c r="ES52" s="12">
        <f t="shared" si="3"/>
        <v>167</v>
      </c>
      <c r="ET52" s="54">
        <f t="shared" si="8"/>
        <v>63.5</v>
      </c>
      <c r="EU52" s="54">
        <f t="shared" si="9"/>
        <v>95.5</v>
      </c>
      <c r="EV52" s="23">
        <f t="shared" si="6"/>
        <v>33.11</v>
      </c>
      <c r="EW52" s="23">
        <f t="shared" si="15"/>
        <v>467</v>
      </c>
      <c r="EX52" s="12">
        <v>118</v>
      </c>
      <c r="EY52" s="19" cm="1">
        <f t="array" ref="EY52:FC52">VLOOKUP(_xlfn.SINGLE(B:B),'[1]Price List'!$B:$N,{8,4,5,6,7},0)</f>
        <v>387.54</v>
      </c>
      <c r="EZ52" s="9" t="str">
        <v>Speck Presidio2 Grip + MS iPhone 17 Pro Max Black</v>
      </c>
      <c r="FA52" s="12" t="str">
        <v>Cases iPhone</v>
      </c>
      <c r="FB52" s="12" t="str">
        <v>iPhone 17</v>
      </c>
      <c r="FC52" s="12" t="str">
        <v>iPhone 17 Pro Max</v>
      </c>
      <c r="FD52" s="23" t="str">
        <f>_xlfn.XLOOKUP(B:B,'[1]Price List'!$B:$B,'[1]Price List'!$A:$A)</f>
        <v>Speck</v>
      </c>
    </row>
    <row r="53" spans="1:160" s="55" customFormat="1" x14ac:dyDescent="0.2">
      <c r="A53" s="54" t="s">
        <v>599</v>
      </c>
      <c r="B53" s="54">
        <v>840168546589</v>
      </c>
      <c r="C53" s="55" t="s">
        <v>654</v>
      </c>
      <c r="D53" s="55" t="s">
        <v>644</v>
      </c>
      <c r="E53" s="55" t="s">
        <v>477</v>
      </c>
      <c r="F53" s="55" t="s">
        <v>479</v>
      </c>
      <c r="G53" s="9" t="s">
        <v>479</v>
      </c>
      <c r="H53" s="53" t="s">
        <v>653</v>
      </c>
      <c r="I53" s="53">
        <v>999</v>
      </c>
      <c r="J53" s="56">
        <v>387.54</v>
      </c>
      <c r="K53" s="62">
        <v>0</v>
      </c>
      <c r="L53" s="53">
        <v>0</v>
      </c>
      <c r="M53" s="57" t="s">
        <v>466</v>
      </c>
      <c r="N53" s="57" t="s">
        <v>383</v>
      </c>
      <c r="O53" s="58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  <c r="BT53" s="53"/>
      <c r="BU53" s="53"/>
      <c r="BV53" s="53"/>
      <c r="BW53" s="53"/>
      <c r="BX53" s="53"/>
      <c r="BY53" s="53"/>
      <c r="BZ53" s="53"/>
      <c r="CA53" s="53"/>
      <c r="CB53" s="53"/>
      <c r="CC53" s="53"/>
      <c r="CD53" s="53"/>
      <c r="CE53" s="53"/>
      <c r="CF53" s="53"/>
      <c r="CG53" s="53"/>
      <c r="CH53" s="53"/>
      <c r="CI53" s="53"/>
      <c r="CJ53" s="53"/>
      <c r="CK53" s="53"/>
      <c r="CL53" s="53"/>
      <c r="CM53" s="53"/>
      <c r="CN53" s="53"/>
      <c r="CO53" s="53"/>
      <c r="CP53" s="53"/>
      <c r="CQ53" s="53"/>
      <c r="CR53" s="53"/>
      <c r="CS53" s="53"/>
      <c r="CT53" s="53"/>
      <c r="CU53" s="53"/>
      <c r="CV53" s="53"/>
      <c r="CW53" s="53"/>
      <c r="CX53" s="53"/>
      <c r="CY53" s="53"/>
      <c r="CZ53" s="53"/>
      <c r="DA53" s="53"/>
      <c r="DB53" s="53"/>
      <c r="DC53" s="53"/>
      <c r="DD53" s="53"/>
      <c r="DE53" s="53"/>
      <c r="DF53" s="53"/>
      <c r="DG53" s="53"/>
      <c r="DH53" s="53"/>
      <c r="DI53" s="53"/>
      <c r="DJ53" s="53"/>
      <c r="DK53" s="53"/>
      <c r="DL53" s="53"/>
      <c r="DM53" s="53"/>
      <c r="DN53" s="53"/>
      <c r="DO53" s="53"/>
      <c r="DP53" s="53"/>
      <c r="DQ53" s="53"/>
      <c r="DR53" s="53"/>
      <c r="DS53" s="53"/>
      <c r="DT53" s="53"/>
      <c r="DU53" s="53"/>
      <c r="DV53" s="53">
        <v>0</v>
      </c>
      <c r="DW53" s="53">
        <v>5</v>
      </c>
      <c r="DX53" s="53">
        <v>6</v>
      </c>
      <c r="DY53" s="53">
        <v>6</v>
      </c>
      <c r="DZ53" s="53">
        <v>3</v>
      </c>
      <c r="EA53" s="53">
        <v>5</v>
      </c>
      <c r="EB53" s="12">
        <v>3</v>
      </c>
      <c r="EC53" s="12">
        <v>5</v>
      </c>
      <c r="ED53" s="12">
        <v>4</v>
      </c>
      <c r="EE53" s="12">
        <v>3</v>
      </c>
      <c r="EF53" s="12">
        <v>5</v>
      </c>
      <c r="EG53" s="12">
        <v>3</v>
      </c>
      <c r="EH53" s="12">
        <v>8</v>
      </c>
      <c r="EI53" s="12">
        <v>3</v>
      </c>
      <c r="EJ53" s="12">
        <v>2</v>
      </c>
      <c r="EK53" s="12">
        <v>5</v>
      </c>
      <c r="EL53" s="12">
        <v>5</v>
      </c>
      <c r="EM53" s="12">
        <v>5</v>
      </c>
      <c r="EN53" s="12">
        <v>3</v>
      </c>
      <c r="EO53" s="12">
        <v>5</v>
      </c>
      <c r="EP53" s="12" t="str">
        <f t="shared" si="14"/>
        <v>🟢 Bien</v>
      </c>
      <c r="EQ53" s="23">
        <f t="shared" si="1"/>
        <v>4.2222222222222223</v>
      </c>
      <c r="ER53" s="19">
        <f t="shared" si="2"/>
        <v>32553.360000000001</v>
      </c>
      <c r="ES53" s="12">
        <f t="shared" si="3"/>
        <v>84</v>
      </c>
      <c r="ET53" s="54">
        <v>0</v>
      </c>
      <c r="EU53" s="54">
        <v>0</v>
      </c>
      <c r="EV53" s="23">
        <f t="shared" si="6"/>
        <v>16</v>
      </c>
      <c r="EW53" s="23">
        <f t="shared" si="15"/>
        <v>45</v>
      </c>
      <c r="EX53" s="12">
        <v>104</v>
      </c>
      <c r="EY53" s="19" cm="1">
        <f t="array" ref="EY53:FC53">VLOOKUP(_xlfn.SINGLE(B:B),'[1]Price List'!$B:$N,{8,4,5,6,7},0)</f>
        <v>387.54</v>
      </c>
      <c r="EZ53" s="9" t="str">
        <v>Speck Presidio2 Grip iPhone 17 Pro Max Black</v>
      </c>
      <c r="FA53" s="12" t="str">
        <v>Cases iPhone</v>
      </c>
      <c r="FB53" s="12" t="str">
        <v>iPhone 17</v>
      </c>
      <c r="FC53" s="12" t="str">
        <v>iPhone 17 Pro Max</v>
      </c>
      <c r="FD53" s="23" t="str">
        <f>_xlfn.XLOOKUP(B:B,'[1]Price List'!$B:$B,'[1]Price List'!$A:$A)</f>
        <v>Speck</v>
      </c>
    </row>
    <row r="54" spans="1:160" s="9" customFormat="1" x14ac:dyDescent="0.2">
      <c r="A54" s="23" t="s">
        <v>599</v>
      </c>
      <c r="B54" s="23">
        <v>840168546138</v>
      </c>
      <c r="C54" s="9" t="s">
        <v>582</v>
      </c>
      <c r="D54" s="9" t="s">
        <v>644</v>
      </c>
      <c r="E54" s="9" t="s">
        <v>477</v>
      </c>
      <c r="F54" s="9" t="s">
        <v>477</v>
      </c>
      <c r="G54" s="9" t="s">
        <v>477</v>
      </c>
      <c r="H54" s="12" t="s">
        <v>503</v>
      </c>
      <c r="I54" s="12">
        <v>999</v>
      </c>
      <c r="J54" s="11">
        <v>387.54</v>
      </c>
      <c r="K54" s="62">
        <v>0</v>
      </c>
      <c r="L54" s="12">
        <v>0</v>
      </c>
      <c r="M54" s="13" t="s">
        <v>466</v>
      </c>
      <c r="N54" s="13" t="s">
        <v>655</v>
      </c>
      <c r="O54" s="27">
        <v>46631</v>
      </c>
      <c r="P54" s="12">
        <v>0</v>
      </c>
      <c r="Q54" s="12">
        <v>0</v>
      </c>
      <c r="R54" s="12">
        <v>0</v>
      </c>
      <c r="S54" s="12">
        <v>0</v>
      </c>
      <c r="T54" s="12">
        <v>0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2">
        <v>0</v>
      </c>
      <c r="AD54" s="12">
        <v>0</v>
      </c>
      <c r="AE54" s="12">
        <v>0</v>
      </c>
      <c r="AF54" s="12">
        <v>0</v>
      </c>
      <c r="AG54" s="12">
        <v>0</v>
      </c>
      <c r="AH54" s="12">
        <v>0</v>
      </c>
      <c r="AI54" s="12">
        <v>0</v>
      </c>
      <c r="AJ54" s="12">
        <v>0</v>
      </c>
      <c r="AK54" s="12">
        <v>0</v>
      </c>
      <c r="AL54" s="12">
        <v>0</v>
      </c>
      <c r="AM54" s="12">
        <v>0</v>
      </c>
      <c r="AN54" s="12">
        <v>0</v>
      </c>
      <c r="AO54" s="12">
        <v>0</v>
      </c>
      <c r="AP54" s="12">
        <v>0</v>
      </c>
      <c r="AQ54" s="12">
        <v>0</v>
      </c>
      <c r="AR54" s="12">
        <v>0</v>
      </c>
      <c r="AS54" s="12">
        <v>0</v>
      </c>
      <c r="AT54" s="12">
        <v>0</v>
      </c>
      <c r="AU54" s="12">
        <v>0</v>
      </c>
      <c r="AV54" s="12">
        <v>0</v>
      </c>
      <c r="AW54" s="12">
        <v>0</v>
      </c>
      <c r="AX54" s="12">
        <v>0</v>
      </c>
      <c r="AY54" s="12">
        <v>0</v>
      </c>
      <c r="AZ54" s="12">
        <v>0</v>
      </c>
      <c r="BA54" s="12">
        <v>0</v>
      </c>
      <c r="BB54" s="12">
        <v>0</v>
      </c>
      <c r="BC54" s="12">
        <v>0</v>
      </c>
      <c r="BD54" s="12">
        <v>0</v>
      </c>
      <c r="BE54" s="12">
        <v>0</v>
      </c>
      <c r="BF54" s="12">
        <v>0</v>
      </c>
      <c r="BG54" s="12">
        <v>0</v>
      </c>
      <c r="BH54" s="12">
        <v>0</v>
      </c>
      <c r="BI54" s="12">
        <v>0</v>
      </c>
      <c r="BJ54" s="12">
        <v>0</v>
      </c>
      <c r="BK54" s="12">
        <v>0</v>
      </c>
      <c r="BL54" s="12">
        <v>0</v>
      </c>
      <c r="BM54" s="12">
        <v>0</v>
      </c>
      <c r="BN54" s="12">
        <v>0</v>
      </c>
      <c r="BO54" s="12">
        <v>0</v>
      </c>
      <c r="BP54" s="12">
        <v>0</v>
      </c>
      <c r="BQ54" s="12">
        <v>0</v>
      </c>
      <c r="BR54" s="12">
        <v>0</v>
      </c>
      <c r="BS54" s="12">
        <v>0</v>
      </c>
      <c r="BT54" s="12">
        <v>0</v>
      </c>
      <c r="BU54" s="12">
        <v>0</v>
      </c>
      <c r="BV54" s="12">
        <v>0</v>
      </c>
      <c r="BW54" s="12">
        <v>0</v>
      </c>
      <c r="BX54" s="12">
        <v>0</v>
      </c>
      <c r="BY54" s="12">
        <v>0</v>
      </c>
      <c r="BZ54" s="12">
        <v>0</v>
      </c>
      <c r="CA54" s="12">
        <v>0</v>
      </c>
      <c r="CB54" s="12">
        <v>0</v>
      </c>
      <c r="CC54" s="12">
        <v>0</v>
      </c>
      <c r="CD54" s="12">
        <v>0</v>
      </c>
      <c r="CE54" s="12">
        <v>0</v>
      </c>
      <c r="CF54" s="12">
        <v>0</v>
      </c>
      <c r="CG54" s="12">
        <v>0</v>
      </c>
      <c r="CH54" s="12">
        <v>0</v>
      </c>
      <c r="CI54" s="12">
        <v>0</v>
      </c>
      <c r="CJ54" s="12">
        <v>0</v>
      </c>
      <c r="CK54" s="12">
        <v>0</v>
      </c>
      <c r="CL54" s="12">
        <v>0</v>
      </c>
      <c r="CM54" s="12">
        <v>0</v>
      </c>
      <c r="CN54" s="12">
        <v>0</v>
      </c>
      <c r="CO54" s="12">
        <v>0</v>
      </c>
      <c r="CP54" s="12">
        <v>0</v>
      </c>
      <c r="CQ54" s="12">
        <v>0</v>
      </c>
      <c r="CR54" s="12">
        <v>0</v>
      </c>
      <c r="CS54" s="12">
        <v>0</v>
      </c>
      <c r="CT54" s="12">
        <v>0</v>
      </c>
      <c r="CU54" s="12">
        <v>0</v>
      </c>
      <c r="CV54" s="12">
        <v>0</v>
      </c>
      <c r="CW54" s="12">
        <v>0</v>
      </c>
      <c r="CX54" s="12">
        <v>0</v>
      </c>
      <c r="CY54" s="12">
        <v>0</v>
      </c>
      <c r="CZ54" s="12">
        <v>0</v>
      </c>
      <c r="DA54" s="12">
        <v>4</v>
      </c>
      <c r="DB54" s="12">
        <v>10</v>
      </c>
      <c r="DC54" s="12">
        <v>4</v>
      </c>
      <c r="DD54" s="12">
        <v>6</v>
      </c>
      <c r="DE54" s="12">
        <v>5</v>
      </c>
      <c r="DF54" s="12">
        <v>5</v>
      </c>
      <c r="DG54" s="12">
        <v>2</v>
      </c>
      <c r="DH54" s="12">
        <v>8</v>
      </c>
      <c r="DI54" s="12">
        <v>14</v>
      </c>
      <c r="DJ54" s="12">
        <v>4</v>
      </c>
      <c r="DK54" s="12">
        <v>5</v>
      </c>
      <c r="DL54" s="12">
        <v>4</v>
      </c>
      <c r="DM54" s="12">
        <v>3</v>
      </c>
      <c r="DN54" s="12">
        <v>10</v>
      </c>
      <c r="DO54" s="12">
        <v>12</v>
      </c>
      <c r="DP54" s="12">
        <v>4</v>
      </c>
      <c r="DQ54" s="12">
        <v>9</v>
      </c>
      <c r="DR54" s="12">
        <v>5</v>
      </c>
      <c r="DS54" s="12">
        <v>2</v>
      </c>
      <c r="DT54" s="12">
        <v>5</v>
      </c>
      <c r="DU54" s="12">
        <v>6</v>
      </c>
      <c r="DV54" s="12">
        <v>3</v>
      </c>
      <c r="DW54" s="12">
        <v>7</v>
      </c>
      <c r="DX54" s="12">
        <v>3</v>
      </c>
      <c r="DY54" s="12">
        <v>7</v>
      </c>
      <c r="DZ54" s="12">
        <v>2</v>
      </c>
      <c r="EA54" s="12">
        <v>1</v>
      </c>
      <c r="EB54" s="12">
        <v>2</v>
      </c>
      <c r="EC54" s="12">
        <v>3</v>
      </c>
      <c r="ED54" s="12">
        <v>3</v>
      </c>
      <c r="EE54" s="12">
        <v>3</v>
      </c>
      <c r="EF54" s="12">
        <v>5</v>
      </c>
      <c r="EG54" s="12">
        <v>1</v>
      </c>
      <c r="EH54" s="12">
        <v>1</v>
      </c>
      <c r="EI54" s="12">
        <v>4</v>
      </c>
      <c r="EJ54" s="12">
        <v>3</v>
      </c>
      <c r="EK54" s="12">
        <v>5</v>
      </c>
      <c r="EL54" s="12">
        <v>8</v>
      </c>
      <c r="EM54" s="12">
        <v>4</v>
      </c>
      <c r="EN54" s="12">
        <v>4</v>
      </c>
      <c r="EO54" s="12">
        <v>3</v>
      </c>
      <c r="EP54" s="12" t="str">
        <f>IF(EL54=0,"🔴 Sin venta",IF(EL54&lt;EQ14*0.8,"🟠 Bajo",IF(EL14&lt;=EQ54*1.2,"🟢 Bien","🔵 Sobre promedio")))</f>
        <v>🟢 Bien</v>
      </c>
      <c r="EQ54" s="23">
        <f t="shared" si="1"/>
        <v>4</v>
      </c>
      <c r="ER54" s="19">
        <f t="shared" si="2"/>
        <v>39916.620000000003</v>
      </c>
      <c r="ES54" s="12">
        <f t="shared" si="3"/>
        <v>103</v>
      </c>
      <c r="ET54" s="23">
        <f t="shared" ref="ET54:ET65" si="16">ROUND((AVERAGE(CZ54:DG54)*4),2)</f>
        <v>18</v>
      </c>
      <c r="EU54" s="23">
        <f t="shared" ref="EU54:EU85" si="17">ROUND((AVERAGE(DH54:DO54)*4),2)</f>
        <v>30</v>
      </c>
      <c r="EV54" s="23">
        <f t="shared" si="6"/>
        <v>15.78</v>
      </c>
      <c r="EW54" s="23">
        <f t="shared" si="15"/>
        <v>166</v>
      </c>
      <c r="EX54" s="12">
        <v>178</v>
      </c>
      <c r="EY54" s="19" cm="1">
        <f t="array" ref="EY54:FC54">VLOOKUP(_xlfn.SINGLE(B:B),'[1]Price List'!$B:$N,{8,4,5,6,7},0)</f>
        <v>387.54</v>
      </c>
      <c r="EZ54" s="9" t="str">
        <v>Speck Presidio2 + MS iPhone 17 Black/Slate Grey/White</v>
      </c>
      <c r="FA54" s="12" t="str">
        <v>Cases iPhone</v>
      </c>
      <c r="FB54" s="12" t="str">
        <v>iPhone 17</v>
      </c>
      <c r="FC54" s="12" t="str">
        <v>iPhone 17</v>
      </c>
      <c r="FD54" s="23" t="str">
        <f>_xlfn.XLOOKUP(B:B,'[1]Price List'!$B:$B,'[1]Price List'!$A:$A)</f>
        <v>Speck</v>
      </c>
    </row>
    <row r="55" spans="1:160" s="9" customFormat="1" x14ac:dyDescent="0.2">
      <c r="A55" s="23" t="s">
        <v>599</v>
      </c>
      <c r="B55" s="23">
        <v>840168546411</v>
      </c>
      <c r="C55" s="9" t="s">
        <v>583</v>
      </c>
      <c r="D55" s="9" t="s">
        <v>644</v>
      </c>
      <c r="E55" s="9" t="s">
        <v>477</v>
      </c>
      <c r="F55" s="9" t="s">
        <v>478</v>
      </c>
      <c r="G55" s="9" t="s">
        <v>478</v>
      </c>
      <c r="H55" s="12" t="s">
        <v>504</v>
      </c>
      <c r="I55" s="12">
        <v>999</v>
      </c>
      <c r="J55" s="11">
        <v>387.54</v>
      </c>
      <c r="K55" s="62">
        <v>0</v>
      </c>
      <c r="L55" s="12">
        <v>0</v>
      </c>
      <c r="M55" s="13" t="s">
        <v>466</v>
      </c>
      <c r="N55" s="13" t="s">
        <v>383</v>
      </c>
      <c r="O55" s="27">
        <v>46631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2">
        <v>0</v>
      </c>
      <c r="AD55" s="12">
        <v>0</v>
      </c>
      <c r="AE55" s="12">
        <v>0</v>
      </c>
      <c r="AF55" s="12">
        <v>0</v>
      </c>
      <c r="AG55" s="12">
        <v>0</v>
      </c>
      <c r="AH55" s="12">
        <v>0</v>
      </c>
      <c r="AI55" s="12">
        <v>0</v>
      </c>
      <c r="AJ55" s="12">
        <v>0</v>
      </c>
      <c r="AK55" s="12">
        <v>0</v>
      </c>
      <c r="AL55" s="12">
        <v>0</v>
      </c>
      <c r="AM55" s="12">
        <v>0</v>
      </c>
      <c r="AN55" s="12">
        <v>0</v>
      </c>
      <c r="AO55" s="12">
        <v>0</v>
      </c>
      <c r="AP55" s="12">
        <v>0</v>
      </c>
      <c r="AQ55" s="12">
        <v>0</v>
      </c>
      <c r="AR55" s="12">
        <v>0</v>
      </c>
      <c r="AS55" s="12">
        <v>0</v>
      </c>
      <c r="AT55" s="12">
        <v>0</v>
      </c>
      <c r="AU55" s="12">
        <v>0</v>
      </c>
      <c r="AV55" s="12">
        <v>0</v>
      </c>
      <c r="AW55" s="12">
        <v>0</v>
      </c>
      <c r="AX55" s="12">
        <v>0</v>
      </c>
      <c r="AY55" s="12">
        <v>0</v>
      </c>
      <c r="AZ55" s="12">
        <v>0</v>
      </c>
      <c r="BA55" s="12">
        <v>0</v>
      </c>
      <c r="BB55" s="12">
        <v>0</v>
      </c>
      <c r="BC55" s="12">
        <v>0</v>
      </c>
      <c r="BD55" s="12">
        <v>0</v>
      </c>
      <c r="BE55" s="12">
        <v>0</v>
      </c>
      <c r="BF55" s="12">
        <v>0</v>
      </c>
      <c r="BG55" s="12">
        <v>0</v>
      </c>
      <c r="BH55" s="12">
        <v>0</v>
      </c>
      <c r="BI55" s="12">
        <v>0</v>
      </c>
      <c r="BJ55" s="12">
        <v>0</v>
      </c>
      <c r="BK55" s="12">
        <v>0</v>
      </c>
      <c r="BL55" s="12">
        <v>0</v>
      </c>
      <c r="BM55" s="12">
        <v>0</v>
      </c>
      <c r="BN55" s="12">
        <v>0</v>
      </c>
      <c r="BO55" s="12">
        <v>0</v>
      </c>
      <c r="BP55" s="12">
        <v>0</v>
      </c>
      <c r="BQ55" s="12">
        <v>0</v>
      </c>
      <c r="BR55" s="12">
        <v>0</v>
      </c>
      <c r="BS55" s="12">
        <v>0</v>
      </c>
      <c r="BT55" s="12">
        <v>0</v>
      </c>
      <c r="BU55" s="12">
        <v>0</v>
      </c>
      <c r="BV55" s="12">
        <v>0</v>
      </c>
      <c r="BW55" s="12">
        <v>0</v>
      </c>
      <c r="BX55" s="12">
        <v>0</v>
      </c>
      <c r="BY55" s="12">
        <v>0</v>
      </c>
      <c r="BZ55" s="12">
        <v>0</v>
      </c>
      <c r="CA55" s="12">
        <v>0</v>
      </c>
      <c r="CB55" s="12">
        <v>0</v>
      </c>
      <c r="CC55" s="12">
        <v>0</v>
      </c>
      <c r="CD55" s="12">
        <v>0</v>
      </c>
      <c r="CE55" s="12">
        <v>0</v>
      </c>
      <c r="CF55" s="12">
        <v>0</v>
      </c>
      <c r="CG55" s="12">
        <v>0</v>
      </c>
      <c r="CH55" s="12">
        <v>0</v>
      </c>
      <c r="CI55" s="12">
        <v>0</v>
      </c>
      <c r="CJ55" s="12">
        <v>0</v>
      </c>
      <c r="CK55" s="12">
        <v>0</v>
      </c>
      <c r="CL55" s="12">
        <v>0</v>
      </c>
      <c r="CM55" s="12">
        <v>0</v>
      </c>
      <c r="CN55" s="12">
        <v>0</v>
      </c>
      <c r="CO55" s="12">
        <v>0</v>
      </c>
      <c r="CP55" s="12">
        <v>0</v>
      </c>
      <c r="CQ55" s="12">
        <v>0</v>
      </c>
      <c r="CR55" s="12">
        <v>0</v>
      </c>
      <c r="CS55" s="12">
        <v>0</v>
      </c>
      <c r="CT55" s="12">
        <v>0</v>
      </c>
      <c r="CU55" s="12">
        <v>0</v>
      </c>
      <c r="CV55" s="12">
        <v>0</v>
      </c>
      <c r="CW55" s="12">
        <v>0</v>
      </c>
      <c r="CX55" s="12">
        <v>0</v>
      </c>
      <c r="CY55" s="12">
        <v>0</v>
      </c>
      <c r="CZ55" s="12">
        <v>0</v>
      </c>
      <c r="DA55" s="12">
        <v>19</v>
      </c>
      <c r="DB55" s="12">
        <v>16</v>
      </c>
      <c r="DC55" s="12">
        <v>8</v>
      </c>
      <c r="DD55" s="12">
        <v>11</v>
      </c>
      <c r="DE55" s="12">
        <v>5</v>
      </c>
      <c r="DF55" s="12">
        <v>19</v>
      </c>
      <c r="DG55" s="12">
        <v>13</v>
      </c>
      <c r="DH55" s="12">
        <v>8</v>
      </c>
      <c r="DI55" s="12">
        <v>9</v>
      </c>
      <c r="DJ55" s="12">
        <v>6</v>
      </c>
      <c r="DK55" s="12">
        <v>12</v>
      </c>
      <c r="DL55" s="12">
        <v>9</v>
      </c>
      <c r="DM55" s="12">
        <v>6</v>
      </c>
      <c r="DN55" s="12">
        <v>11</v>
      </c>
      <c r="DO55" s="12">
        <v>12</v>
      </c>
      <c r="DP55" s="12">
        <v>14</v>
      </c>
      <c r="DQ55" s="12">
        <v>9</v>
      </c>
      <c r="DR55" s="12">
        <v>10</v>
      </c>
      <c r="DS55" s="12">
        <v>2</v>
      </c>
      <c r="DT55" s="12">
        <v>2</v>
      </c>
      <c r="DU55" s="12">
        <v>4</v>
      </c>
      <c r="DV55" s="12">
        <v>4</v>
      </c>
      <c r="DW55" s="12">
        <v>3</v>
      </c>
      <c r="DX55" s="12">
        <v>3</v>
      </c>
      <c r="DY55" s="12">
        <v>3</v>
      </c>
      <c r="DZ55" s="12">
        <v>3</v>
      </c>
      <c r="EA55" s="12">
        <v>3</v>
      </c>
      <c r="EB55" s="12">
        <v>7</v>
      </c>
      <c r="EC55" s="12">
        <v>5</v>
      </c>
      <c r="ED55" s="12">
        <v>1</v>
      </c>
      <c r="EE55" s="12">
        <v>3</v>
      </c>
      <c r="EF55" s="12">
        <v>3</v>
      </c>
      <c r="EG55" s="12">
        <v>1</v>
      </c>
      <c r="EH55" s="12">
        <v>2</v>
      </c>
      <c r="EI55" s="12">
        <v>9</v>
      </c>
      <c r="EJ55" s="12">
        <v>1</v>
      </c>
      <c r="EK55" s="12">
        <v>2</v>
      </c>
      <c r="EL55" s="12">
        <v>5</v>
      </c>
      <c r="EM55" s="12">
        <v>2</v>
      </c>
      <c r="EN55" s="12">
        <v>5</v>
      </c>
      <c r="EO55" s="12">
        <v>2</v>
      </c>
      <c r="EP55" s="12" t="str">
        <f>IF(EL55=0,"🔴 Sin venta",IF(EL55&lt;EQ92*0.8,"🟠 Bajo",IF(EL92&lt;=EQ55*1.2,"🟢 Bien","🔵 Sobre promedio")))</f>
        <v>🟢 Bien</v>
      </c>
      <c r="EQ55" s="23">
        <f t="shared" si="1"/>
        <v>4.208333333333333</v>
      </c>
      <c r="ER55" s="19">
        <f t="shared" si="2"/>
        <v>41854.32</v>
      </c>
      <c r="ES55" s="12">
        <f t="shared" si="3"/>
        <v>108</v>
      </c>
      <c r="ET55" s="23">
        <f t="shared" si="16"/>
        <v>45.5</v>
      </c>
      <c r="EU55" s="23">
        <f t="shared" si="17"/>
        <v>36.5</v>
      </c>
      <c r="EV55" s="23">
        <f t="shared" si="6"/>
        <v>17.78</v>
      </c>
      <c r="EW55" s="23">
        <f t="shared" si="15"/>
        <v>243</v>
      </c>
      <c r="EX55" s="12">
        <v>174</v>
      </c>
      <c r="EY55" s="19" cm="1">
        <f t="array" ref="EY55:FC55">VLOOKUP(_xlfn.SINGLE(B:B),'[1]Price List'!$B:$N,{8,4,5,6,7},0)</f>
        <v>387.54</v>
      </c>
      <c r="EZ55" s="9" t="str">
        <v>Speck Presidio2  + MS iPhone 17 Pro Black/Slate Grey/White</v>
      </c>
      <c r="FA55" s="12" t="str">
        <v>Cases iPhone</v>
      </c>
      <c r="FB55" s="12" t="str">
        <v>iPhone 17</v>
      </c>
      <c r="FC55" s="12" t="str">
        <v>iPhone 17 Pro</v>
      </c>
      <c r="FD55" s="23" t="str">
        <f>_xlfn.XLOOKUP(B:B,'[1]Price List'!$B:$B,'[1]Price List'!$A:$A)</f>
        <v>Speck</v>
      </c>
    </row>
    <row r="56" spans="1:160" s="9" customFormat="1" x14ac:dyDescent="0.2">
      <c r="A56" s="23" t="s">
        <v>599</v>
      </c>
      <c r="B56" s="23">
        <v>840168546558</v>
      </c>
      <c r="C56" s="9" t="s">
        <v>584</v>
      </c>
      <c r="D56" s="9" t="s">
        <v>644</v>
      </c>
      <c r="E56" s="9" t="s">
        <v>477</v>
      </c>
      <c r="F56" s="9" t="s">
        <v>479</v>
      </c>
      <c r="G56" s="9" t="s">
        <v>479</v>
      </c>
      <c r="H56" s="12" t="s">
        <v>505</v>
      </c>
      <c r="I56" s="12">
        <v>999</v>
      </c>
      <c r="J56" s="11">
        <v>387.54</v>
      </c>
      <c r="K56" s="62">
        <v>0</v>
      </c>
      <c r="L56" s="12">
        <v>0</v>
      </c>
      <c r="M56" s="13" t="s">
        <v>466</v>
      </c>
      <c r="N56" s="13" t="s">
        <v>383</v>
      </c>
      <c r="O56" s="27">
        <v>46631</v>
      </c>
      <c r="P56" s="12">
        <v>0</v>
      </c>
      <c r="Q56" s="12">
        <v>0</v>
      </c>
      <c r="R56" s="12">
        <v>0</v>
      </c>
      <c r="S56" s="12">
        <v>0</v>
      </c>
      <c r="T56" s="12">
        <v>0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2">
        <v>0</v>
      </c>
      <c r="AD56" s="12">
        <v>0</v>
      </c>
      <c r="AE56" s="12">
        <v>0</v>
      </c>
      <c r="AF56" s="12">
        <v>0</v>
      </c>
      <c r="AG56" s="12">
        <v>0</v>
      </c>
      <c r="AH56" s="12">
        <v>0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0</v>
      </c>
      <c r="AV56" s="12">
        <v>0</v>
      </c>
      <c r="AW56" s="12">
        <v>0</v>
      </c>
      <c r="AX56" s="12">
        <v>0</v>
      </c>
      <c r="AY56" s="12">
        <v>0</v>
      </c>
      <c r="AZ56" s="12">
        <v>0</v>
      </c>
      <c r="BA56" s="12">
        <v>0</v>
      </c>
      <c r="BB56" s="12">
        <v>0</v>
      </c>
      <c r="BC56" s="12">
        <v>0</v>
      </c>
      <c r="BD56" s="12">
        <v>0</v>
      </c>
      <c r="BE56" s="12">
        <v>0</v>
      </c>
      <c r="BF56" s="12">
        <v>0</v>
      </c>
      <c r="BG56" s="12">
        <v>0</v>
      </c>
      <c r="BH56" s="12">
        <v>0</v>
      </c>
      <c r="BI56" s="12">
        <v>0</v>
      </c>
      <c r="BJ56" s="12">
        <v>0</v>
      </c>
      <c r="BK56" s="12">
        <v>0</v>
      </c>
      <c r="BL56" s="12">
        <v>0</v>
      </c>
      <c r="BM56" s="12">
        <v>0</v>
      </c>
      <c r="BN56" s="12">
        <v>0</v>
      </c>
      <c r="BO56" s="12">
        <v>0</v>
      </c>
      <c r="BP56" s="12">
        <v>0</v>
      </c>
      <c r="BQ56" s="12">
        <v>0</v>
      </c>
      <c r="BR56" s="12">
        <v>0</v>
      </c>
      <c r="BS56" s="12">
        <v>0</v>
      </c>
      <c r="BT56" s="12">
        <v>0</v>
      </c>
      <c r="BU56" s="12">
        <v>0</v>
      </c>
      <c r="BV56" s="12">
        <v>0</v>
      </c>
      <c r="BW56" s="12">
        <v>0</v>
      </c>
      <c r="BX56" s="12">
        <v>0</v>
      </c>
      <c r="BY56" s="12">
        <v>0</v>
      </c>
      <c r="BZ56" s="12">
        <v>0</v>
      </c>
      <c r="CA56" s="12">
        <v>0</v>
      </c>
      <c r="CB56" s="12">
        <v>0</v>
      </c>
      <c r="CC56" s="12">
        <v>0</v>
      </c>
      <c r="CD56" s="12">
        <v>0</v>
      </c>
      <c r="CE56" s="12">
        <v>0</v>
      </c>
      <c r="CF56" s="12">
        <v>0</v>
      </c>
      <c r="CG56" s="12">
        <v>0</v>
      </c>
      <c r="CH56" s="12">
        <v>0</v>
      </c>
      <c r="CI56" s="12">
        <v>0</v>
      </c>
      <c r="CJ56" s="12">
        <v>0</v>
      </c>
      <c r="CK56" s="12">
        <v>0</v>
      </c>
      <c r="CL56" s="12">
        <v>0</v>
      </c>
      <c r="CM56" s="12">
        <v>0</v>
      </c>
      <c r="CN56" s="12">
        <v>0</v>
      </c>
      <c r="CO56" s="12">
        <v>0</v>
      </c>
      <c r="CP56" s="12">
        <v>0</v>
      </c>
      <c r="CQ56" s="12">
        <v>0</v>
      </c>
      <c r="CR56" s="12">
        <v>0</v>
      </c>
      <c r="CS56" s="12">
        <v>0</v>
      </c>
      <c r="CT56" s="12">
        <v>0</v>
      </c>
      <c r="CU56" s="12">
        <v>0</v>
      </c>
      <c r="CV56" s="12">
        <v>0</v>
      </c>
      <c r="CW56" s="12">
        <v>0</v>
      </c>
      <c r="CX56" s="12">
        <v>0</v>
      </c>
      <c r="CY56" s="12">
        <v>0</v>
      </c>
      <c r="CZ56" s="12">
        <v>0</v>
      </c>
      <c r="DA56" s="12">
        <v>18</v>
      </c>
      <c r="DB56" s="12">
        <v>21</v>
      </c>
      <c r="DC56" s="12">
        <v>8</v>
      </c>
      <c r="DD56" s="12">
        <v>22</v>
      </c>
      <c r="DE56" s="12">
        <v>28</v>
      </c>
      <c r="DF56" s="12">
        <v>33</v>
      </c>
      <c r="DG56" s="12">
        <v>30</v>
      </c>
      <c r="DH56" s="12">
        <v>19</v>
      </c>
      <c r="DI56" s="12">
        <v>46</v>
      </c>
      <c r="DJ56" s="12">
        <v>36</v>
      </c>
      <c r="DK56" s="12">
        <v>28</v>
      </c>
      <c r="DL56" s="12">
        <v>29</v>
      </c>
      <c r="DM56" s="12">
        <v>26</v>
      </c>
      <c r="DN56" s="12">
        <v>31</v>
      </c>
      <c r="DO56" s="12">
        <v>30</v>
      </c>
      <c r="DP56" s="12">
        <v>27</v>
      </c>
      <c r="DQ56" s="12">
        <v>21</v>
      </c>
      <c r="DR56" s="12">
        <v>15</v>
      </c>
      <c r="DS56" s="12">
        <v>11</v>
      </c>
      <c r="DT56" s="12">
        <v>6</v>
      </c>
      <c r="DU56" s="12">
        <v>9</v>
      </c>
      <c r="DV56" s="12">
        <v>3</v>
      </c>
      <c r="DW56" s="12">
        <v>11</v>
      </c>
      <c r="DX56" s="12">
        <v>15</v>
      </c>
      <c r="DY56" s="12">
        <v>14</v>
      </c>
      <c r="DZ56" s="12">
        <v>13</v>
      </c>
      <c r="EA56" s="12">
        <v>3</v>
      </c>
      <c r="EB56" s="12">
        <v>8</v>
      </c>
      <c r="EC56" s="12">
        <v>8</v>
      </c>
      <c r="ED56" s="12">
        <v>10</v>
      </c>
      <c r="EE56" s="12">
        <v>3</v>
      </c>
      <c r="EF56" s="12">
        <v>13</v>
      </c>
      <c r="EG56" s="12">
        <v>5</v>
      </c>
      <c r="EH56" s="12">
        <v>10</v>
      </c>
      <c r="EI56" s="12">
        <v>10</v>
      </c>
      <c r="EJ56" s="12">
        <v>12</v>
      </c>
      <c r="EK56" s="12">
        <v>2</v>
      </c>
      <c r="EL56" s="12">
        <v>5</v>
      </c>
      <c r="EM56" s="12">
        <v>5</v>
      </c>
      <c r="EN56" s="12">
        <v>4</v>
      </c>
      <c r="EO56" s="12">
        <v>6</v>
      </c>
      <c r="EP56" s="12" t="str">
        <f>IF(EL56=0,"🔴 Sin venta",IF(EL56&lt;EQ93*0.8,"🟠 Bajo",IF(EL93&lt;=EQ56*1.2,"🟢 Bien","🔵 Sobre promedio")))</f>
        <v>🟢 Bien</v>
      </c>
      <c r="EQ56" s="23">
        <f t="shared" si="1"/>
        <v>9.9583333333333339</v>
      </c>
      <c r="ER56" s="19">
        <f t="shared" si="2"/>
        <v>96497.46</v>
      </c>
      <c r="ES56" s="12">
        <f t="shared" si="3"/>
        <v>249</v>
      </c>
      <c r="ET56" s="23">
        <f t="shared" si="16"/>
        <v>80</v>
      </c>
      <c r="EU56" s="23">
        <f t="shared" si="17"/>
        <v>122.5</v>
      </c>
      <c r="EV56" s="23">
        <f t="shared" si="6"/>
        <v>43.33</v>
      </c>
      <c r="EW56" s="23">
        <f t="shared" si="15"/>
        <v>595</v>
      </c>
      <c r="EX56" s="12">
        <v>226</v>
      </c>
      <c r="EY56" s="19" cm="1">
        <f t="array" ref="EY56:FC56">VLOOKUP(_xlfn.SINGLE(B:B),'[1]Price List'!$B:$N,{8,4,5,6,7},0)</f>
        <v>387.54</v>
      </c>
      <c r="EZ56" s="9" t="str">
        <v>Speck Presidio2 + MS iPhone 17 Pro Max Black/Slate Grey/White</v>
      </c>
      <c r="FA56" s="12" t="str">
        <v>Cases iPhone</v>
      </c>
      <c r="FB56" s="12" t="str">
        <v>iPhone 17</v>
      </c>
      <c r="FC56" s="12" t="str">
        <v>iPhone 17 Pro Max</v>
      </c>
      <c r="FD56" s="23" t="str">
        <f>_xlfn.XLOOKUP(B:B,'[1]Price List'!$B:$B,'[1]Price List'!$A:$A)</f>
        <v>Speck</v>
      </c>
    </row>
    <row r="57" spans="1:160" s="9" customFormat="1" x14ac:dyDescent="0.2">
      <c r="A57" s="23" t="s">
        <v>599</v>
      </c>
      <c r="B57" s="23">
        <v>840168547135</v>
      </c>
      <c r="C57" s="9" t="s">
        <v>585</v>
      </c>
      <c r="D57" s="9" t="s">
        <v>644</v>
      </c>
      <c r="E57" s="9" t="s">
        <v>477</v>
      </c>
      <c r="F57" s="9" t="s">
        <v>477</v>
      </c>
      <c r="G57" s="9" t="s">
        <v>477</v>
      </c>
      <c r="H57" s="12" t="s">
        <v>506</v>
      </c>
      <c r="I57" s="12">
        <v>999</v>
      </c>
      <c r="J57" s="11">
        <v>387.54</v>
      </c>
      <c r="K57" s="62">
        <v>0</v>
      </c>
      <c r="L57" s="12">
        <v>0</v>
      </c>
      <c r="M57" s="13" t="s">
        <v>466</v>
      </c>
      <c r="N57" s="13" t="s">
        <v>655</v>
      </c>
      <c r="O57" s="27">
        <v>46631</v>
      </c>
      <c r="P57" s="12">
        <v>0</v>
      </c>
      <c r="Q57" s="12">
        <v>0</v>
      </c>
      <c r="R57" s="12">
        <v>0</v>
      </c>
      <c r="S57" s="12">
        <v>0</v>
      </c>
      <c r="T57" s="12">
        <v>0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2">
        <v>0</v>
      </c>
      <c r="AD57" s="12">
        <v>0</v>
      </c>
      <c r="AE57" s="12">
        <v>0</v>
      </c>
      <c r="AF57" s="12">
        <v>0</v>
      </c>
      <c r="AG57" s="12">
        <v>0</v>
      </c>
      <c r="AH57" s="12">
        <v>0</v>
      </c>
      <c r="AI57" s="12">
        <v>0</v>
      </c>
      <c r="AJ57" s="12">
        <v>0</v>
      </c>
      <c r="AK57" s="12">
        <v>0</v>
      </c>
      <c r="AL57" s="12">
        <v>0</v>
      </c>
      <c r="AM57" s="12">
        <v>0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</v>
      </c>
      <c r="AT57" s="12">
        <v>0</v>
      </c>
      <c r="AU57" s="12">
        <v>0</v>
      </c>
      <c r="AV57" s="12">
        <v>0</v>
      </c>
      <c r="AW57" s="12">
        <v>0</v>
      </c>
      <c r="AX57" s="12">
        <v>0</v>
      </c>
      <c r="AY57" s="12">
        <v>0</v>
      </c>
      <c r="AZ57" s="12">
        <v>0</v>
      </c>
      <c r="BA57" s="12">
        <v>0</v>
      </c>
      <c r="BB57" s="12">
        <v>0</v>
      </c>
      <c r="BC57" s="12">
        <v>0</v>
      </c>
      <c r="BD57" s="12">
        <v>0</v>
      </c>
      <c r="BE57" s="12">
        <v>0</v>
      </c>
      <c r="BF57" s="12">
        <v>0</v>
      </c>
      <c r="BG57" s="12">
        <v>0</v>
      </c>
      <c r="BH57" s="12">
        <v>0</v>
      </c>
      <c r="BI57" s="12">
        <v>0</v>
      </c>
      <c r="BJ57" s="12">
        <v>0</v>
      </c>
      <c r="BK57" s="12">
        <v>0</v>
      </c>
      <c r="BL57" s="12">
        <v>0</v>
      </c>
      <c r="BM57" s="12">
        <v>0</v>
      </c>
      <c r="BN57" s="12">
        <v>0</v>
      </c>
      <c r="BO57" s="12">
        <v>0</v>
      </c>
      <c r="BP57" s="12">
        <v>0</v>
      </c>
      <c r="BQ57" s="12">
        <v>0</v>
      </c>
      <c r="BR57" s="12">
        <v>0</v>
      </c>
      <c r="BS57" s="12">
        <v>0</v>
      </c>
      <c r="BT57" s="12">
        <v>0</v>
      </c>
      <c r="BU57" s="12">
        <v>0</v>
      </c>
      <c r="BV57" s="12">
        <v>0</v>
      </c>
      <c r="BW57" s="12">
        <v>0</v>
      </c>
      <c r="BX57" s="12">
        <v>0</v>
      </c>
      <c r="BY57" s="12">
        <v>0</v>
      </c>
      <c r="BZ57" s="12">
        <v>0</v>
      </c>
      <c r="CA57" s="12">
        <v>0</v>
      </c>
      <c r="CB57" s="12">
        <v>0</v>
      </c>
      <c r="CC57" s="12">
        <v>0</v>
      </c>
      <c r="CD57" s="12">
        <v>0</v>
      </c>
      <c r="CE57" s="12">
        <v>0</v>
      </c>
      <c r="CF57" s="12">
        <v>0</v>
      </c>
      <c r="CG57" s="12">
        <v>0</v>
      </c>
      <c r="CH57" s="12">
        <v>0</v>
      </c>
      <c r="CI57" s="12">
        <v>0</v>
      </c>
      <c r="CJ57" s="12">
        <v>0</v>
      </c>
      <c r="CK57" s="12">
        <v>0</v>
      </c>
      <c r="CL57" s="12">
        <v>0</v>
      </c>
      <c r="CM57" s="12">
        <v>0</v>
      </c>
      <c r="CN57" s="12">
        <v>0</v>
      </c>
      <c r="CO57" s="12">
        <v>0</v>
      </c>
      <c r="CP57" s="12">
        <v>0</v>
      </c>
      <c r="CQ57" s="12">
        <v>0</v>
      </c>
      <c r="CR57" s="12">
        <v>0</v>
      </c>
      <c r="CS57" s="12">
        <v>0</v>
      </c>
      <c r="CT57" s="12">
        <v>0</v>
      </c>
      <c r="CU57" s="12">
        <v>0</v>
      </c>
      <c r="CV57" s="12">
        <v>0</v>
      </c>
      <c r="CW57" s="12">
        <v>0</v>
      </c>
      <c r="CX57" s="12">
        <v>0</v>
      </c>
      <c r="CY57" s="12">
        <v>0</v>
      </c>
      <c r="CZ57" s="12">
        <v>0</v>
      </c>
      <c r="DA57" s="12">
        <v>3</v>
      </c>
      <c r="DB57" s="12">
        <v>7</v>
      </c>
      <c r="DC57" s="12">
        <v>1</v>
      </c>
      <c r="DD57" s="12">
        <v>3</v>
      </c>
      <c r="DE57" s="12">
        <v>1</v>
      </c>
      <c r="DF57" s="12">
        <v>1</v>
      </c>
      <c r="DG57" s="12">
        <v>6</v>
      </c>
      <c r="DH57" s="12">
        <v>2</v>
      </c>
      <c r="DI57" s="12">
        <v>4</v>
      </c>
      <c r="DJ57" s="12">
        <v>2</v>
      </c>
      <c r="DK57" s="12">
        <v>8</v>
      </c>
      <c r="DL57" s="12">
        <v>5</v>
      </c>
      <c r="DM57" s="12">
        <v>1</v>
      </c>
      <c r="DN57" s="12">
        <v>4</v>
      </c>
      <c r="DO57" s="12">
        <v>6</v>
      </c>
      <c r="DP57" s="12">
        <v>3</v>
      </c>
      <c r="DQ57" s="12">
        <v>3</v>
      </c>
      <c r="DR57" s="12">
        <v>2</v>
      </c>
      <c r="DS57" s="12">
        <v>5</v>
      </c>
      <c r="DT57" s="12">
        <v>0</v>
      </c>
      <c r="DU57" s="12">
        <v>1</v>
      </c>
      <c r="DV57" s="12">
        <v>2</v>
      </c>
      <c r="DW57" s="12">
        <v>2</v>
      </c>
      <c r="DX57" s="12">
        <v>1</v>
      </c>
      <c r="DY57" s="12">
        <v>3</v>
      </c>
      <c r="DZ57" s="12">
        <v>2</v>
      </c>
      <c r="EA57" s="12">
        <v>5</v>
      </c>
      <c r="EB57" s="12">
        <v>3</v>
      </c>
      <c r="EC57" s="12">
        <v>2</v>
      </c>
      <c r="ED57" s="12">
        <v>2</v>
      </c>
      <c r="EE57" s="12">
        <v>2</v>
      </c>
      <c r="EF57" s="12">
        <v>1</v>
      </c>
      <c r="EG57" s="12">
        <v>2</v>
      </c>
      <c r="EH57" s="12">
        <v>3</v>
      </c>
      <c r="EI57" s="12">
        <v>3</v>
      </c>
      <c r="EJ57" s="12">
        <v>2</v>
      </c>
      <c r="EK57" s="12">
        <v>2</v>
      </c>
      <c r="EL57" s="12">
        <v>4</v>
      </c>
      <c r="EM57" s="12">
        <v>4</v>
      </c>
      <c r="EN57" s="12">
        <v>3</v>
      </c>
      <c r="EO57" s="12">
        <v>2</v>
      </c>
      <c r="EP57" s="12" t="str">
        <f>IF(EL57=0,"🔴 Sin venta",IF(EL57&lt;EQ13*0.8,"🟠 Bajo",IF(EL13&lt;=EQ57*1.2,"🟢 Bien","🔵 Sobre promedio")))</f>
        <v>🟢 Bien</v>
      </c>
      <c r="EQ57" s="23">
        <f t="shared" si="1"/>
        <v>2.4583333333333335</v>
      </c>
      <c r="ER57" s="19">
        <f t="shared" si="2"/>
        <v>24802.560000000001</v>
      </c>
      <c r="ES57" s="12">
        <f t="shared" si="3"/>
        <v>64</v>
      </c>
      <c r="ET57" s="23">
        <f t="shared" si="16"/>
        <v>11</v>
      </c>
      <c r="EU57" s="23">
        <f t="shared" si="17"/>
        <v>16</v>
      </c>
      <c r="EV57" s="23">
        <f t="shared" si="6"/>
        <v>9.11</v>
      </c>
      <c r="EW57" s="23">
        <f t="shared" si="15"/>
        <v>93</v>
      </c>
      <c r="EX57" s="12">
        <v>154</v>
      </c>
      <c r="EY57" s="19" cm="1">
        <f t="array" ref="EY57:FC57">VLOOKUP(_xlfn.SINGLE(B:B),'[1]Price List'!$B:$N,{8,4,5,6,7},0)</f>
        <v>387.54</v>
      </c>
      <c r="EZ57" s="9" t="str">
        <v>Speck Presidio2 + MS iPhone 17 Deep Sea/Silver Metallic/Spell Blue</v>
      </c>
      <c r="FA57" s="12" t="str">
        <v>Cases iPhone</v>
      </c>
      <c r="FB57" s="12" t="str">
        <v>iPhone 17</v>
      </c>
      <c r="FC57" s="12" t="str">
        <v>iPhone 17</v>
      </c>
      <c r="FD57" s="23" t="str">
        <f>_xlfn.XLOOKUP(B:B,'[1]Price List'!$B:$B,'[1]Price List'!$A:$A)</f>
        <v>Speck</v>
      </c>
    </row>
    <row r="58" spans="1:160" s="9" customFormat="1" x14ac:dyDescent="0.2">
      <c r="A58" s="23" t="s">
        <v>599</v>
      </c>
      <c r="B58" s="23">
        <v>840168547302</v>
      </c>
      <c r="C58" s="9" t="s">
        <v>586</v>
      </c>
      <c r="D58" s="9" t="s">
        <v>644</v>
      </c>
      <c r="E58" s="9" t="s">
        <v>477</v>
      </c>
      <c r="F58" s="9" t="s">
        <v>478</v>
      </c>
      <c r="G58" s="9" t="s">
        <v>478</v>
      </c>
      <c r="H58" s="12" t="s">
        <v>507</v>
      </c>
      <c r="I58" s="12">
        <v>999</v>
      </c>
      <c r="J58" s="11">
        <v>387.54</v>
      </c>
      <c r="K58" s="62">
        <v>0</v>
      </c>
      <c r="L58" s="12">
        <v>0</v>
      </c>
      <c r="M58" s="13" t="s">
        <v>466</v>
      </c>
      <c r="N58" s="13" t="s">
        <v>655</v>
      </c>
      <c r="O58" s="27">
        <v>46631</v>
      </c>
      <c r="P58" s="12">
        <v>0</v>
      </c>
      <c r="Q58" s="12">
        <v>0</v>
      </c>
      <c r="R58" s="12">
        <v>0</v>
      </c>
      <c r="S58" s="12">
        <v>0</v>
      </c>
      <c r="T58" s="12">
        <v>0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2">
        <v>0</v>
      </c>
      <c r="AD58" s="12">
        <v>0</v>
      </c>
      <c r="AE58" s="12">
        <v>0</v>
      </c>
      <c r="AF58" s="12">
        <v>0</v>
      </c>
      <c r="AG58" s="12">
        <v>0</v>
      </c>
      <c r="AH58" s="12">
        <v>0</v>
      </c>
      <c r="AI58" s="12">
        <v>0</v>
      </c>
      <c r="AJ58" s="12">
        <v>0</v>
      </c>
      <c r="AK58" s="12">
        <v>0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2">
        <v>0</v>
      </c>
      <c r="AW58" s="12">
        <v>0</v>
      </c>
      <c r="AX58" s="12">
        <v>0</v>
      </c>
      <c r="AY58" s="12">
        <v>0</v>
      </c>
      <c r="AZ58" s="12">
        <v>0</v>
      </c>
      <c r="BA58" s="12">
        <v>0</v>
      </c>
      <c r="BB58" s="12">
        <v>0</v>
      </c>
      <c r="BC58" s="12">
        <v>0</v>
      </c>
      <c r="BD58" s="12">
        <v>0</v>
      </c>
      <c r="BE58" s="12">
        <v>0</v>
      </c>
      <c r="BF58" s="12">
        <v>0</v>
      </c>
      <c r="BG58" s="12">
        <v>0</v>
      </c>
      <c r="BH58" s="12">
        <v>0</v>
      </c>
      <c r="BI58" s="12">
        <v>0</v>
      </c>
      <c r="BJ58" s="12">
        <v>0</v>
      </c>
      <c r="BK58" s="12">
        <v>0</v>
      </c>
      <c r="BL58" s="12">
        <v>0</v>
      </c>
      <c r="BM58" s="12">
        <v>0</v>
      </c>
      <c r="BN58" s="12">
        <v>0</v>
      </c>
      <c r="BO58" s="12">
        <v>0</v>
      </c>
      <c r="BP58" s="12">
        <v>0</v>
      </c>
      <c r="BQ58" s="12">
        <v>0</v>
      </c>
      <c r="BR58" s="12">
        <v>0</v>
      </c>
      <c r="BS58" s="12">
        <v>0</v>
      </c>
      <c r="BT58" s="12">
        <v>0</v>
      </c>
      <c r="BU58" s="12">
        <v>0</v>
      </c>
      <c r="BV58" s="12">
        <v>0</v>
      </c>
      <c r="BW58" s="12">
        <v>0</v>
      </c>
      <c r="BX58" s="12">
        <v>0</v>
      </c>
      <c r="BY58" s="12">
        <v>0</v>
      </c>
      <c r="BZ58" s="12">
        <v>0</v>
      </c>
      <c r="CA58" s="12">
        <v>0</v>
      </c>
      <c r="CB58" s="12">
        <v>0</v>
      </c>
      <c r="CC58" s="12">
        <v>0</v>
      </c>
      <c r="CD58" s="12">
        <v>0</v>
      </c>
      <c r="CE58" s="12">
        <v>0</v>
      </c>
      <c r="CF58" s="12">
        <v>0</v>
      </c>
      <c r="CG58" s="12">
        <v>0</v>
      </c>
      <c r="CH58" s="12">
        <v>0</v>
      </c>
      <c r="CI58" s="12">
        <v>0</v>
      </c>
      <c r="CJ58" s="12">
        <v>0</v>
      </c>
      <c r="CK58" s="12">
        <v>0</v>
      </c>
      <c r="CL58" s="12">
        <v>0</v>
      </c>
      <c r="CM58" s="12">
        <v>0</v>
      </c>
      <c r="CN58" s="12">
        <v>0</v>
      </c>
      <c r="CO58" s="12">
        <v>0</v>
      </c>
      <c r="CP58" s="12">
        <v>0</v>
      </c>
      <c r="CQ58" s="12">
        <v>0</v>
      </c>
      <c r="CR58" s="12">
        <v>0</v>
      </c>
      <c r="CS58" s="12">
        <v>0</v>
      </c>
      <c r="CT58" s="12">
        <v>0</v>
      </c>
      <c r="CU58" s="12">
        <v>0</v>
      </c>
      <c r="CV58" s="12">
        <v>0</v>
      </c>
      <c r="CW58" s="12">
        <v>0</v>
      </c>
      <c r="CX58" s="12">
        <v>0</v>
      </c>
      <c r="CY58" s="12">
        <v>0</v>
      </c>
      <c r="CZ58" s="12">
        <v>0</v>
      </c>
      <c r="DA58" s="12">
        <v>35</v>
      </c>
      <c r="DB58" s="12">
        <v>24</v>
      </c>
      <c r="DC58" s="12">
        <v>6</v>
      </c>
      <c r="DD58" s="12">
        <v>6</v>
      </c>
      <c r="DE58" s="12">
        <v>15</v>
      </c>
      <c r="DF58" s="12">
        <v>13</v>
      </c>
      <c r="DG58" s="12">
        <v>8</v>
      </c>
      <c r="DH58" s="12">
        <v>6</v>
      </c>
      <c r="DI58" s="12">
        <v>20</v>
      </c>
      <c r="DJ58" s="12">
        <v>15</v>
      </c>
      <c r="DK58" s="12">
        <v>13</v>
      </c>
      <c r="DL58" s="12">
        <v>7</v>
      </c>
      <c r="DM58" s="12">
        <v>17</v>
      </c>
      <c r="DN58" s="12">
        <v>9</v>
      </c>
      <c r="DO58" s="12">
        <v>9</v>
      </c>
      <c r="DP58" s="12">
        <v>11</v>
      </c>
      <c r="DQ58" s="12">
        <v>10</v>
      </c>
      <c r="DR58" s="12">
        <v>10</v>
      </c>
      <c r="DS58" s="12">
        <v>4</v>
      </c>
      <c r="DT58" s="12">
        <v>9</v>
      </c>
      <c r="DU58" s="12">
        <v>4</v>
      </c>
      <c r="DV58" s="12">
        <v>4</v>
      </c>
      <c r="DW58" s="12">
        <v>5</v>
      </c>
      <c r="DX58" s="12">
        <v>2</v>
      </c>
      <c r="DY58" s="12">
        <v>5</v>
      </c>
      <c r="DZ58" s="12">
        <v>3</v>
      </c>
      <c r="EA58" s="12">
        <v>3</v>
      </c>
      <c r="EB58" s="12">
        <v>3</v>
      </c>
      <c r="EC58" s="12">
        <v>4</v>
      </c>
      <c r="ED58" s="12">
        <v>5</v>
      </c>
      <c r="EE58" s="12">
        <v>4</v>
      </c>
      <c r="EF58" s="12">
        <v>4</v>
      </c>
      <c r="EG58" s="12">
        <v>1</v>
      </c>
      <c r="EH58" s="12">
        <v>8</v>
      </c>
      <c r="EI58" s="12">
        <v>4</v>
      </c>
      <c r="EJ58" s="12">
        <v>3</v>
      </c>
      <c r="EK58" s="12">
        <v>3</v>
      </c>
      <c r="EL58" s="12">
        <v>2</v>
      </c>
      <c r="EM58" s="12">
        <v>6</v>
      </c>
      <c r="EN58" s="12">
        <v>4</v>
      </c>
      <c r="EO58" s="12">
        <v>4</v>
      </c>
      <c r="EP58" s="12" t="str">
        <f t="shared" ref="EP58:EP91" si="18">IF(EL58=0,"🔴 Sin venta",IF(EL58&lt;EQ94*0.8,"🟠 Bajo",IF(EL94&lt;=EQ58*1.2,"🟢 Bien","🔵 Sobre promedio")))</f>
        <v>🟢 Bien</v>
      </c>
      <c r="EQ58" s="23">
        <f t="shared" si="1"/>
        <v>4.875</v>
      </c>
      <c r="ER58" s="19">
        <f t="shared" si="2"/>
        <v>48442.5</v>
      </c>
      <c r="ES58" s="12">
        <f t="shared" si="3"/>
        <v>125</v>
      </c>
      <c r="ET58" s="23">
        <f t="shared" si="16"/>
        <v>53.5</v>
      </c>
      <c r="EU58" s="23">
        <f t="shared" si="17"/>
        <v>48</v>
      </c>
      <c r="EV58" s="23">
        <f t="shared" si="6"/>
        <v>20.22</v>
      </c>
      <c r="EW58" s="23">
        <f t="shared" si="15"/>
        <v>293</v>
      </c>
      <c r="EX58" s="12">
        <v>201</v>
      </c>
      <c r="EY58" s="19" cm="1">
        <f t="array" ref="EY58:FC58">VLOOKUP(_xlfn.SINGLE(B:B),'[1]Price List'!$B:$N,{8,4,5,6,7},0)</f>
        <v>387.54</v>
      </c>
      <c r="EZ58" s="9" t="str">
        <v>Speck Presidio2  + MS iPhone 17 Pro Deep Sea/Silver Metallic/Spell Blue</v>
      </c>
      <c r="FA58" s="12" t="str">
        <v>Cases iPhone</v>
      </c>
      <c r="FB58" s="12" t="str">
        <v>iPhone 17</v>
      </c>
      <c r="FC58" s="12" t="str">
        <v>iPhone 17 Pro</v>
      </c>
      <c r="FD58" s="23" t="str">
        <f>_xlfn.XLOOKUP(B:B,'[1]Price List'!$B:$B,'[1]Price List'!$A:$A)</f>
        <v>Speck</v>
      </c>
    </row>
    <row r="59" spans="1:160" s="9" customFormat="1" x14ac:dyDescent="0.2">
      <c r="A59" s="23" t="s">
        <v>599</v>
      </c>
      <c r="B59" s="23">
        <v>840168547401</v>
      </c>
      <c r="C59" s="9" t="s">
        <v>587</v>
      </c>
      <c r="D59" s="9" t="s">
        <v>644</v>
      </c>
      <c r="E59" s="9" t="s">
        <v>477</v>
      </c>
      <c r="F59" s="9" t="s">
        <v>479</v>
      </c>
      <c r="G59" s="9" t="s">
        <v>479</v>
      </c>
      <c r="H59" s="12" t="s">
        <v>508</v>
      </c>
      <c r="I59" s="12">
        <v>999</v>
      </c>
      <c r="J59" s="11">
        <v>387.54</v>
      </c>
      <c r="K59" s="62">
        <v>0</v>
      </c>
      <c r="L59" s="12">
        <v>0</v>
      </c>
      <c r="M59" s="13" t="s">
        <v>466</v>
      </c>
      <c r="N59" s="13" t="s">
        <v>655</v>
      </c>
      <c r="O59" s="27">
        <v>46631</v>
      </c>
      <c r="P59" s="12">
        <v>0</v>
      </c>
      <c r="Q59" s="12">
        <v>0</v>
      </c>
      <c r="R59" s="12">
        <v>0</v>
      </c>
      <c r="S59" s="12">
        <v>0</v>
      </c>
      <c r="T59" s="12">
        <v>0</v>
      </c>
      <c r="U59" s="12">
        <v>0</v>
      </c>
      <c r="V59" s="12">
        <v>0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2">
        <v>0</v>
      </c>
      <c r="AD59" s="12">
        <v>0</v>
      </c>
      <c r="AE59" s="12">
        <v>0</v>
      </c>
      <c r="AF59" s="12">
        <v>0</v>
      </c>
      <c r="AG59" s="12">
        <v>0</v>
      </c>
      <c r="AH59" s="12">
        <v>0</v>
      </c>
      <c r="AI59" s="12">
        <v>0</v>
      </c>
      <c r="AJ59" s="12">
        <v>0</v>
      </c>
      <c r="AK59" s="12">
        <v>0</v>
      </c>
      <c r="AL59" s="12">
        <v>0</v>
      </c>
      <c r="AM59" s="12">
        <v>0</v>
      </c>
      <c r="AN59" s="12">
        <v>0</v>
      </c>
      <c r="AO59" s="12">
        <v>0</v>
      </c>
      <c r="AP59" s="12">
        <v>0</v>
      </c>
      <c r="AQ59" s="12">
        <v>0</v>
      </c>
      <c r="AR59" s="12">
        <v>0</v>
      </c>
      <c r="AS59" s="12">
        <v>0</v>
      </c>
      <c r="AT59" s="12">
        <v>0</v>
      </c>
      <c r="AU59" s="12">
        <v>0</v>
      </c>
      <c r="AV59" s="12">
        <v>0</v>
      </c>
      <c r="AW59" s="12">
        <v>0</v>
      </c>
      <c r="AX59" s="12">
        <v>0</v>
      </c>
      <c r="AY59" s="12">
        <v>0</v>
      </c>
      <c r="AZ59" s="12">
        <v>0</v>
      </c>
      <c r="BA59" s="12">
        <v>0</v>
      </c>
      <c r="BB59" s="12">
        <v>0</v>
      </c>
      <c r="BC59" s="12">
        <v>0</v>
      </c>
      <c r="BD59" s="12">
        <v>0</v>
      </c>
      <c r="BE59" s="12">
        <v>0</v>
      </c>
      <c r="BF59" s="12">
        <v>0</v>
      </c>
      <c r="BG59" s="12">
        <v>0</v>
      </c>
      <c r="BH59" s="12">
        <v>0</v>
      </c>
      <c r="BI59" s="12">
        <v>0</v>
      </c>
      <c r="BJ59" s="12">
        <v>0</v>
      </c>
      <c r="BK59" s="12">
        <v>0</v>
      </c>
      <c r="BL59" s="12">
        <v>0</v>
      </c>
      <c r="BM59" s="12">
        <v>0</v>
      </c>
      <c r="BN59" s="12">
        <v>0</v>
      </c>
      <c r="BO59" s="12">
        <v>0</v>
      </c>
      <c r="BP59" s="12">
        <v>0</v>
      </c>
      <c r="BQ59" s="12">
        <v>0</v>
      </c>
      <c r="BR59" s="12">
        <v>0</v>
      </c>
      <c r="BS59" s="12">
        <v>0</v>
      </c>
      <c r="BT59" s="12">
        <v>0</v>
      </c>
      <c r="BU59" s="12">
        <v>0</v>
      </c>
      <c r="BV59" s="12">
        <v>0</v>
      </c>
      <c r="BW59" s="12">
        <v>0</v>
      </c>
      <c r="BX59" s="12">
        <v>0</v>
      </c>
      <c r="BY59" s="12">
        <v>0</v>
      </c>
      <c r="BZ59" s="12">
        <v>0</v>
      </c>
      <c r="CA59" s="12">
        <v>0</v>
      </c>
      <c r="CB59" s="12">
        <v>0</v>
      </c>
      <c r="CC59" s="12">
        <v>0</v>
      </c>
      <c r="CD59" s="12">
        <v>0</v>
      </c>
      <c r="CE59" s="12">
        <v>0</v>
      </c>
      <c r="CF59" s="12">
        <v>0</v>
      </c>
      <c r="CG59" s="12">
        <v>0</v>
      </c>
      <c r="CH59" s="12">
        <v>0</v>
      </c>
      <c r="CI59" s="12">
        <v>0</v>
      </c>
      <c r="CJ59" s="12">
        <v>0</v>
      </c>
      <c r="CK59" s="12">
        <v>0</v>
      </c>
      <c r="CL59" s="12">
        <v>0</v>
      </c>
      <c r="CM59" s="12">
        <v>0</v>
      </c>
      <c r="CN59" s="12">
        <v>0</v>
      </c>
      <c r="CO59" s="12">
        <v>0</v>
      </c>
      <c r="CP59" s="12">
        <v>0</v>
      </c>
      <c r="CQ59" s="12">
        <v>0</v>
      </c>
      <c r="CR59" s="12">
        <v>0</v>
      </c>
      <c r="CS59" s="12">
        <v>0</v>
      </c>
      <c r="CT59" s="12">
        <v>0</v>
      </c>
      <c r="CU59" s="12">
        <v>0</v>
      </c>
      <c r="CV59" s="12">
        <v>0</v>
      </c>
      <c r="CW59" s="12">
        <v>0</v>
      </c>
      <c r="CX59" s="12">
        <v>0</v>
      </c>
      <c r="CY59" s="12">
        <v>0</v>
      </c>
      <c r="CZ59" s="12">
        <v>0</v>
      </c>
      <c r="DA59" s="12">
        <v>14</v>
      </c>
      <c r="DB59" s="12">
        <v>33</v>
      </c>
      <c r="DC59" s="12">
        <v>15</v>
      </c>
      <c r="DD59" s="12">
        <v>15</v>
      </c>
      <c r="DE59" s="12">
        <v>26</v>
      </c>
      <c r="DF59" s="12">
        <v>36</v>
      </c>
      <c r="DG59" s="12">
        <v>31</v>
      </c>
      <c r="DH59" s="12">
        <v>30</v>
      </c>
      <c r="DI59" s="12">
        <v>49</v>
      </c>
      <c r="DJ59" s="12">
        <v>39</v>
      </c>
      <c r="DK59" s="12">
        <v>38</v>
      </c>
      <c r="DL59" s="12">
        <v>27</v>
      </c>
      <c r="DM59" s="12">
        <v>28</v>
      </c>
      <c r="DN59" s="12">
        <v>37</v>
      </c>
      <c r="DO59" s="12">
        <v>33</v>
      </c>
      <c r="DP59" s="12">
        <v>27</v>
      </c>
      <c r="DQ59" s="12">
        <v>10</v>
      </c>
      <c r="DR59" s="12">
        <v>16</v>
      </c>
      <c r="DS59" s="12">
        <v>7</v>
      </c>
      <c r="DT59" s="12">
        <v>10</v>
      </c>
      <c r="DU59" s="12">
        <v>6</v>
      </c>
      <c r="DV59" s="12">
        <v>2</v>
      </c>
      <c r="DW59" s="12">
        <v>19</v>
      </c>
      <c r="DX59" s="12">
        <v>11</v>
      </c>
      <c r="DY59" s="12">
        <v>13</v>
      </c>
      <c r="DZ59" s="12">
        <v>10</v>
      </c>
      <c r="EA59" s="12">
        <v>9</v>
      </c>
      <c r="EB59" s="12">
        <v>5</v>
      </c>
      <c r="EC59" s="12">
        <v>7</v>
      </c>
      <c r="ED59" s="12">
        <v>5</v>
      </c>
      <c r="EE59" s="12">
        <v>6</v>
      </c>
      <c r="EF59" s="12">
        <v>12</v>
      </c>
      <c r="EG59" s="12">
        <v>10</v>
      </c>
      <c r="EH59" s="12">
        <v>6</v>
      </c>
      <c r="EI59" s="12">
        <v>3</v>
      </c>
      <c r="EJ59" s="12">
        <v>5</v>
      </c>
      <c r="EK59" s="12">
        <v>17</v>
      </c>
      <c r="EL59" s="12">
        <v>6</v>
      </c>
      <c r="EM59" s="12">
        <v>5</v>
      </c>
      <c r="EN59" s="12">
        <v>7</v>
      </c>
      <c r="EO59" s="12">
        <v>7</v>
      </c>
      <c r="EP59" s="12" t="str">
        <f t="shared" si="18"/>
        <v>🟢 Bien</v>
      </c>
      <c r="EQ59" s="23">
        <f t="shared" si="1"/>
        <v>9.4583333333333339</v>
      </c>
      <c r="ER59" s="19">
        <f t="shared" si="2"/>
        <v>93397.14</v>
      </c>
      <c r="ES59" s="12">
        <f t="shared" si="3"/>
        <v>241</v>
      </c>
      <c r="ET59" s="23">
        <f t="shared" si="16"/>
        <v>85</v>
      </c>
      <c r="EU59" s="23">
        <f t="shared" si="17"/>
        <v>140.5</v>
      </c>
      <c r="EV59" s="23">
        <f t="shared" si="6"/>
        <v>41.11</v>
      </c>
      <c r="EW59" s="23">
        <f t="shared" si="15"/>
        <v>626</v>
      </c>
      <c r="EX59" s="12">
        <v>171</v>
      </c>
      <c r="EY59" s="19" cm="1">
        <f t="array" ref="EY59:FC59">VLOOKUP(_xlfn.SINGLE(B:B),'[1]Price List'!$B:$N,{8,4,5,6,7},0)</f>
        <v>387.54</v>
      </c>
      <c r="EZ59" s="9" t="str">
        <v>Speck Presidio2 + MS iPhone 17 Pro Max Deep Sea/Silver Metallic/Spell Blue</v>
      </c>
      <c r="FA59" s="12" t="str">
        <v>Cases iPhone</v>
      </c>
      <c r="FB59" s="12" t="str">
        <v>iPhone 17</v>
      </c>
      <c r="FC59" s="12" t="str">
        <v>iPhone 17 Pro Max</v>
      </c>
      <c r="FD59" s="23" t="str">
        <f>_xlfn.XLOOKUP(B:B,'[1]Price List'!$B:$B,'[1]Price List'!$A:$A)</f>
        <v>Speck</v>
      </c>
    </row>
    <row r="60" spans="1:160" s="42" customFormat="1" x14ac:dyDescent="0.2">
      <c r="A60" s="41" t="s">
        <v>598</v>
      </c>
      <c r="B60" s="41">
        <v>856504014285</v>
      </c>
      <c r="C60" s="9" t="s">
        <v>588</v>
      </c>
      <c r="D60" s="9" t="s">
        <v>644</v>
      </c>
      <c r="E60" s="9" t="s">
        <v>637</v>
      </c>
      <c r="F60" s="9" t="s">
        <v>479</v>
      </c>
      <c r="G60" s="9" t="s">
        <v>479</v>
      </c>
      <c r="H60" s="43" t="s">
        <v>509</v>
      </c>
      <c r="I60" s="43">
        <v>1099</v>
      </c>
      <c r="J60" s="44">
        <v>521.08000000000004</v>
      </c>
      <c r="K60" s="62">
        <v>0</v>
      </c>
      <c r="L60" s="43">
        <v>0</v>
      </c>
      <c r="M60" s="45" t="s">
        <v>466</v>
      </c>
      <c r="N60" s="13" t="s">
        <v>383</v>
      </c>
      <c r="O60" s="46">
        <v>46631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43">
        <v>0</v>
      </c>
      <c r="W60" s="43">
        <v>0</v>
      </c>
      <c r="X60" s="43">
        <v>0</v>
      </c>
      <c r="Y60" s="43">
        <v>0</v>
      </c>
      <c r="Z60" s="43">
        <v>0</v>
      </c>
      <c r="AA60" s="43">
        <v>0</v>
      </c>
      <c r="AB60" s="43">
        <v>0</v>
      </c>
      <c r="AC60" s="43">
        <v>0</v>
      </c>
      <c r="AD60" s="43">
        <v>0</v>
      </c>
      <c r="AE60" s="43">
        <v>0</v>
      </c>
      <c r="AF60" s="43">
        <v>0</v>
      </c>
      <c r="AG60" s="43">
        <v>0</v>
      </c>
      <c r="AH60" s="43">
        <v>0</v>
      </c>
      <c r="AI60" s="43">
        <v>0</v>
      </c>
      <c r="AJ60" s="43">
        <v>0</v>
      </c>
      <c r="AK60" s="43">
        <v>0</v>
      </c>
      <c r="AL60" s="43">
        <v>0</v>
      </c>
      <c r="AM60" s="43">
        <v>0</v>
      </c>
      <c r="AN60" s="43">
        <v>0</v>
      </c>
      <c r="AO60" s="43">
        <v>0</v>
      </c>
      <c r="AP60" s="43">
        <v>0</v>
      </c>
      <c r="AQ60" s="43">
        <v>0</v>
      </c>
      <c r="AR60" s="43">
        <v>0</v>
      </c>
      <c r="AS60" s="43">
        <v>0</v>
      </c>
      <c r="AT60" s="43">
        <v>0</v>
      </c>
      <c r="AU60" s="43">
        <v>0</v>
      </c>
      <c r="AV60" s="43">
        <v>0</v>
      </c>
      <c r="AW60" s="43">
        <v>0</v>
      </c>
      <c r="AX60" s="43">
        <v>0</v>
      </c>
      <c r="AY60" s="43">
        <v>0</v>
      </c>
      <c r="AZ60" s="43">
        <v>0</v>
      </c>
      <c r="BA60" s="43">
        <v>0</v>
      </c>
      <c r="BB60" s="43">
        <v>0</v>
      </c>
      <c r="BC60" s="43">
        <v>0</v>
      </c>
      <c r="BD60" s="43">
        <v>0</v>
      </c>
      <c r="BE60" s="43">
        <v>0</v>
      </c>
      <c r="BF60" s="43">
        <v>0</v>
      </c>
      <c r="BG60" s="43">
        <v>0</v>
      </c>
      <c r="BH60" s="43">
        <v>0</v>
      </c>
      <c r="BI60" s="43">
        <v>0</v>
      </c>
      <c r="BJ60" s="43">
        <v>0</v>
      </c>
      <c r="BK60" s="43">
        <v>0</v>
      </c>
      <c r="BL60" s="43">
        <v>0</v>
      </c>
      <c r="BM60" s="43">
        <v>0</v>
      </c>
      <c r="BN60" s="43">
        <v>0</v>
      </c>
      <c r="BO60" s="43">
        <v>0</v>
      </c>
      <c r="BP60" s="43">
        <v>0</v>
      </c>
      <c r="BQ60" s="43">
        <v>0</v>
      </c>
      <c r="BR60" s="43">
        <v>0</v>
      </c>
      <c r="BS60" s="43">
        <v>0</v>
      </c>
      <c r="BT60" s="43">
        <v>0</v>
      </c>
      <c r="BU60" s="43">
        <v>0</v>
      </c>
      <c r="BV60" s="43">
        <v>0</v>
      </c>
      <c r="BW60" s="43">
        <v>0</v>
      </c>
      <c r="BX60" s="43">
        <v>0</v>
      </c>
      <c r="BY60" s="43">
        <v>0</v>
      </c>
      <c r="BZ60" s="43">
        <v>0</v>
      </c>
      <c r="CA60" s="43">
        <v>0</v>
      </c>
      <c r="CB60" s="43">
        <v>0</v>
      </c>
      <c r="CC60" s="43">
        <v>0</v>
      </c>
      <c r="CD60" s="43">
        <v>0</v>
      </c>
      <c r="CE60" s="43">
        <v>0</v>
      </c>
      <c r="CF60" s="43">
        <v>0</v>
      </c>
      <c r="CG60" s="43">
        <v>0</v>
      </c>
      <c r="CH60" s="43">
        <v>0</v>
      </c>
      <c r="CI60" s="43">
        <v>0</v>
      </c>
      <c r="CJ60" s="43">
        <v>0</v>
      </c>
      <c r="CK60" s="43">
        <v>0</v>
      </c>
      <c r="CL60" s="43">
        <v>0</v>
      </c>
      <c r="CM60" s="43">
        <v>0</v>
      </c>
      <c r="CN60" s="43">
        <v>0</v>
      </c>
      <c r="CO60" s="43">
        <v>0</v>
      </c>
      <c r="CP60" s="43">
        <v>0</v>
      </c>
      <c r="CQ60" s="43">
        <v>0</v>
      </c>
      <c r="CR60" s="43">
        <v>0</v>
      </c>
      <c r="CS60" s="43">
        <v>0</v>
      </c>
      <c r="CT60" s="43">
        <v>0</v>
      </c>
      <c r="CU60" s="43">
        <v>0</v>
      </c>
      <c r="CV60" s="43">
        <v>0</v>
      </c>
      <c r="CW60" s="43">
        <v>0</v>
      </c>
      <c r="CX60" s="43">
        <v>0</v>
      </c>
      <c r="CY60" s="43">
        <v>0</v>
      </c>
      <c r="CZ60" s="43">
        <v>0</v>
      </c>
      <c r="DA60" s="43">
        <v>33</v>
      </c>
      <c r="DB60" s="43">
        <v>56</v>
      </c>
      <c r="DC60" s="43">
        <v>12</v>
      </c>
      <c r="DD60" s="43">
        <v>52</v>
      </c>
      <c r="DE60" s="43">
        <v>47</v>
      </c>
      <c r="DF60" s="43">
        <v>71</v>
      </c>
      <c r="DG60" s="43">
        <v>43</v>
      </c>
      <c r="DH60" s="43">
        <v>72</v>
      </c>
      <c r="DI60" s="43">
        <v>82</v>
      </c>
      <c r="DJ60" s="43">
        <v>33</v>
      </c>
      <c r="DK60" s="43">
        <v>22</v>
      </c>
      <c r="DL60" s="43">
        <v>40</v>
      </c>
      <c r="DM60" s="43">
        <v>74</v>
      </c>
      <c r="DN60" s="43">
        <v>71</v>
      </c>
      <c r="DO60" s="43">
        <v>54</v>
      </c>
      <c r="DP60" s="43">
        <v>64</v>
      </c>
      <c r="DQ60" s="43">
        <v>69</v>
      </c>
      <c r="DR60" s="12">
        <v>32</v>
      </c>
      <c r="DS60" s="12">
        <v>31</v>
      </c>
      <c r="DT60" s="12">
        <v>42</v>
      </c>
      <c r="DU60" s="12">
        <v>34</v>
      </c>
      <c r="DV60" s="12">
        <v>23</v>
      </c>
      <c r="DW60" s="12">
        <v>11</v>
      </c>
      <c r="DX60" s="12">
        <v>14</v>
      </c>
      <c r="DY60" s="12">
        <v>16</v>
      </c>
      <c r="DZ60" s="12">
        <v>38</v>
      </c>
      <c r="EA60" s="12">
        <v>15</v>
      </c>
      <c r="EB60" s="12">
        <v>18</v>
      </c>
      <c r="EC60" s="12">
        <v>24</v>
      </c>
      <c r="ED60" s="12">
        <v>19</v>
      </c>
      <c r="EE60" s="12">
        <v>19</v>
      </c>
      <c r="EF60" s="12">
        <v>15</v>
      </c>
      <c r="EG60" s="12">
        <v>13</v>
      </c>
      <c r="EH60" s="12">
        <v>17</v>
      </c>
      <c r="EI60" s="12">
        <v>8</v>
      </c>
      <c r="EJ60" s="12">
        <v>15</v>
      </c>
      <c r="EK60" s="12">
        <v>18</v>
      </c>
      <c r="EL60" s="12">
        <v>21</v>
      </c>
      <c r="EM60" s="12">
        <v>16</v>
      </c>
      <c r="EN60" s="12">
        <v>15</v>
      </c>
      <c r="EO60" s="12">
        <v>14</v>
      </c>
      <c r="EP60" s="12" t="str">
        <f t="shared" si="18"/>
        <v>🟢 Bien</v>
      </c>
      <c r="EQ60" s="23">
        <f t="shared" si="1"/>
        <v>24.666666666666668</v>
      </c>
      <c r="ER60" s="19">
        <f t="shared" si="2"/>
        <v>323590.68000000005</v>
      </c>
      <c r="ES60" s="12">
        <f t="shared" si="3"/>
        <v>621</v>
      </c>
      <c r="ET60" s="23">
        <f t="shared" si="16"/>
        <v>157</v>
      </c>
      <c r="EU60" s="23">
        <f t="shared" si="17"/>
        <v>224</v>
      </c>
      <c r="EV60" s="23">
        <f t="shared" si="6"/>
        <v>110.44</v>
      </c>
      <c r="EW60" s="23">
        <f t="shared" si="15"/>
        <v>1246</v>
      </c>
      <c r="EX60" s="12">
        <v>278</v>
      </c>
      <c r="EY60" s="19" cm="1">
        <f t="array" ref="EY60:FC60">VLOOKUP(_xlfn.SINGLE(B:B),'[1]Price List'!$B:$N,{8,4,5,6,7},0)</f>
        <v>521.08000000000004</v>
      </c>
      <c r="EZ60" s="9" t="str">
        <v>Nomad Modern Leather Case - iPhone 17 Pro Max | Black | Nomad Leather</v>
      </c>
      <c r="FA60" s="12" t="str">
        <v>Cases iPhone</v>
      </c>
      <c r="FB60" s="12" t="str">
        <v>iPhone 17</v>
      </c>
      <c r="FC60" s="12" t="str">
        <v>iPhone 17 Pro Max</v>
      </c>
      <c r="FD60" s="23" t="str">
        <f>_xlfn.XLOOKUP(B:B,'[1]Price List'!$B:$B,'[1]Price List'!$A:$A)</f>
        <v>Nomad</v>
      </c>
    </row>
    <row r="61" spans="1:160" s="42" customFormat="1" x14ac:dyDescent="0.2">
      <c r="A61" s="41" t="s">
        <v>598</v>
      </c>
      <c r="B61" s="41">
        <v>856504014278</v>
      </c>
      <c r="C61" s="9" t="s">
        <v>589</v>
      </c>
      <c r="D61" s="9" t="s">
        <v>644</v>
      </c>
      <c r="E61" s="9" t="s">
        <v>637</v>
      </c>
      <c r="F61" s="9" t="s">
        <v>479</v>
      </c>
      <c r="G61" s="9" t="s">
        <v>479</v>
      </c>
      <c r="H61" s="43" t="s">
        <v>510</v>
      </c>
      <c r="I61" s="43">
        <v>1099</v>
      </c>
      <c r="J61" s="44">
        <v>521.08000000000004</v>
      </c>
      <c r="K61" s="62">
        <v>0</v>
      </c>
      <c r="L61" s="43">
        <v>0</v>
      </c>
      <c r="M61" s="45" t="s">
        <v>466</v>
      </c>
      <c r="N61" s="13" t="s">
        <v>383</v>
      </c>
      <c r="O61" s="46">
        <v>46631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43">
        <v>0</v>
      </c>
      <c r="W61" s="43">
        <v>0</v>
      </c>
      <c r="X61" s="43">
        <v>0</v>
      </c>
      <c r="Y61" s="43">
        <v>0</v>
      </c>
      <c r="Z61" s="43">
        <v>0</v>
      </c>
      <c r="AA61" s="43">
        <v>0</v>
      </c>
      <c r="AB61" s="43">
        <v>0</v>
      </c>
      <c r="AC61" s="43">
        <v>0</v>
      </c>
      <c r="AD61" s="43">
        <v>0</v>
      </c>
      <c r="AE61" s="43">
        <v>0</v>
      </c>
      <c r="AF61" s="43">
        <v>0</v>
      </c>
      <c r="AG61" s="43">
        <v>0</v>
      </c>
      <c r="AH61" s="43">
        <v>0</v>
      </c>
      <c r="AI61" s="43">
        <v>0</v>
      </c>
      <c r="AJ61" s="43">
        <v>0</v>
      </c>
      <c r="AK61" s="43">
        <v>0</v>
      </c>
      <c r="AL61" s="43">
        <v>0</v>
      </c>
      <c r="AM61" s="43">
        <v>0</v>
      </c>
      <c r="AN61" s="43">
        <v>0</v>
      </c>
      <c r="AO61" s="43">
        <v>0</v>
      </c>
      <c r="AP61" s="43">
        <v>0</v>
      </c>
      <c r="AQ61" s="43">
        <v>0</v>
      </c>
      <c r="AR61" s="43">
        <v>0</v>
      </c>
      <c r="AS61" s="43">
        <v>0</v>
      </c>
      <c r="AT61" s="43">
        <v>0</v>
      </c>
      <c r="AU61" s="43">
        <v>0</v>
      </c>
      <c r="AV61" s="43">
        <v>0</v>
      </c>
      <c r="AW61" s="43">
        <v>0</v>
      </c>
      <c r="AX61" s="43">
        <v>0</v>
      </c>
      <c r="AY61" s="43">
        <v>0</v>
      </c>
      <c r="AZ61" s="43">
        <v>0</v>
      </c>
      <c r="BA61" s="43">
        <v>0</v>
      </c>
      <c r="BB61" s="43">
        <v>0</v>
      </c>
      <c r="BC61" s="43">
        <v>0</v>
      </c>
      <c r="BD61" s="43">
        <v>0</v>
      </c>
      <c r="BE61" s="43">
        <v>0</v>
      </c>
      <c r="BF61" s="43">
        <v>0</v>
      </c>
      <c r="BG61" s="43">
        <v>0</v>
      </c>
      <c r="BH61" s="43">
        <v>0</v>
      </c>
      <c r="BI61" s="43">
        <v>0</v>
      </c>
      <c r="BJ61" s="43">
        <v>0</v>
      </c>
      <c r="BK61" s="43">
        <v>0</v>
      </c>
      <c r="BL61" s="43">
        <v>0</v>
      </c>
      <c r="BM61" s="43">
        <v>0</v>
      </c>
      <c r="BN61" s="43">
        <v>0</v>
      </c>
      <c r="BO61" s="43">
        <v>0</v>
      </c>
      <c r="BP61" s="43">
        <v>0</v>
      </c>
      <c r="BQ61" s="43">
        <v>0</v>
      </c>
      <c r="BR61" s="43">
        <v>0</v>
      </c>
      <c r="BS61" s="43">
        <v>0</v>
      </c>
      <c r="BT61" s="43">
        <v>0</v>
      </c>
      <c r="BU61" s="43">
        <v>0</v>
      </c>
      <c r="BV61" s="43">
        <v>0</v>
      </c>
      <c r="BW61" s="43">
        <v>0</v>
      </c>
      <c r="BX61" s="43">
        <v>0</v>
      </c>
      <c r="BY61" s="43">
        <v>0</v>
      </c>
      <c r="BZ61" s="43">
        <v>0</v>
      </c>
      <c r="CA61" s="43">
        <v>0</v>
      </c>
      <c r="CB61" s="43">
        <v>0</v>
      </c>
      <c r="CC61" s="43">
        <v>0</v>
      </c>
      <c r="CD61" s="43">
        <v>0</v>
      </c>
      <c r="CE61" s="43">
        <v>0</v>
      </c>
      <c r="CF61" s="43">
        <v>0</v>
      </c>
      <c r="CG61" s="43">
        <v>0</v>
      </c>
      <c r="CH61" s="43">
        <v>0</v>
      </c>
      <c r="CI61" s="43">
        <v>0</v>
      </c>
      <c r="CJ61" s="43">
        <v>0</v>
      </c>
      <c r="CK61" s="43">
        <v>0</v>
      </c>
      <c r="CL61" s="43">
        <v>0</v>
      </c>
      <c r="CM61" s="43">
        <v>0</v>
      </c>
      <c r="CN61" s="43">
        <v>0</v>
      </c>
      <c r="CO61" s="43">
        <v>0</v>
      </c>
      <c r="CP61" s="43">
        <v>0</v>
      </c>
      <c r="CQ61" s="43">
        <v>0</v>
      </c>
      <c r="CR61" s="43">
        <v>0</v>
      </c>
      <c r="CS61" s="43">
        <v>0</v>
      </c>
      <c r="CT61" s="43">
        <v>0</v>
      </c>
      <c r="CU61" s="43">
        <v>0</v>
      </c>
      <c r="CV61" s="43">
        <v>0</v>
      </c>
      <c r="CW61" s="43">
        <v>0</v>
      </c>
      <c r="CX61" s="43">
        <v>0</v>
      </c>
      <c r="CY61" s="43">
        <v>0</v>
      </c>
      <c r="CZ61" s="43">
        <v>0</v>
      </c>
      <c r="DA61" s="43">
        <v>41</v>
      </c>
      <c r="DB61" s="43">
        <v>48</v>
      </c>
      <c r="DC61" s="43">
        <v>18</v>
      </c>
      <c r="DD61" s="43">
        <v>40</v>
      </c>
      <c r="DE61" s="43">
        <v>49</v>
      </c>
      <c r="DF61" s="43">
        <v>72</v>
      </c>
      <c r="DG61" s="43">
        <v>55</v>
      </c>
      <c r="DH61" s="43">
        <v>44</v>
      </c>
      <c r="DI61" s="43">
        <v>71</v>
      </c>
      <c r="DJ61" s="43">
        <v>33</v>
      </c>
      <c r="DK61" s="43">
        <v>20</v>
      </c>
      <c r="DL61" s="43">
        <v>35</v>
      </c>
      <c r="DM61" s="43">
        <v>75</v>
      </c>
      <c r="DN61" s="43">
        <v>57</v>
      </c>
      <c r="DO61" s="43">
        <v>49</v>
      </c>
      <c r="DP61" s="43">
        <v>76</v>
      </c>
      <c r="DQ61" s="43">
        <v>62</v>
      </c>
      <c r="DR61" s="12">
        <v>55</v>
      </c>
      <c r="DS61" s="12">
        <v>33</v>
      </c>
      <c r="DT61" s="12">
        <v>37</v>
      </c>
      <c r="DU61" s="12">
        <v>39</v>
      </c>
      <c r="DV61" s="12">
        <v>17</v>
      </c>
      <c r="DW61" s="12">
        <v>25</v>
      </c>
      <c r="DX61" s="12">
        <v>33</v>
      </c>
      <c r="DY61" s="12">
        <v>24</v>
      </c>
      <c r="DZ61" s="12">
        <v>33</v>
      </c>
      <c r="EA61" s="12">
        <v>37</v>
      </c>
      <c r="EB61" s="12">
        <v>21</v>
      </c>
      <c r="EC61" s="12">
        <v>28</v>
      </c>
      <c r="ED61" s="12">
        <v>19</v>
      </c>
      <c r="EE61" s="12">
        <v>17</v>
      </c>
      <c r="EF61" s="12">
        <v>16</v>
      </c>
      <c r="EG61" s="12">
        <v>12</v>
      </c>
      <c r="EH61" s="12">
        <v>17</v>
      </c>
      <c r="EI61" s="12">
        <v>20</v>
      </c>
      <c r="EJ61" s="12">
        <v>9</v>
      </c>
      <c r="EK61" s="12">
        <v>18</v>
      </c>
      <c r="EL61" s="12">
        <v>20</v>
      </c>
      <c r="EM61" s="12">
        <v>23</v>
      </c>
      <c r="EN61" s="12">
        <v>17</v>
      </c>
      <c r="EO61" s="12">
        <v>20</v>
      </c>
      <c r="EP61" s="12" t="str">
        <f t="shared" si="18"/>
        <v>🟢 Bien</v>
      </c>
      <c r="EQ61" s="23">
        <f t="shared" si="1"/>
        <v>28.791666666666668</v>
      </c>
      <c r="ER61" s="19">
        <f t="shared" si="2"/>
        <v>379346.24000000005</v>
      </c>
      <c r="ES61" s="12">
        <f t="shared" si="3"/>
        <v>728</v>
      </c>
      <c r="ET61" s="23">
        <f t="shared" si="16"/>
        <v>161.5</v>
      </c>
      <c r="EU61" s="23">
        <f t="shared" si="17"/>
        <v>192</v>
      </c>
      <c r="EV61" s="23">
        <f t="shared" si="6"/>
        <v>129.78</v>
      </c>
      <c r="EW61" s="23">
        <f t="shared" si="15"/>
        <v>1279</v>
      </c>
      <c r="EX61" s="12">
        <v>274</v>
      </c>
      <c r="EY61" s="19" cm="1">
        <f t="array" ref="EY61:FC61">VLOOKUP(_xlfn.SINGLE(B:B),'[1]Price List'!$B:$N,{8,4,5,6,7},0)</f>
        <v>521.08000000000004</v>
      </c>
      <c r="EZ61" s="9" t="str">
        <v>Nomad Modern Leather Case - iPhone 17 Pro Max | Brown | Nomad Leather</v>
      </c>
      <c r="FA61" s="12" t="str">
        <v>Cases iPhone</v>
      </c>
      <c r="FB61" s="12" t="str">
        <v>iPhone 17</v>
      </c>
      <c r="FC61" s="12" t="str">
        <v>iPhone 17 Pro Max</v>
      </c>
      <c r="FD61" s="23" t="str">
        <f>_xlfn.XLOOKUP(B:B,'[1]Price List'!$B:$B,'[1]Price List'!$A:$A)</f>
        <v>Nomad</v>
      </c>
    </row>
    <row r="62" spans="1:160" s="42" customFormat="1" x14ac:dyDescent="0.2">
      <c r="A62" s="41" t="s">
        <v>598</v>
      </c>
      <c r="B62" s="47">
        <v>856504014339</v>
      </c>
      <c r="C62" s="9" t="s">
        <v>590</v>
      </c>
      <c r="D62" s="9" t="s">
        <v>644</v>
      </c>
      <c r="E62" s="9" t="s">
        <v>637</v>
      </c>
      <c r="F62" s="9" t="s">
        <v>478</v>
      </c>
      <c r="G62" s="9" t="s">
        <v>478</v>
      </c>
      <c r="H62" s="43" t="s">
        <v>511</v>
      </c>
      <c r="I62" s="43">
        <v>1099</v>
      </c>
      <c r="J62" s="44">
        <v>521.08000000000004</v>
      </c>
      <c r="K62" s="62">
        <v>0</v>
      </c>
      <c r="L62" s="43">
        <v>0</v>
      </c>
      <c r="M62" s="45" t="s">
        <v>466</v>
      </c>
      <c r="N62" s="13" t="s">
        <v>383</v>
      </c>
      <c r="O62" s="46">
        <v>46631</v>
      </c>
      <c r="P62" s="43">
        <v>0</v>
      </c>
      <c r="Q62" s="43">
        <v>0</v>
      </c>
      <c r="R62" s="43">
        <v>0</v>
      </c>
      <c r="S62" s="43">
        <v>0</v>
      </c>
      <c r="T62" s="43">
        <v>0</v>
      </c>
      <c r="U62" s="43">
        <v>0</v>
      </c>
      <c r="V62" s="43">
        <v>0</v>
      </c>
      <c r="W62" s="43">
        <v>0</v>
      </c>
      <c r="X62" s="43">
        <v>0</v>
      </c>
      <c r="Y62" s="43">
        <v>0</v>
      </c>
      <c r="Z62" s="43">
        <v>0</v>
      </c>
      <c r="AA62" s="43">
        <v>0</v>
      </c>
      <c r="AB62" s="43">
        <v>0</v>
      </c>
      <c r="AC62" s="43">
        <v>0</v>
      </c>
      <c r="AD62" s="43">
        <v>0</v>
      </c>
      <c r="AE62" s="43">
        <v>0</v>
      </c>
      <c r="AF62" s="43">
        <v>0</v>
      </c>
      <c r="AG62" s="43">
        <v>0</v>
      </c>
      <c r="AH62" s="43">
        <v>0</v>
      </c>
      <c r="AI62" s="43">
        <v>0</v>
      </c>
      <c r="AJ62" s="43">
        <v>0</v>
      </c>
      <c r="AK62" s="43">
        <v>0</v>
      </c>
      <c r="AL62" s="43">
        <v>0</v>
      </c>
      <c r="AM62" s="43">
        <v>0</v>
      </c>
      <c r="AN62" s="43">
        <v>0</v>
      </c>
      <c r="AO62" s="43">
        <v>0</v>
      </c>
      <c r="AP62" s="43">
        <v>0</v>
      </c>
      <c r="AQ62" s="43">
        <v>0</v>
      </c>
      <c r="AR62" s="43">
        <v>0</v>
      </c>
      <c r="AS62" s="43">
        <v>0</v>
      </c>
      <c r="AT62" s="43">
        <v>0</v>
      </c>
      <c r="AU62" s="43">
        <v>0</v>
      </c>
      <c r="AV62" s="43">
        <v>0</v>
      </c>
      <c r="AW62" s="43">
        <v>0</v>
      </c>
      <c r="AX62" s="43">
        <v>0</v>
      </c>
      <c r="AY62" s="43">
        <v>0</v>
      </c>
      <c r="AZ62" s="43">
        <v>0</v>
      </c>
      <c r="BA62" s="43">
        <v>0</v>
      </c>
      <c r="BB62" s="43">
        <v>0</v>
      </c>
      <c r="BC62" s="43">
        <v>0</v>
      </c>
      <c r="BD62" s="43">
        <v>0</v>
      </c>
      <c r="BE62" s="43">
        <v>0</v>
      </c>
      <c r="BF62" s="43">
        <v>0</v>
      </c>
      <c r="BG62" s="43">
        <v>0</v>
      </c>
      <c r="BH62" s="43">
        <v>0</v>
      </c>
      <c r="BI62" s="43">
        <v>0</v>
      </c>
      <c r="BJ62" s="43">
        <v>0</v>
      </c>
      <c r="BK62" s="43">
        <v>0</v>
      </c>
      <c r="BL62" s="43">
        <v>0</v>
      </c>
      <c r="BM62" s="43">
        <v>0</v>
      </c>
      <c r="BN62" s="43">
        <v>0</v>
      </c>
      <c r="BO62" s="43">
        <v>0</v>
      </c>
      <c r="BP62" s="43">
        <v>0</v>
      </c>
      <c r="BQ62" s="43">
        <v>0</v>
      </c>
      <c r="BR62" s="43">
        <v>0</v>
      </c>
      <c r="BS62" s="43">
        <v>0</v>
      </c>
      <c r="BT62" s="43">
        <v>0</v>
      </c>
      <c r="BU62" s="43">
        <v>0</v>
      </c>
      <c r="BV62" s="43">
        <v>0</v>
      </c>
      <c r="BW62" s="43">
        <v>0</v>
      </c>
      <c r="BX62" s="43">
        <v>0</v>
      </c>
      <c r="BY62" s="43">
        <v>0</v>
      </c>
      <c r="BZ62" s="43">
        <v>0</v>
      </c>
      <c r="CA62" s="43">
        <v>0</v>
      </c>
      <c r="CB62" s="43">
        <v>0</v>
      </c>
      <c r="CC62" s="43">
        <v>0</v>
      </c>
      <c r="CD62" s="43">
        <v>0</v>
      </c>
      <c r="CE62" s="43">
        <v>0</v>
      </c>
      <c r="CF62" s="43">
        <v>0</v>
      </c>
      <c r="CG62" s="43">
        <v>0</v>
      </c>
      <c r="CH62" s="43">
        <v>0</v>
      </c>
      <c r="CI62" s="43">
        <v>0</v>
      </c>
      <c r="CJ62" s="43">
        <v>0</v>
      </c>
      <c r="CK62" s="43">
        <v>0</v>
      </c>
      <c r="CL62" s="43">
        <v>0</v>
      </c>
      <c r="CM62" s="43">
        <v>0</v>
      </c>
      <c r="CN62" s="43">
        <v>0</v>
      </c>
      <c r="CO62" s="43">
        <v>0</v>
      </c>
      <c r="CP62" s="43">
        <v>0</v>
      </c>
      <c r="CQ62" s="43">
        <v>0</v>
      </c>
      <c r="CR62" s="43">
        <v>0</v>
      </c>
      <c r="CS62" s="43">
        <v>0</v>
      </c>
      <c r="CT62" s="43">
        <v>0</v>
      </c>
      <c r="CU62" s="43">
        <v>0</v>
      </c>
      <c r="CV62" s="43">
        <v>0</v>
      </c>
      <c r="CW62" s="43">
        <v>0</v>
      </c>
      <c r="CX62" s="43">
        <v>0</v>
      </c>
      <c r="CY62" s="43">
        <v>0</v>
      </c>
      <c r="CZ62" s="43">
        <v>0</v>
      </c>
      <c r="DA62" s="43">
        <v>45</v>
      </c>
      <c r="DB62" s="43">
        <v>34</v>
      </c>
      <c r="DC62" s="43">
        <v>22</v>
      </c>
      <c r="DD62" s="43">
        <v>21</v>
      </c>
      <c r="DE62" s="43">
        <v>31</v>
      </c>
      <c r="DF62" s="43">
        <v>28</v>
      </c>
      <c r="DG62" s="43">
        <v>22</v>
      </c>
      <c r="DH62" s="43">
        <v>23</v>
      </c>
      <c r="DI62" s="43">
        <v>34</v>
      </c>
      <c r="DJ62" s="43">
        <v>32</v>
      </c>
      <c r="DK62" s="43">
        <v>18</v>
      </c>
      <c r="DL62" s="43">
        <v>23</v>
      </c>
      <c r="DM62" s="43">
        <v>22</v>
      </c>
      <c r="DN62" s="43">
        <v>28</v>
      </c>
      <c r="DO62" s="43">
        <v>34</v>
      </c>
      <c r="DP62" s="43">
        <v>23</v>
      </c>
      <c r="DQ62" s="43">
        <v>23</v>
      </c>
      <c r="DR62" s="12">
        <v>17</v>
      </c>
      <c r="DS62" s="12">
        <v>11</v>
      </c>
      <c r="DT62" s="12">
        <v>20</v>
      </c>
      <c r="DU62" s="12">
        <v>17</v>
      </c>
      <c r="DV62" s="12">
        <v>11</v>
      </c>
      <c r="DW62" s="12">
        <v>7</v>
      </c>
      <c r="DX62" s="12">
        <v>12</v>
      </c>
      <c r="DY62" s="12">
        <v>10</v>
      </c>
      <c r="DZ62" s="12">
        <v>10</v>
      </c>
      <c r="EA62" s="12">
        <v>10</v>
      </c>
      <c r="EB62" s="12">
        <v>6</v>
      </c>
      <c r="EC62" s="12">
        <v>7</v>
      </c>
      <c r="ED62" s="12">
        <v>7</v>
      </c>
      <c r="EE62" s="12">
        <v>11</v>
      </c>
      <c r="EF62" s="12">
        <v>9</v>
      </c>
      <c r="EG62" s="12">
        <v>9</v>
      </c>
      <c r="EH62" s="12">
        <v>13</v>
      </c>
      <c r="EI62" s="12">
        <v>6</v>
      </c>
      <c r="EJ62" s="12">
        <v>7</v>
      </c>
      <c r="EK62" s="12">
        <v>8</v>
      </c>
      <c r="EL62" s="12">
        <v>9</v>
      </c>
      <c r="EM62" s="12">
        <v>5</v>
      </c>
      <c r="EN62" s="12">
        <v>11</v>
      </c>
      <c r="EO62" s="12">
        <v>6</v>
      </c>
      <c r="EP62" s="12" t="str">
        <f t="shared" si="18"/>
        <v>🟢 Bien</v>
      </c>
      <c r="EQ62" s="23">
        <f t="shared" si="1"/>
        <v>11.166666666666666</v>
      </c>
      <c r="ER62" s="19">
        <f t="shared" si="2"/>
        <v>148507.80000000002</v>
      </c>
      <c r="ES62" s="12">
        <f t="shared" si="3"/>
        <v>285</v>
      </c>
      <c r="ET62" s="23">
        <f t="shared" si="16"/>
        <v>101.5</v>
      </c>
      <c r="EU62" s="23">
        <f t="shared" si="17"/>
        <v>107</v>
      </c>
      <c r="EV62" s="23">
        <f t="shared" si="6"/>
        <v>48.89</v>
      </c>
      <c r="EW62" s="23">
        <f t="shared" si="15"/>
        <v>628</v>
      </c>
      <c r="EX62" s="12">
        <v>227</v>
      </c>
      <c r="EY62" s="19" cm="1">
        <f t="array" ref="EY62:FC62">VLOOKUP(_xlfn.SINGLE(B:B),'[1]Price List'!$B:$N,{8,4,5,6,7},0)</f>
        <v>521.08000000000004</v>
      </c>
      <c r="EZ62" s="9" t="str">
        <v>Nomad Modern Leather Case - iPhone 17 Pro | Black | Nomad Leather</v>
      </c>
      <c r="FA62" s="12" t="str">
        <v>Cases iPhone</v>
      </c>
      <c r="FB62" s="12" t="str">
        <v>iPhone 17</v>
      </c>
      <c r="FC62" s="12" t="str">
        <v>iPhone 17 Pro</v>
      </c>
      <c r="FD62" s="23" t="str">
        <f>_xlfn.XLOOKUP(B:B,'[1]Price List'!$B:$B,'[1]Price List'!$A:$A)</f>
        <v>Nomad</v>
      </c>
    </row>
    <row r="63" spans="1:160" s="42" customFormat="1" x14ac:dyDescent="0.2">
      <c r="A63" s="41" t="s">
        <v>598</v>
      </c>
      <c r="B63" s="47">
        <v>856504014322</v>
      </c>
      <c r="C63" s="9" t="s">
        <v>591</v>
      </c>
      <c r="D63" s="9" t="s">
        <v>644</v>
      </c>
      <c r="E63" s="9" t="s">
        <v>637</v>
      </c>
      <c r="F63" s="9" t="s">
        <v>478</v>
      </c>
      <c r="G63" s="9" t="s">
        <v>478</v>
      </c>
      <c r="H63" s="43" t="s">
        <v>512</v>
      </c>
      <c r="I63" s="43">
        <v>1099</v>
      </c>
      <c r="J63" s="44">
        <v>521.08000000000004</v>
      </c>
      <c r="K63" s="62">
        <v>0</v>
      </c>
      <c r="L63" s="43">
        <v>0</v>
      </c>
      <c r="M63" s="45" t="s">
        <v>466</v>
      </c>
      <c r="N63" s="13" t="s">
        <v>383</v>
      </c>
      <c r="O63" s="46">
        <v>46631</v>
      </c>
      <c r="P63" s="43">
        <v>0</v>
      </c>
      <c r="Q63" s="43">
        <v>0</v>
      </c>
      <c r="R63" s="43">
        <v>0</v>
      </c>
      <c r="S63" s="43">
        <v>0</v>
      </c>
      <c r="T63" s="43">
        <v>0</v>
      </c>
      <c r="U63" s="43">
        <v>0</v>
      </c>
      <c r="V63" s="43">
        <v>0</v>
      </c>
      <c r="W63" s="43">
        <v>0</v>
      </c>
      <c r="X63" s="43">
        <v>0</v>
      </c>
      <c r="Y63" s="43">
        <v>0</v>
      </c>
      <c r="Z63" s="43">
        <v>0</v>
      </c>
      <c r="AA63" s="43">
        <v>0</v>
      </c>
      <c r="AB63" s="43">
        <v>0</v>
      </c>
      <c r="AC63" s="43">
        <v>0</v>
      </c>
      <c r="AD63" s="43">
        <v>0</v>
      </c>
      <c r="AE63" s="43">
        <v>0</v>
      </c>
      <c r="AF63" s="43">
        <v>0</v>
      </c>
      <c r="AG63" s="43">
        <v>0</v>
      </c>
      <c r="AH63" s="43">
        <v>0</v>
      </c>
      <c r="AI63" s="43">
        <v>0</v>
      </c>
      <c r="AJ63" s="43">
        <v>0</v>
      </c>
      <c r="AK63" s="43">
        <v>0</v>
      </c>
      <c r="AL63" s="43">
        <v>0</v>
      </c>
      <c r="AM63" s="43">
        <v>0</v>
      </c>
      <c r="AN63" s="43">
        <v>0</v>
      </c>
      <c r="AO63" s="43">
        <v>0</v>
      </c>
      <c r="AP63" s="43">
        <v>0</v>
      </c>
      <c r="AQ63" s="43">
        <v>0</v>
      </c>
      <c r="AR63" s="43">
        <v>0</v>
      </c>
      <c r="AS63" s="43">
        <v>0</v>
      </c>
      <c r="AT63" s="43">
        <v>0</v>
      </c>
      <c r="AU63" s="43">
        <v>0</v>
      </c>
      <c r="AV63" s="43">
        <v>0</v>
      </c>
      <c r="AW63" s="43">
        <v>0</v>
      </c>
      <c r="AX63" s="43">
        <v>0</v>
      </c>
      <c r="AY63" s="43">
        <v>0</v>
      </c>
      <c r="AZ63" s="43">
        <v>0</v>
      </c>
      <c r="BA63" s="43">
        <v>0</v>
      </c>
      <c r="BB63" s="43">
        <v>0</v>
      </c>
      <c r="BC63" s="43">
        <v>0</v>
      </c>
      <c r="BD63" s="43">
        <v>0</v>
      </c>
      <c r="BE63" s="43">
        <v>0</v>
      </c>
      <c r="BF63" s="43">
        <v>0</v>
      </c>
      <c r="BG63" s="43">
        <v>0</v>
      </c>
      <c r="BH63" s="43">
        <v>0</v>
      </c>
      <c r="BI63" s="43">
        <v>0</v>
      </c>
      <c r="BJ63" s="43">
        <v>0</v>
      </c>
      <c r="BK63" s="43">
        <v>0</v>
      </c>
      <c r="BL63" s="43">
        <v>0</v>
      </c>
      <c r="BM63" s="43">
        <v>0</v>
      </c>
      <c r="BN63" s="43">
        <v>0</v>
      </c>
      <c r="BO63" s="43">
        <v>0</v>
      </c>
      <c r="BP63" s="43">
        <v>0</v>
      </c>
      <c r="BQ63" s="43">
        <v>0</v>
      </c>
      <c r="BR63" s="43">
        <v>0</v>
      </c>
      <c r="BS63" s="43">
        <v>0</v>
      </c>
      <c r="BT63" s="43">
        <v>0</v>
      </c>
      <c r="BU63" s="43">
        <v>0</v>
      </c>
      <c r="BV63" s="43">
        <v>0</v>
      </c>
      <c r="BW63" s="43">
        <v>0</v>
      </c>
      <c r="BX63" s="43">
        <v>0</v>
      </c>
      <c r="BY63" s="43">
        <v>0</v>
      </c>
      <c r="BZ63" s="43">
        <v>0</v>
      </c>
      <c r="CA63" s="43">
        <v>0</v>
      </c>
      <c r="CB63" s="43">
        <v>0</v>
      </c>
      <c r="CC63" s="43">
        <v>0</v>
      </c>
      <c r="CD63" s="43">
        <v>0</v>
      </c>
      <c r="CE63" s="43">
        <v>0</v>
      </c>
      <c r="CF63" s="43">
        <v>0</v>
      </c>
      <c r="CG63" s="43">
        <v>0</v>
      </c>
      <c r="CH63" s="43">
        <v>0</v>
      </c>
      <c r="CI63" s="43">
        <v>0</v>
      </c>
      <c r="CJ63" s="43">
        <v>0</v>
      </c>
      <c r="CK63" s="43">
        <v>0</v>
      </c>
      <c r="CL63" s="43">
        <v>0</v>
      </c>
      <c r="CM63" s="43">
        <v>0</v>
      </c>
      <c r="CN63" s="43">
        <v>0</v>
      </c>
      <c r="CO63" s="43">
        <v>0</v>
      </c>
      <c r="CP63" s="43">
        <v>0</v>
      </c>
      <c r="CQ63" s="43">
        <v>0</v>
      </c>
      <c r="CR63" s="43">
        <v>0</v>
      </c>
      <c r="CS63" s="43">
        <v>0</v>
      </c>
      <c r="CT63" s="43">
        <v>0</v>
      </c>
      <c r="CU63" s="43">
        <v>0</v>
      </c>
      <c r="CV63" s="43">
        <v>0</v>
      </c>
      <c r="CW63" s="43">
        <v>0</v>
      </c>
      <c r="CX63" s="43">
        <v>0</v>
      </c>
      <c r="CY63" s="43">
        <v>0</v>
      </c>
      <c r="CZ63" s="43">
        <v>0</v>
      </c>
      <c r="DA63" s="43">
        <v>52</v>
      </c>
      <c r="DB63" s="43">
        <v>38</v>
      </c>
      <c r="DC63" s="43">
        <v>19</v>
      </c>
      <c r="DD63" s="43">
        <v>17</v>
      </c>
      <c r="DE63" s="43">
        <v>20</v>
      </c>
      <c r="DF63" s="43">
        <v>25</v>
      </c>
      <c r="DG63" s="43">
        <v>25</v>
      </c>
      <c r="DH63" s="43">
        <v>19</v>
      </c>
      <c r="DI63" s="43">
        <v>23</v>
      </c>
      <c r="DJ63" s="43">
        <v>18</v>
      </c>
      <c r="DK63" s="43">
        <v>19</v>
      </c>
      <c r="DL63" s="43">
        <v>18</v>
      </c>
      <c r="DM63" s="43">
        <v>25</v>
      </c>
      <c r="DN63" s="43">
        <v>23</v>
      </c>
      <c r="DO63" s="43">
        <v>20</v>
      </c>
      <c r="DP63" s="43">
        <v>29</v>
      </c>
      <c r="DQ63" s="43">
        <v>17</v>
      </c>
      <c r="DR63" s="12">
        <v>15</v>
      </c>
      <c r="DS63" s="12">
        <v>12</v>
      </c>
      <c r="DT63" s="12">
        <v>11</v>
      </c>
      <c r="DU63" s="12">
        <v>13</v>
      </c>
      <c r="DV63" s="12">
        <v>10</v>
      </c>
      <c r="DW63" s="12">
        <v>9</v>
      </c>
      <c r="DX63" s="12">
        <v>12</v>
      </c>
      <c r="DY63" s="12">
        <v>4</v>
      </c>
      <c r="DZ63" s="12">
        <v>5</v>
      </c>
      <c r="EA63" s="12">
        <v>5</v>
      </c>
      <c r="EB63" s="12">
        <v>3</v>
      </c>
      <c r="EC63" s="12">
        <v>4</v>
      </c>
      <c r="ED63" s="12">
        <v>4</v>
      </c>
      <c r="EE63" s="12">
        <v>4</v>
      </c>
      <c r="EF63" s="12">
        <v>3</v>
      </c>
      <c r="EG63" s="12">
        <v>1</v>
      </c>
      <c r="EH63" s="12">
        <v>4</v>
      </c>
      <c r="EI63" s="12">
        <v>5</v>
      </c>
      <c r="EJ63" s="12">
        <v>6</v>
      </c>
      <c r="EK63" s="12">
        <v>3</v>
      </c>
      <c r="EL63" s="12">
        <v>8</v>
      </c>
      <c r="EM63" s="12">
        <v>8</v>
      </c>
      <c r="EN63" s="12">
        <v>10</v>
      </c>
      <c r="EO63" s="12">
        <v>2</v>
      </c>
      <c r="EP63" s="12" t="str">
        <f t="shared" si="18"/>
        <v>🟢 Bien</v>
      </c>
      <c r="EQ63" s="23">
        <f t="shared" si="1"/>
        <v>8.125</v>
      </c>
      <c r="ER63" s="19">
        <f t="shared" si="2"/>
        <v>107863.56000000001</v>
      </c>
      <c r="ES63" s="12">
        <f t="shared" si="3"/>
        <v>207</v>
      </c>
      <c r="ET63" s="23">
        <f t="shared" si="16"/>
        <v>98</v>
      </c>
      <c r="EU63" s="23">
        <f t="shared" si="17"/>
        <v>82.5</v>
      </c>
      <c r="EV63" s="23">
        <f t="shared" si="6"/>
        <v>35.78</v>
      </c>
      <c r="EW63" s="23">
        <f t="shared" si="15"/>
        <v>521</v>
      </c>
      <c r="EX63" s="12">
        <v>214</v>
      </c>
      <c r="EY63" s="19" cm="1">
        <f t="array" ref="EY63:FC63">VLOOKUP(_xlfn.SINGLE(B:B),'[1]Price List'!$B:$N,{8,4,5,6,7},0)</f>
        <v>521.08000000000004</v>
      </c>
      <c r="EZ63" s="9" t="str">
        <v>Nomad Modern Leather Case - iPhone 17 Pro | Brown | Nomad Leather</v>
      </c>
      <c r="FA63" s="12" t="str">
        <v>Cases iPhone</v>
      </c>
      <c r="FB63" s="12" t="str">
        <v>iPhone 17</v>
      </c>
      <c r="FC63" s="12" t="str">
        <v>iPhone 17 Pro</v>
      </c>
      <c r="FD63" s="23" t="str">
        <f>_xlfn.XLOOKUP(B:B,'[1]Price List'!$B:$B,'[1]Price List'!$A:$A)</f>
        <v>Nomad</v>
      </c>
    </row>
    <row r="64" spans="1:160" s="9" customFormat="1" x14ac:dyDescent="0.2">
      <c r="A64" s="23" t="s">
        <v>600</v>
      </c>
      <c r="B64" s="28">
        <v>5056586735251</v>
      </c>
      <c r="C64" s="9" t="s">
        <v>550</v>
      </c>
      <c r="D64" s="9" t="s">
        <v>644</v>
      </c>
      <c r="E64" s="26" t="s">
        <v>435</v>
      </c>
      <c r="F64" s="26" t="s">
        <v>435</v>
      </c>
      <c r="G64" s="9" t="s">
        <v>435</v>
      </c>
      <c r="H64" s="28" t="s">
        <v>443</v>
      </c>
      <c r="I64" s="29">
        <v>999</v>
      </c>
      <c r="J64" s="11">
        <v>430.6</v>
      </c>
      <c r="K64" s="62">
        <v>0</v>
      </c>
      <c r="L64" s="12">
        <v>0</v>
      </c>
      <c r="M64" s="13" t="s">
        <v>466</v>
      </c>
      <c r="N64" s="13" t="s">
        <v>655</v>
      </c>
      <c r="O64" s="27"/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2">
        <v>0</v>
      </c>
      <c r="AH64" s="12">
        <v>0</v>
      </c>
      <c r="AI64" s="12">
        <v>0</v>
      </c>
      <c r="AJ64" s="12">
        <v>0</v>
      </c>
      <c r="AK64" s="12">
        <v>0</v>
      </c>
      <c r="AL64" s="12">
        <v>0</v>
      </c>
      <c r="AM64" s="12">
        <v>0</v>
      </c>
      <c r="AN64" s="12">
        <v>0</v>
      </c>
      <c r="AO64" s="12">
        <v>0</v>
      </c>
      <c r="AP64" s="12">
        <v>0</v>
      </c>
      <c r="AQ64" s="12">
        <v>0</v>
      </c>
      <c r="AR64" s="12">
        <v>0</v>
      </c>
      <c r="AS64" s="12">
        <v>0</v>
      </c>
      <c r="AT64" s="12">
        <v>0</v>
      </c>
      <c r="AU64" s="12">
        <v>0</v>
      </c>
      <c r="AV64" s="12">
        <v>0</v>
      </c>
      <c r="AW64" s="12">
        <v>0</v>
      </c>
      <c r="AX64" s="12">
        <v>0</v>
      </c>
      <c r="AY64" s="12">
        <v>0</v>
      </c>
      <c r="AZ64" s="12">
        <v>0</v>
      </c>
      <c r="BA64" s="12">
        <v>0</v>
      </c>
      <c r="BB64" s="12">
        <v>0</v>
      </c>
      <c r="BC64" s="12">
        <v>0</v>
      </c>
      <c r="BD64" s="12">
        <v>0</v>
      </c>
      <c r="BE64" s="12">
        <v>0</v>
      </c>
      <c r="BF64" s="12">
        <v>0</v>
      </c>
      <c r="BG64" s="12">
        <v>8</v>
      </c>
      <c r="BH64" s="12">
        <v>3</v>
      </c>
      <c r="BI64" s="12">
        <v>4</v>
      </c>
      <c r="BJ64" s="12">
        <v>9</v>
      </c>
      <c r="BK64" s="12">
        <v>13</v>
      </c>
      <c r="BL64" s="12">
        <v>4</v>
      </c>
      <c r="BM64" s="12">
        <v>7</v>
      </c>
      <c r="BN64" s="12">
        <v>5</v>
      </c>
      <c r="BO64" s="12">
        <v>5</v>
      </c>
      <c r="BP64" s="12">
        <v>6</v>
      </c>
      <c r="BQ64" s="12">
        <v>6</v>
      </c>
      <c r="BR64" s="12">
        <v>7</v>
      </c>
      <c r="BS64" s="12">
        <v>5</v>
      </c>
      <c r="BT64" s="12">
        <v>4</v>
      </c>
      <c r="BU64" s="12">
        <v>2</v>
      </c>
      <c r="BV64" s="12">
        <v>5</v>
      </c>
      <c r="BW64" s="12">
        <v>4</v>
      </c>
      <c r="BX64" s="12">
        <v>4</v>
      </c>
      <c r="BY64" s="12">
        <v>2</v>
      </c>
      <c r="BZ64" s="12">
        <v>4</v>
      </c>
      <c r="CA64" s="12">
        <v>1</v>
      </c>
      <c r="CB64" s="12">
        <v>6</v>
      </c>
      <c r="CC64" s="12">
        <v>3</v>
      </c>
      <c r="CD64" s="12">
        <v>3</v>
      </c>
      <c r="CE64" s="12">
        <v>4</v>
      </c>
      <c r="CF64" s="12">
        <v>3</v>
      </c>
      <c r="CG64" s="12">
        <v>7</v>
      </c>
      <c r="CH64" s="12">
        <v>4</v>
      </c>
      <c r="CI64" s="12">
        <v>1</v>
      </c>
      <c r="CJ64" s="12">
        <v>6</v>
      </c>
      <c r="CK64" s="12">
        <v>7</v>
      </c>
      <c r="CL64" s="12">
        <v>5</v>
      </c>
      <c r="CM64" s="12">
        <v>4</v>
      </c>
      <c r="CN64" s="12">
        <v>5</v>
      </c>
      <c r="CO64" s="12">
        <v>3</v>
      </c>
      <c r="CP64" s="12">
        <v>6</v>
      </c>
      <c r="CQ64" s="12">
        <v>4</v>
      </c>
      <c r="CR64" s="12">
        <v>5</v>
      </c>
      <c r="CS64" s="12">
        <v>6</v>
      </c>
      <c r="CT64" s="12">
        <v>8</v>
      </c>
      <c r="CU64" s="12">
        <v>10</v>
      </c>
      <c r="CV64" s="12">
        <v>6</v>
      </c>
      <c r="CW64" s="12">
        <v>8</v>
      </c>
      <c r="CX64" s="12">
        <v>1</v>
      </c>
      <c r="CY64" s="12">
        <v>4</v>
      </c>
      <c r="CZ64" s="12">
        <v>6</v>
      </c>
      <c r="DA64" s="12">
        <v>7</v>
      </c>
      <c r="DB64" s="12">
        <v>5</v>
      </c>
      <c r="DC64" s="12">
        <v>6</v>
      </c>
      <c r="DD64" s="12">
        <v>7</v>
      </c>
      <c r="DE64" s="12">
        <v>5</v>
      </c>
      <c r="DF64" s="12">
        <v>6</v>
      </c>
      <c r="DG64" s="12">
        <v>4</v>
      </c>
      <c r="DH64" s="12">
        <v>3</v>
      </c>
      <c r="DI64" s="12">
        <v>17</v>
      </c>
      <c r="DJ64" s="12">
        <v>10</v>
      </c>
      <c r="DK64" s="12">
        <v>5</v>
      </c>
      <c r="DL64" s="12">
        <v>11</v>
      </c>
      <c r="DM64" s="12">
        <v>17</v>
      </c>
      <c r="DN64" s="12">
        <v>13</v>
      </c>
      <c r="DO64" s="12">
        <v>20</v>
      </c>
      <c r="DP64" s="12">
        <v>15</v>
      </c>
      <c r="DQ64" s="12">
        <v>9</v>
      </c>
      <c r="DR64" s="12">
        <v>6</v>
      </c>
      <c r="DS64" s="12">
        <v>7</v>
      </c>
      <c r="DT64" s="12">
        <v>17</v>
      </c>
      <c r="DU64" s="12">
        <v>5</v>
      </c>
      <c r="DV64" s="12">
        <v>8</v>
      </c>
      <c r="DW64" s="12">
        <v>19</v>
      </c>
      <c r="DX64" s="12">
        <v>7</v>
      </c>
      <c r="DY64" s="12">
        <v>9</v>
      </c>
      <c r="DZ64" s="12">
        <v>15</v>
      </c>
      <c r="EA64" s="12">
        <v>6</v>
      </c>
      <c r="EB64" s="12">
        <v>13</v>
      </c>
      <c r="EC64" s="12">
        <v>10</v>
      </c>
      <c r="ED64" s="12">
        <v>14</v>
      </c>
      <c r="EE64" s="12">
        <v>11</v>
      </c>
      <c r="EF64" s="12">
        <v>4</v>
      </c>
      <c r="EG64" s="12">
        <v>12</v>
      </c>
      <c r="EH64" s="12">
        <v>4</v>
      </c>
      <c r="EI64" s="12">
        <v>8</v>
      </c>
      <c r="EJ64" s="12">
        <v>2</v>
      </c>
      <c r="EK64" s="12">
        <v>5</v>
      </c>
      <c r="EL64" s="12">
        <v>8</v>
      </c>
      <c r="EM64" s="12">
        <v>3</v>
      </c>
      <c r="EN64" s="12">
        <v>6</v>
      </c>
      <c r="EO64" s="12">
        <v>3</v>
      </c>
      <c r="EP64" s="12" t="str">
        <f t="shared" si="18"/>
        <v>🟢 Bien</v>
      </c>
      <c r="EQ64" s="23">
        <f t="shared" si="1"/>
        <v>9.0416666666666661</v>
      </c>
      <c r="ER64" s="19">
        <f t="shared" si="2"/>
        <v>97315.6</v>
      </c>
      <c r="ES64" s="12">
        <f t="shared" si="3"/>
        <v>226</v>
      </c>
      <c r="ET64" s="23">
        <f t="shared" si="16"/>
        <v>23</v>
      </c>
      <c r="EU64" s="23">
        <f t="shared" si="17"/>
        <v>48</v>
      </c>
      <c r="EV64" s="23">
        <f t="shared" si="6"/>
        <v>41.56</v>
      </c>
      <c r="EW64" s="23"/>
      <c r="EX64" s="12">
        <v>116</v>
      </c>
      <c r="EY64" s="19" cm="1">
        <f t="array" ref="EY64:FC64">VLOOKUP(_xlfn.SINGLE(B:B),'[1]Price List'!$B:$N,{8,4,5,6,7},0)</f>
        <v>430.6</v>
      </c>
      <c r="EZ64" s="9" t="str">
        <v>Tech21 EvoCrystal w/MagSafe for iPhone 16  - Black</v>
      </c>
      <c r="FA64" s="12" t="str">
        <v>Cases iPhone</v>
      </c>
      <c r="FB64" s="12" t="str">
        <v>iPhone 16</v>
      </c>
      <c r="FC64" s="12" t="str">
        <v>iPhone 16</v>
      </c>
      <c r="FD64" s="23" t="str">
        <f>_xlfn.XLOOKUP(B:B,'[1]Price List'!$B:$B,'[1]Price List'!$A:$A)</f>
        <v>Tech21</v>
      </c>
    </row>
    <row r="65" spans="1:160" s="9" customFormat="1" x14ac:dyDescent="0.2">
      <c r="A65" s="23" t="s">
        <v>599</v>
      </c>
      <c r="B65" s="23">
        <v>840168546671</v>
      </c>
      <c r="C65" s="9" t="s">
        <v>595</v>
      </c>
      <c r="D65" s="9" t="s">
        <v>644</v>
      </c>
      <c r="E65" s="9" t="s">
        <v>320</v>
      </c>
      <c r="F65" s="9" t="s">
        <v>614</v>
      </c>
      <c r="G65" s="9" t="s">
        <v>679</v>
      </c>
      <c r="H65" s="12" t="s">
        <v>594</v>
      </c>
      <c r="I65" s="11">
        <v>999</v>
      </c>
      <c r="J65" s="11">
        <v>430.6</v>
      </c>
      <c r="K65" s="62">
        <v>0</v>
      </c>
      <c r="L65" s="12">
        <v>0</v>
      </c>
      <c r="M65" s="13" t="s">
        <v>467</v>
      </c>
      <c r="N65" s="13" t="s">
        <v>475</v>
      </c>
      <c r="O65" s="27">
        <v>45950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0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2">
        <v>0</v>
      </c>
      <c r="AH65" s="12">
        <v>0</v>
      </c>
      <c r="AI65" s="12">
        <v>0</v>
      </c>
      <c r="AJ65" s="12">
        <v>0</v>
      </c>
      <c r="AK65" s="12">
        <v>0</v>
      </c>
      <c r="AL65" s="12">
        <v>0</v>
      </c>
      <c r="AM65" s="12">
        <v>0</v>
      </c>
      <c r="AN65" s="12">
        <v>0</v>
      </c>
      <c r="AO65" s="12">
        <v>0</v>
      </c>
      <c r="AP65" s="12">
        <v>0</v>
      </c>
      <c r="AQ65" s="12">
        <v>0</v>
      </c>
      <c r="AR65" s="12">
        <v>0</v>
      </c>
      <c r="AS65" s="12">
        <v>0</v>
      </c>
      <c r="AT65" s="12">
        <v>0</v>
      </c>
      <c r="AU65" s="12">
        <v>0</v>
      </c>
      <c r="AV65" s="12">
        <v>0</v>
      </c>
      <c r="AW65" s="12">
        <v>0</v>
      </c>
      <c r="AX65" s="12">
        <v>0</v>
      </c>
      <c r="AY65" s="12">
        <v>0</v>
      </c>
      <c r="AZ65" s="12">
        <v>0</v>
      </c>
      <c r="BA65" s="12">
        <v>0</v>
      </c>
      <c r="BB65" s="12">
        <v>0</v>
      </c>
      <c r="BC65" s="12">
        <v>0</v>
      </c>
      <c r="BD65" s="12">
        <v>0</v>
      </c>
      <c r="BE65" s="12">
        <v>0</v>
      </c>
      <c r="BF65" s="12">
        <v>0</v>
      </c>
      <c r="BG65" s="12">
        <v>0</v>
      </c>
      <c r="BH65" s="12">
        <v>0</v>
      </c>
      <c r="BI65" s="12">
        <v>0</v>
      </c>
      <c r="BJ65" s="12">
        <v>0</v>
      </c>
      <c r="BK65" s="12">
        <v>0</v>
      </c>
      <c r="BL65" s="12">
        <v>0</v>
      </c>
      <c r="BM65" s="12">
        <v>0</v>
      </c>
      <c r="BN65" s="12">
        <v>0</v>
      </c>
      <c r="BO65" s="12">
        <v>0</v>
      </c>
      <c r="BP65" s="12">
        <v>0</v>
      </c>
      <c r="BQ65" s="12">
        <v>0</v>
      </c>
      <c r="BR65" s="12">
        <v>0</v>
      </c>
      <c r="BS65" s="12">
        <v>0</v>
      </c>
      <c r="BT65" s="12">
        <v>0</v>
      </c>
      <c r="BU65" s="12">
        <v>0</v>
      </c>
      <c r="BV65" s="12">
        <v>0</v>
      </c>
      <c r="BW65" s="12">
        <v>0</v>
      </c>
      <c r="BX65" s="12">
        <v>0</v>
      </c>
      <c r="BY65" s="12">
        <v>0</v>
      </c>
      <c r="BZ65" s="12">
        <v>0</v>
      </c>
      <c r="CA65" s="12">
        <v>0</v>
      </c>
      <c r="CB65" s="12">
        <v>0</v>
      </c>
      <c r="CC65" s="12">
        <v>0</v>
      </c>
      <c r="CD65" s="12">
        <v>0</v>
      </c>
      <c r="CE65" s="12">
        <v>0</v>
      </c>
      <c r="CF65" s="12">
        <v>0</v>
      </c>
      <c r="CG65" s="12">
        <v>0</v>
      </c>
      <c r="CH65" s="12">
        <v>0</v>
      </c>
      <c r="CI65" s="12">
        <v>0</v>
      </c>
      <c r="CJ65" s="12">
        <v>0</v>
      </c>
      <c r="CK65" s="12">
        <v>0</v>
      </c>
      <c r="CL65" s="12">
        <v>0</v>
      </c>
      <c r="CM65" s="12">
        <v>0</v>
      </c>
      <c r="CN65" s="12">
        <v>0</v>
      </c>
      <c r="CO65" s="12">
        <v>0</v>
      </c>
      <c r="CP65" s="12">
        <v>0</v>
      </c>
      <c r="CQ65" s="12">
        <v>0</v>
      </c>
      <c r="CR65" s="12">
        <v>0</v>
      </c>
      <c r="CS65" s="12">
        <v>0</v>
      </c>
      <c r="CT65" s="12">
        <v>0</v>
      </c>
      <c r="CU65" s="12">
        <v>0</v>
      </c>
      <c r="CV65" s="12">
        <v>0</v>
      </c>
      <c r="CW65" s="12">
        <v>0</v>
      </c>
      <c r="CX65" s="12">
        <v>0</v>
      </c>
      <c r="CY65" s="12">
        <v>0</v>
      </c>
      <c r="CZ65" s="12">
        <v>0</v>
      </c>
      <c r="DA65" s="12">
        <v>0</v>
      </c>
      <c r="DB65" s="12">
        <v>0</v>
      </c>
      <c r="DC65" s="12">
        <v>0</v>
      </c>
      <c r="DD65" s="12">
        <v>0</v>
      </c>
      <c r="DE65" s="12">
        <v>0</v>
      </c>
      <c r="DF65" s="12">
        <v>0</v>
      </c>
      <c r="DG65" s="12">
        <v>0</v>
      </c>
      <c r="DH65" s="12">
        <v>28</v>
      </c>
      <c r="DI65" s="12">
        <v>65</v>
      </c>
      <c r="DJ65" s="12">
        <v>25</v>
      </c>
      <c r="DK65" s="12">
        <v>16</v>
      </c>
      <c r="DL65" s="12">
        <v>14</v>
      </c>
      <c r="DM65" s="12">
        <v>70</v>
      </c>
      <c r="DN65" s="12">
        <v>70</v>
      </c>
      <c r="DO65" s="12">
        <v>78</v>
      </c>
      <c r="DP65" s="12">
        <v>58</v>
      </c>
      <c r="DQ65" s="12">
        <v>51</v>
      </c>
      <c r="DR65" s="12">
        <v>15</v>
      </c>
      <c r="DS65" s="12">
        <v>11</v>
      </c>
      <c r="DT65" s="12">
        <v>3</v>
      </c>
      <c r="DU65" s="12">
        <v>6</v>
      </c>
      <c r="DV65" s="12">
        <v>2</v>
      </c>
      <c r="DW65" s="12">
        <v>37</v>
      </c>
      <c r="DX65" s="12">
        <v>42</v>
      </c>
      <c r="DY65" s="12">
        <v>19</v>
      </c>
      <c r="DZ65" s="12">
        <v>26</v>
      </c>
      <c r="EA65" s="12">
        <v>15</v>
      </c>
      <c r="EB65" s="12">
        <v>8</v>
      </c>
      <c r="EC65" s="12">
        <v>6</v>
      </c>
      <c r="ED65" s="12">
        <v>2</v>
      </c>
      <c r="EE65" s="12">
        <v>2</v>
      </c>
      <c r="EF65" s="12">
        <v>3</v>
      </c>
      <c r="EG65" s="12">
        <v>3</v>
      </c>
      <c r="EH65" s="12">
        <v>5</v>
      </c>
      <c r="EI65" s="12">
        <v>0</v>
      </c>
      <c r="EJ65" s="12">
        <v>3</v>
      </c>
      <c r="EK65" s="12">
        <v>1</v>
      </c>
      <c r="EL65" s="12">
        <v>0</v>
      </c>
      <c r="EM65" s="12">
        <v>0</v>
      </c>
      <c r="EN65" s="12">
        <v>2</v>
      </c>
      <c r="EO65" s="12">
        <v>1</v>
      </c>
      <c r="EP65" s="12" t="str">
        <f t="shared" si="18"/>
        <v>🔴 Sin venta</v>
      </c>
      <c r="EQ65" s="23">
        <f t="shared" si="1"/>
        <v>13.25</v>
      </c>
      <c r="ER65" s="19">
        <f t="shared" si="2"/>
        <v>138222.6</v>
      </c>
      <c r="ES65" s="12">
        <f t="shared" si="3"/>
        <v>321</v>
      </c>
      <c r="ET65" s="23">
        <f t="shared" si="16"/>
        <v>0</v>
      </c>
      <c r="EU65" s="23">
        <f t="shared" si="17"/>
        <v>183</v>
      </c>
      <c r="EV65" s="23">
        <f t="shared" si="6"/>
        <v>68.67</v>
      </c>
      <c r="EW65" s="23"/>
      <c r="EX65" s="12">
        <v>14</v>
      </c>
      <c r="EY65" s="19" cm="1">
        <f t="array" ref="EY65:FC65">VLOOKUP(_xlfn.SINGLE(B:B),'[1]Price List'!$B:$N,{8,4,5,6,7},0)</f>
        <v>430.6</v>
      </c>
      <c r="EZ65" s="9" t="str">
        <v>Speck Balance Folio iPad 11" (2022-2025) Sable/Blue Granite/Black</v>
      </c>
      <c r="FA65" s="12" t="str">
        <v>Cases iPad</v>
      </c>
      <c r="FB65" s="12" t="str">
        <v>iPad</v>
      </c>
      <c r="FC65" s="12" t="str">
        <v>iPad 10th /11th - 10.9"/11" (2022-2025)</v>
      </c>
      <c r="FD65" s="23" t="str">
        <f>_xlfn.XLOOKUP(B:B,'[1]Price List'!$B:$B,'[1]Price List'!$A:$A)</f>
        <v>Speck</v>
      </c>
    </row>
    <row r="66" spans="1:160" s="9" customFormat="1" x14ac:dyDescent="0.2">
      <c r="A66" s="23" t="s">
        <v>599</v>
      </c>
      <c r="B66" s="23">
        <v>840168546688</v>
      </c>
      <c r="C66" s="9" t="s">
        <v>664</v>
      </c>
      <c r="D66" s="9" t="s">
        <v>644</v>
      </c>
      <c r="E66" s="9" t="s">
        <v>320</v>
      </c>
      <c r="F66" s="9" t="s">
        <v>614</v>
      </c>
      <c r="G66" s="9" t="s">
        <v>679</v>
      </c>
      <c r="H66" s="12" t="s">
        <v>670</v>
      </c>
      <c r="I66" s="11">
        <v>999</v>
      </c>
      <c r="J66" s="11">
        <v>430.6</v>
      </c>
      <c r="K66" s="62">
        <v>0</v>
      </c>
      <c r="L66" s="12">
        <v>0</v>
      </c>
      <c r="M66" s="13" t="s">
        <v>466</v>
      </c>
      <c r="N66" s="13" t="s">
        <v>383</v>
      </c>
      <c r="O66" s="27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  <c r="DM66" s="12"/>
      <c r="DN66" s="12"/>
      <c r="DO66" s="12"/>
      <c r="DP66" s="12"/>
      <c r="DQ66" s="12"/>
      <c r="DR66" s="12"/>
      <c r="DS66" s="12"/>
      <c r="DT66" s="12"/>
      <c r="DU66" s="12"/>
      <c r="DV66" s="12"/>
      <c r="DW66" s="12"/>
      <c r="DX66" s="12"/>
      <c r="DY66" s="12"/>
      <c r="DZ66" s="12"/>
      <c r="EA66" s="12"/>
      <c r="EB66" s="12"/>
      <c r="EC66" s="12">
        <v>24</v>
      </c>
      <c r="ED66" s="12">
        <v>16</v>
      </c>
      <c r="EE66" s="12">
        <v>18</v>
      </c>
      <c r="EF66" s="12">
        <v>19</v>
      </c>
      <c r="EG66" s="12">
        <v>20</v>
      </c>
      <c r="EH66" s="12">
        <v>22</v>
      </c>
      <c r="EI66" s="12">
        <v>21</v>
      </c>
      <c r="EJ66" s="12">
        <v>12</v>
      </c>
      <c r="EK66" s="12">
        <v>17</v>
      </c>
      <c r="EL66" s="12">
        <v>17</v>
      </c>
      <c r="EM66" s="12">
        <v>14</v>
      </c>
      <c r="EN66" s="12">
        <v>14</v>
      </c>
      <c r="EO66" s="12">
        <v>20</v>
      </c>
      <c r="EP66" s="12" t="str">
        <f t="shared" si="18"/>
        <v>🟢 Bien</v>
      </c>
      <c r="EQ66" s="23">
        <f t="shared" si="1"/>
        <v>18.181818181818183</v>
      </c>
      <c r="ER66" s="19">
        <f t="shared" si="2"/>
        <v>100760.40000000001</v>
      </c>
      <c r="ES66" s="12">
        <f t="shared" si="3"/>
        <v>234</v>
      </c>
      <c r="ET66" s="23"/>
      <c r="EU66" s="23" t="e">
        <f t="shared" si="17"/>
        <v>#DIV/0!</v>
      </c>
      <c r="EV66" s="23">
        <f t="shared" si="6"/>
        <v>77.599999999999994</v>
      </c>
      <c r="EW66" s="23"/>
      <c r="EX66" s="12">
        <v>259</v>
      </c>
      <c r="EY66" s="19" cm="1">
        <f t="array" ref="EY66:FC66">VLOOKUP(_xlfn.SINGLE(B:B),'[1]Price List'!$B:$N,{8,4,5,6,7},0)</f>
        <v>430.6</v>
      </c>
      <c r="EZ66" s="9" t="str">
        <v>Speck Balance Folio iPad 11" (2022-2025) Ceramic Grey/Autumn Sky/Black</v>
      </c>
      <c r="FA66" s="12" t="str">
        <v>Cases iPad</v>
      </c>
      <c r="FB66" s="12" t="str">
        <v>iPad</v>
      </c>
      <c r="FC66" s="12" t="str">
        <v>iPad 10th /11th - 10.9"/11" (2022-2025)</v>
      </c>
      <c r="FD66" s="23" t="str">
        <f>_xlfn.XLOOKUP(B:B,'[1]Price List'!$B:$B,'[1]Price List'!$A:$A)</f>
        <v>Speck</v>
      </c>
    </row>
    <row r="67" spans="1:160" s="9" customFormat="1" x14ac:dyDescent="0.2">
      <c r="A67" s="23" t="s">
        <v>599</v>
      </c>
      <c r="B67" s="23">
        <v>840168528202</v>
      </c>
      <c r="C67" s="9" t="s">
        <v>240</v>
      </c>
      <c r="D67" s="9" t="s">
        <v>644</v>
      </c>
      <c r="E67" s="9" t="s">
        <v>320</v>
      </c>
      <c r="F67" s="9" t="s">
        <v>614</v>
      </c>
      <c r="G67" s="9" t="s">
        <v>679</v>
      </c>
      <c r="H67" s="12" t="s">
        <v>241</v>
      </c>
      <c r="I67" s="11">
        <v>999</v>
      </c>
      <c r="J67" s="11">
        <v>430.6</v>
      </c>
      <c r="K67" s="62">
        <v>0</v>
      </c>
      <c r="L67" s="12">
        <v>0</v>
      </c>
      <c r="M67" s="13" t="s">
        <v>466</v>
      </c>
      <c r="N67" s="13" t="s">
        <v>383</v>
      </c>
      <c r="O67" s="27">
        <v>44662</v>
      </c>
      <c r="P67" s="12">
        <v>17</v>
      </c>
      <c r="Q67" s="12">
        <v>19</v>
      </c>
      <c r="R67" s="12">
        <v>17</v>
      </c>
      <c r="S67" s="12">
        <v>13</v>
      </c>
      <c r="T67" s="12">
        <v>21</v>
      </c>
      <c r="U67" s="12">
        <v>13</v>
      </c>
      <c r="V67" s="12">
        <v>36</v>
      </c>
      <c r="W67" s="12">
        <v>17</v>
      </c>
      <c r="X67" s="12">
        <v>15</v>
      </c>
      <c r="Y67" s="12">
        <v>35</v>
      </c>
      <c r="Z67" s="12">
        <v>36</v>
      </c>
      <c r="AA67" s="12">
        <v>66</v>
      </c>
      <c r="AB67" s="12">
        <v>42</v>
      </c>
      <c r="AC67" s="12">
        <v>25</v>
      </c>
      <c r="AD67" s="12">
        <v>12</v>
      </c>
      <c r="AE67" s="12">
        <v>14</v>
      </c>
      <c r="AF67" s="12">
        <v>8</v>
      </c>
      <c r="AG67" s="12">
        <v>9</v>
      </c>
      <c r="AH67" s="12">
        <v>9</v>
      </c>
      <c r="AI67" s="12">
        <v>15</v>
      </c>
      <c r="AJ67" s="12">
        <v>37</v>
      </c>
      <c r="AK67" s="12">
        <v>25</v>
      </c>
      <c r="AL67" s="12">
        <v>22</v>
      </c>
      <c r="AM67" s="12">
        <v>15</v>
      </c>
      <c r="AN67" s="12">
        <v>19</v>
      </c>
      <c r="AO67" s="12">
        <v>13</v>
      </c>
      <c r="AP67" s="12">
        <v>28</v>
      </c>
      <c r="AQ67" s="12">
        <v>18</v>
      </c>
      <c r="AR67" s="12">
        <v>20</v>
      </c>
      <c r="AS67" s="12">
        <v>27</v>
      </c>
      <c r="AT67" s="12">
        <v>29</v>
      </c>
      <c r="AU67" s="12">
        <v>19</v>
      </c>
      <c r="AV67" s="12">
        <v>31</v>
      </c>
      <c r="AW67" s="12">
        <v>37</v>
      </c>
      <c r="AX67" s="12">
        <v>31</v>
      </c>
      <c r="AY67" s="12">
        <v>54</v>
      </c>
      <c r="AZ67" s="12">
        <v>66</v>
      </c>
      <c r="BA67" s="12">
        <v>66</v>
      </c>
      <c r="BB67" s="12">
        <v>44</v>
      </c>
      <c r="BC67" s="12">
        <v>88</v>
      </c>
      <c r="BD67" s="12">
        <v>87</v>
      </c>
      <c r="BE67" s="12">
        <v>91</v>
      </c>
      <c r="BF67" s="12">
        <v>61</v>
      </c>
      <c r="BG67" s="12">
        <v>30</v>
      </c>
      <c r="BH67" s="12">
        <v>16</v>
      </c>
      <c r="BI67" s="12">
        <v>16</v>
      </c>
      <c r="BJ67" s="12">
        <v>50</v>
      </c>
      <c r="BK67" s="12">
        <v>35</v>
      </c>
      <c r="BL67" s="12">
        <v>17</v>
      </c>
      <c r="BM67" s="12">
        <v>16</v>
      </c>
      <c r="BN67" s="12">
        <v>28</v>
      </c>
      <c r="BO67" s="12">
        <v>80</v>
      </c>
      <c r="BP67" s="12">
        <v>97</v>
      </c>
      <c r="BQ67" s="12">
        <v>46</v>
      </c>
      <c r="BR67" s="12">
        <v>21</v>
      </c>
      <c r="BS67" s="12">
        <v>30</v>
      </c>
      <c r="BT67" s="12">
        <v>40</v>
      </c>
      <c r="BU67" s="12">
        <v>21</v>
      </c>
      <c r="BV67" s="12">
        <v>19</v>
      </c>
      <c r="BW67" s="12">
        <v>16</v>
      </c>
      <c r="BX67" s="12">
        <v>9</v>
      </c>
      <c r="BY67" s="12">
        <v>6</v>
      </c>
      <c r="BZ67" s="12">
        <v>2</v>
      </c>
      <c r="CA67" s="12">
        <v>4</v>
      </c>
      <c r="CB67" s="12">
        <v>5</v>
      </c>
      <c r="CC67" s="12">
        <v>1</v>
      </c>
      <c r="CD67" s="12">
        <v>5</v>
      </c>
      <c r="CE67" s="12">
        <v>22</v>
      </c>
      <c r="CF67" s="12">
        <v>39</v>
      </c>
      <c r="CG67" s="12">
        <v>24</v>
      </c>
      <c r="CH67" s="12">
        <v>18</v>
      </c>
      <c r="CI67" s="12">
        <v>37</v>
      </c>
      <c r="CJ67" s="12">
        <v>24</v>
      </c>
      <c r="CK67" s="12">
        <v>27</v>
      </c>
      <c r="CL67" s="12">
        <v>22</v>
      </c>
      <c r="CM67" s="12">
        <v>14</v>
      </c>
      <c r="CN67" s="12">
        <v>9</v>
      </c>
      <c r="CO67" s="12">
        <v>12</v>
      </c>
      <c r="CP67" s="12">
        <v>21</v>
      </c>
      <c r="CQ67" s="12">
        <v>23</v>
      </c>
      <c r="CR67" s="12">
        <v>26</v>
      </c>
      <c r="CS67" s="12">
        <v>31</v>
      </c>
      <c r="CT67" s="12">
        <v>39</v>
      </c>
      <c r="CU67" s="12">
        <v>42</v>
      </c>
      <c r="CV67" s="12">
        <v>40</v>
      </c>
      <c r="CW67" s="12">
        <v>72</v>
      </c>
      <c r="CX67" s="12">
        <v>56</v>
      </c>
      <c r="CY67" s="12">
        <v>33</v>
      </c>
      <c r="CZ67" s="12">
        <v>28</v>
      </c>
      <c r="DA67" s="12">
        <v>31</v>
      </c>
      <c r="DB67" s="12">
        <v>9</v>
      </c>
      <c r="DC67" s="12">
        <v>11</v>
      </c>
      <c r="DD67" s="12">
        <v>9</v>
      </c>
      <c r="DE67" s="12">
        <v>11</v>
      </c>
      <c r="DF67" s="12">
        <v>30</v>
      </c>
      <c r="DG67" s="12">
        <v>26</v>
      </c>
      <c r="DH67" s="12">
        <v>28</v>
      </c>
      <c r="DI67" s="12">
        <v>81</v>
      </c>
      <c r="DJ67" s="12">
        <v>52</v>
      </c>
      <c r="DK67" s="12">
        <v>20</v>
      </c>
      <c r="DL67" s="12">
        <v>47</v>
      </c>
      <c r="DM67" s="12">
        <v>65</v>
      </c>
      <c r="DN67" s="12">
        <v>65</v>
      </c>
      <c r="DO67" s="12">
        <v>90</v>
      </c>
      <c r="DP67" s="12">
        <v>78</v>
      </c>
      <c r="DQ67" s="12">
        <v>61</v>
      </c>
      <c r="DR67" s="12">
        <v>33</v>
      </c>
      <c r="DS67" s="12">
        <v>31</v>
      </c>
      <c r="DT67" s="12">
        <v>25</v>
      </c>
      <c r="DU67" s="12">
        <v>19</v>
      </c>
      <c r="DV67" s="12">
        <v>22</v>
      </c>
      <c r="DW67" s="12">
        <v>27</v>
      </c>
      <c r="DX67" s="12">
        <v>26</v>
      </c>
      <c r="DY67" s="12">
        <v>34</v>
      </c>
      <c r="DZ67" s="12">
        <v>49</v>
      </c>
      <c r="EA67" s="12">
        <v>39</v>
      </c>
      <c r="EB67" s="12">
        <v>28</v>
      </c>
      <c r="EC67" s="12">
        <v>39</v>
      </c>
      <c r="ED67" s="12">
        <v>41</v>
      </c>
      <c r="EE67" s="12">
        <v>18</v>
      </c>
      <c r="EF67" s="12">
        <v>27</v>
      </c>
      <c r="EG67" s="12">
        <v>26</v>
      </c>
      <c r="EH67" s="12">
        <v>47</v>
      </c>
      <c r="EI67" s="12">
        <v>42</v>
      </c>
      <c r="EJ67" s="12">
        <v>31</v>
      </c>
      <c r="EK67" s="12">
        <v>38</v>
      </c>
      <c r="EL67" s="12">
        <v>29</v>
      </c>
      <c r="EM67" s="12">
        <v>16</v>
      </c>
      <c r="EN67" s="12">
        <v>28</v>
      </c>
      <c r="EO67" s="12">
        <v>24</v>
      </c>
      <c r="EP67" s="12" t="str">
        <f t="shared" si="18"/>
        <v>🟢 Bien</v>
      </c>
      <c r="EQ67" s="23">
        <f t="shared" si="1"/>
        <v>34.416666666666664</v>
      </c>
      <c r="ER67" s="19">
        <f t="shared" si="2"/>
        <v>378066.80000000005</v>
      </c>
      <c r="ES67" s="12">
        <f t="shared" si="3"/>
        <v>878</v>
      </c>
      <c r="ET67" s="23">
        <f t="shared" ref="ET67:ET96" si="19">ROUND((AVERAGE(CZ67:DG67)*4),2)</f>
        <v>77.5</v>
      </c>
      <c r="EU67" s="23">
        <f t="shared" si="17"/>
        <v>224</v>
      </c>
      <c r="EV67" s="23">
        <f t="shared" si="6"/>
        <v>138.44</v>
      </c>
      <c r="EW67" s="23"/>
      <c r="EX67" s="12">
        <v>256</v>
      </c>
      <c r="EY67" s="19" cm="1">
        <f t="array" ref="EY67:FC67">VLOOKUP(_xlfn.SINGLE(B:B),'[1]Price List'!$B:$N,{8,4,5,6,7},0)</f>
        <v>430.6</v>
      </c>
      <c r="EZ67" s="9" t="str">
        <v>Speck Balance Folio Case for iPad 10th Gen - Plumberry/Crushed Purple/Crepe Pink</v>
      </c>
      <c r="FA67" s="12" t="str">
        <v>Cases iPad</v>
      </c>
      <c r="FB67" s="12" t="str">
        <v>iPad</v>
      </c>
      <c r="FC67" s="12" t="str">
        <v>iPad 10th /11th - 10.9"/11" (2022-2025)</v>
      </c>
      <c r="FD67" s="23" t="str">
        <f>_xlfn.XLOOKUP(B:B,'[1]Price List'!$B:$B,'[1]Price List'!$A:$A)</f>
        <v>Speck</v>
      </c>
    </row>
    <row r="68" spans="1:160" s="9" customFormat="1" x14ac:dyDescent="0.2">
      <c r="A68" s="23" t="s">
        <v>599</v>
      </c>
      <c r="B68" s="23">
        <v>840168528172</v>
      </c>
      <c r="C68" s="9" t="s">
        <v>244</v>
      </c>
      <c r="D68" s="9" t="s">
        <v>644</v>
      </c>
      <c r="E68" s="9" t="s">
        <v>320</v>
      </c>
      <c r="F68" s="9" t="s">
        <v>614</v>
      </c>
      <c r="G68" s="9" t="s">
        <v>679</v>
      </c>
      <c r="H68" s="12" t="s">
        <v>245</v>
      </c>
      <c r="I68" s="11">
        <v>999</v>
      </c>
      <c r="J68" s="11">
        <v>430.6</v>
      </c>
      <c r="K68" s="62">
        <v>0</v>
      </c>
      <c r="L68" s="12">
        <v>0</v>
      </c>
      <c r="M68" s="13" t="s">
        <v>466</v>
      </c>
      <c r="N68" s="13" t="s">
        <v>383</v>
      </c>
      <c r="O68" s="27">
        <v>44662</v>
      </c>
      <c r="P68" s="12">
        <v>9</v>
      </c>
      <c r="Q68" s="12">
        <v>6</v>
      </c>
      <c r="R68" s="12">
        <v>14</v>
      </c>
      <c r="S68" s="12">
        <v>10</v>
      </c>
      <c r="T68" s="12">
        <v>11</v>
      </c>
      <c r="U68" s="12">
        <v>16</v>
      </c>
      <c r="V68" s="12">
        <v>25</v>
      </c>
      <c r="W68" s="12">
        <v>18</v>
      </c>
      <c r="X68" s="12">
        <v>15</v>
      </c>
      <c r="Y68" s="12">
        <v>10</v>
      </c>
      <c r="Z68" s="12">
        <v>22</v>
      </c>
      <c r="AA68" s="12">
        <v>55</v>
      </c>
      <c r="AB68" s="12">
        <v>27</v>
      </c>
      <c r="AC68" s="12">
        <v>26</v>
      </c>
      <c r="AD68" s="12">
        <v>15</v>
      </c>
      <c r="AE68" s="12">
        <v>18</v>
      </c>
      <c r="AF68" s="12">
        <v>22</v>
      </c>
      <c r="AG68" s="12">
        <v>16</v>
      </c>
      <c r="AH68" s="12">
        <v>12</v>
      </c>
      <c r="AI68" s="12">
        <v>14</v>
      </c>
      <c r="AJ68" s="12">
        <v>17</v>
      </c>
      <c r="AK68" s="12">
        <v>12</v>
      </c>
      <c r="AL68" s="12">
        <v>14</v>
      </c>
      <c r="AM68" s="12">
        <v>14</v>
      </c>
      <c r="AN68" s="12">
        <v>14</v>
      </c>
      <c r="AO68" s="12">
        <v>13</v>
      </c>
      <c r="AP68" s="12">
        <v>7</v>
      </c>
      <c r="AQ68" s="12">
        <v>11</v>
      </c>
      <c r="AR68" s="12">
        <v>11</v>
      </c>
      <c r="AS68" s="12">
        <v>6</v>
      </c>
      <c r="AT68" s="12">
        <v>19</v>
      </c>
      <c r="AU68" s="12">
        <v>25</v>
      </c>
      <c r="AV68" s="12">
        <v>18</v>
      </c>
      <c r="AW68" s="12">
        <v>29</v>
      </c>
      <c r="AX68" s="12">
        <v>18</v>
      </c>
      <c r="AY68" s="12">
        <v>36</v>
      </c>
      <c r="AZ68" s="12">
        <v>45</v>
      </c>
      <c r="BA68" s="12">
        <v>33</v>
      </c>
      <c r="BB68" s="12">
        <v>79</v>
      </c>
      <c r="BC68" s="12">
        <v>59</v>
      </c>
      <c r="BD68" s="12">
        <v>47</v>
      </c>
      <c r="BE68" s="12">
        <v>42</v>
      </c>
      <c r="BF68" s="12">
        <v>41</v>
      </c>
      <c r="BG68" s="12">
        <v>8</v>
      </c>
      <c r="BH68" s="12">
        <v>15</v>
      </c>
      <c r="BI68" s="12">
        <v>14</v>
      </c>
      <c r="BJ68" s="12">
        <v>28</v>
      </c>
      <c r="BK68" s="12">
        <v>23</v>
      </c>
      <c r="BL68" s="12">
        <v>25</v>
      </c>
      <c r="BM68" s="12">
        <v>19</v>
      </c>
      <c r="BN68" s="12">
        <v>28</v>
      </c>
      <c r="BO68" s="12">
        <v>41</v>
      </c>
      <c r="BP68" s="12">
        <v>87</v>
      </c>
      <c r="BQ68" s="12">
        <v>51</v>
      </c>
      <c r="BR68" s="12">
        <v>26</v>
      </c>
      <c r="BS68" s="12">
        <v>18</v>
      </c>
      <c r="BT68" s="12">
        <v>19</v>
      </c>
      <c r="BU68" s="12">
        <v>18</v>
      </c>
      <c r="BV68" s="12">
        <v>23</v>
      </c>
      <c r="BW68" s="12">
        <v>16</v>
      </c>
      <c r="BX68" s="12">
        <v>8</v>
      </c>
      <c r="BY68" s="12">
        <v>26</v>
      </c>
      <c r="BZ68" s="12">
        <v>13</v>
      </c>
      <c r="CA68" s="12">
        <v>25</v>
      </c>
      <c r="CB68" s="12">
        <v>18</v>
      </c>
      <c r="CC68" s="12">
        <v>11</v>
      </c>
      <c r="CD68" s="12">
        <v>10</v>
      </c>
      <c r="CE68" s="12">
        <v>7</v>
      </c>
      <c r="CF68" s="12">
        <v>7</v>
      </c>
      <c r="CG68" s="12">
        <v>3</v>
      </c>
      <c r="CH68" s="12">
        <v>0</v>
      </c>
      <c r="CI68" s="12">
        <v>1</v>
      </c>
      <c r="CJ68" s="12">
        <v>2</v>
      </c>
      <c r="CK68" s="12">
        <v>24</v>
      </c>
      <c r="CL68" s="12">
        <v>24</v>
      </c>
      <c r="CM68" s="12">
        <v>16</v>
      </c>
      <c r="CN68" s="12">
        <v>3</v>
      </c>
      <c r="CO68" s="12">
        <v>6</v>
      </c>
      <c r="CP68" s="12">
        <v>22</v>
      </c>
      <c r="CQ68" s="12">
        <v>13</v>
      </c>
      <c r="CR68" s="12">
        <v>11</v>
      </c>
      <c r="CS68" s="12">
        <v>12</v>
      </c>
      <c r="CT68" s="12">
        <v>25</v>
      </c>
      <c r="CU68" s="12">
        <v>22</v>
      </c>
      <c r="CV68" s="12">
        <v>30</v>
      </c>
      <c r="CW68" s="12">
        <v>46</v>
      </c>
      <c r="CX68" s="12">
        <v>32</v>
      </c>
      <c r="CY68" s="12">
        <v>11</v>
      </c>
      <c r="CZ68" s="12">
        <v>4</v>
      </c>
      <c r="DA68" s="12">
        <v>11</v>
      </c>
      <c r="DB68" s="12">
        <v>6</v>
      </c>
      <c r="DC68" s="12">
        <v>7</v>
      </c>
      <c r="DD68" s="12">
        <v>3</v>
      </c>
      <c r="DE68" s="12">
        <v>4</v>
      </c>
      <c r="DF68" s="12">
        <v>18</v>
      </c>
      <c r="DG68" s="12">
        <v>26</v>
      </c>
      <c r="DH68" s="12">
        <v>13</v>
      </c>
      <c r="DI68" s="12">
        <v>44</v>
      </c>
      <c r="DJ68" s="12">
        <v>33</v>
      </c>
      <c r="DK68" s="12">
        <v>17</v>
      </c>
      <c r="DL68" s="12">
        <v>12</v>
      </c>
      <c r="DM68" s="12">
        <v>34</v>
      </c>
      <c r="DN68" s="12">
        <v>51</v>
      </c>
      <c r="DO68" s="12">
        <v>62</v>
      </c>
      <c r="DP68" s="12">
        <v>49</v>
      </c>
      <c r="DQ68" s="12">
        <v>44</v>
      </c>
      <c r="DR68" s="12">
        <v>29</v>
      </c>
      <c r="DS68" s="12">
        <v>16</v>
      </c>
      <c r="DT68" s="12">
        <v>35</v>
      </c>
      <c r="DU68" s="12">
        <v>24</v>
      </c>
      <c r="DV68" s="12">
        <v>24</v>
      </c>
      <c r="DW68" s="12">
        <v>25</v>
      </c>
      <c r="DX68" s="12">
        <v>27</v>
      </c>
      <c r="DY68" s="12">
        <v>20</v>
      </c>
      <c r="DZ68" s="12">
        <v>27</v>
      </c>
      <c r="EA68" s="12">
        <v>18</v>
      </c>
      <c r="EB68" s="12">
        <v>28</v>
      </c>
      <c r="EC68" s="12">
        <v>35</v>
      </c>
      <c r="ED68" s="12">
        <v>23</v>
      </c>
      <c r="EE68" s="12">
        <v>23</v>
      </c>
      <c r="EF68" s="12">
        <v>13</v>
      </c>
      <c r="EG68" s="12">
        <v>23</v>
      </c>
      <c r="EH68" s="12">
        <v>26</v>
      </c>
      <c r="EI68" s="12">
        <v>23</v>
      </c>
      <c r="EJ68" s="12">
        <v>18</v>
      </c>
      <c r="EK68" s="12">
        <v>21</v>
      </c>
      <c r="EL68" s="12">
        <v>12</v>
      </c>
      <c r="EM68" s="12">
        <v>7</v>
      </c>
      <c r="EN68" s="12">
        <v>12</v>
      </c>
      <c r="EO68" s="12">
        <v>16</v>
      </c>
      <c r="EP68" s="12" t="str">
        <f t="shared" si="18"/>
        <v>🟢 Bien</v>
      </c>
      <c r="EQ68" s="23">
        <f t="shared" si="1"/>
        <v>24.583333333333332</v>
      </c>
      <c r="ER68" s="19">
        <f t="shared" si="2"/>
        <v>266110.8</v>
      </c>
      <c r="ES68" s="12">
        <f t="shared" si="3"/>
        <v>618</v>
      </c>
      <c r="ET68" s="23">
        <f t="shared" si="19"/>
        <v>39.5</v>
      </c>
      <c r="EU68" s="23">
        <f t="shared" si="17"/>
        <v>133</v>
      </c>
      <c r="EV68" s="23">
        <f t="shared" si="6"/>
        <v>107.33</v>
      </c>
      <c r="EW68" s="23"/>
      <c r="EX68" s="12">
        <v>258</v>
      </c>
      <c r="EY68" s="19" cm="1">
        <f t="array" ref="EY68:FC68">VLOOKUP(_xlfn.SINGLE(B:B),'[1]Price List'!$B:$N,{8,4,5,6,7},0)</f>
        <v>430.6</v>
      </c>
      <c r="EZ68" s="9" t="str">
        <v>Speck Balance Folio Case for iPad 10th Gen - Almond Milk /Mocha/Charcoal</v>
      </c>
      <c r="FA68" s="12" t="str">
        <v>Cases iPad</v>
      </c>
      <c r="FB68" s="12" t="str">
        <v>iPad</v>
      </c>
      <c r="FC68" s="12" t="str">
        <v>iPad 10th /11th - 10.9"/11" (2022-2025)</v>
      </c>
      <c r="FD68" s="23" t="str">
        <f>_xlfn.XLOOKUP(B:B,'[1]Price List'!$B:$B,'[1]Price List'!$A:$A)</f>
        <v>Speck</v>
      </c>
    </row>
    <row r="69" spans="1:160" s="9" customFormat="1" x14ac:dyDescent="0.2">
      <c r="A69" s="23" t="s">
        <v>599</v>
      </c>
      <c r="B69" s="23">
        <v>840168528165</v>
      </c>
      <c r="C69" s="9" t="s">
        <v>246</v>
      </c>
      <c r="D69" s="9" t="s">
        <v>644</v>
      </c>
      <c r="E69" s="9" t="s">
        <v>320</v>
      </c>
      <c r="F69" s="9" t="s">
        <v>614</v>
      </c>
      <c r="G69" s="9" t="s">
        <v>679</v>
      </c>
      <c r="H69" s="12" t="s">
        <v>247</v>
      </c>
      <c r="I69" s="11">
        <v>1099</v>
      </c>
      <c r="J69" s="11">
        <v>473.71</v>
      </c>
      <c r="K69" s="62">
        <v>0</v>
      </c>
      <c r="L69" s="12">
        <v>0</v>
      </c>
      <c r="M69" s="13" t="s">
        <v>466</v>
      </c>
      <c r="N69" s="13" t="s">
        <v>383</v>
      </c>
      <c r="O69" s="27">
        <v>44662</v>
      </c>
      <c r="P69" s="12">
        <v>14</v>
      </c>
      <c r="Q69" s="12">
        <v>7</v>
      </c>
      <c r="R69" s="12">
        <v>5</v>
      </c>
      <c r="S69" s="12">
        <v>9</v>
      </c>
      <c r="T69" s="12">
        <v>9</v>
      </c>
      <c r="U69" s="12">
        <v>12</v>
      </c>
      <c r="V69" s="12">
        <v>23</v>
      </c>
      <c r="W69" s="12">
        <v>17</v>
      </c>
      <c r="X69" s="12">
        <v>13</v>
      </c>
      <c r="Y69" s="12">
        <v>17</v>
      </c>
      <c r="Z69" s="12">
        <v>26</v>
      </c>
      <c r="AA69" s="12">
        <v>39</v>
      </c>
      <c r="AB69" s="12">
        <v>44</v>
      </c>
      <c r="AC69" s="12">
        <v>30</v>
      </c>
      <c r="AD69" s="12">
        <v>15</v>
      </c>
      <c r="AE69" s="12">
        <v>24</v>
      </c>
      <c r="AF69" s="12">
        <v>23</v>
      </c>
      <c r="AG69" s="12">
        <v>26</v>
      </c>
      <c r="AH69" s="12">
        <v>24</v>
      </c>
      <c r="AI69" s="12">
        <v>17</v>
      </c>
      <c r="AJ69" s="12">
        <v>14</v>
      </c>
      <c r="AK69" s="12">
        <v>10</v>
      </c>
      <c r="AL69" s="12">
        <v>4</v>
      </c>
      <c r="AM69" s="12">
        <v>6</v>
      </c>
      <c r="AN69" s="12">
        <v>7</v>
      </c>
      <c r="AO69" s="12">
        <v>6</v>
      </c>
      <c r="AP69" s="12">
        <v>2</v>
      </c>
      <c r="AQ69" s="12">
        <v>3</v>
      </c>
      <c r="AR69" s="12">
        <v>2</v>
      </c>
      <c r="AS69" s="12">
        <v>6</v>
      </c>
      <c r="AT69" s="12">
        <v>10</v>
      </c>
      <c r="AU69" s="12">
        <v>7</v>
      </c>
      <c r="AV69" s="12">
        <v>12</v>
      </c>
      <c r="AW69" s="12">
        <v>22</v>
      </c>
      <c r="AX69" s="12">
        <v>25</v>
      </c>
      <c r="AY69" s="12">
        <v>37</v>
      </c>
      <c r="AZ69" s="12">
        <v>37</v>
      </c>
      <c r="BA69" s="12">
        <v>50</v>
      </c>
      <c r="BB69" s="12">
        <v>88</v>
      </c>
      <c r="BC69" s="12">
        <v>42</v>
      </c>
      <c r="BD69" s="12">
        <v>25</v>
      </c>
      <c r="BE69" s="12">
        <v>29</v>
      </c>
      <c r="BF69" s="12">
        <v>34</v>
      </c>
      <c r="BG69" s="12">
        <v>16</v>
      </c>
      <c r="BH69" s="12">
        <v>8</v>
      </c>
      <c r="BI69" s="12">
        <v>12</v>
      </c>
      <c r="BJ69" s="12">
        <v>37</v>
      </c>
      <c r="BK69" s="12">
        <v>27</v>
      </c>
      <c r="BL69" s="12">
        <v>23</v>
      </c>
      <c r="BM69" s="12">
        <v>15</v>
      </c>
      <c r="BN69" s="12">
        <v>21</v>
      </c>
      <c r="BO69" s="12">
        <v>42</v>
      </c>
      <c r="BP69" s="12">
        <v>62</v>
      </c>
      <c r="BQ69" s="12">
        <v>67</v>
      </c>
      <c r="BR69" s="12">
        <v>42</v>
      </c>
      <c r="BS69" s="12">
        <v>18</v>
      </c>
      <c r="BT69" s="12">
        <v>32</v>
      </c>
      <c r="BU69" s="12">
        <v>21</v>
      </c>
      <c r="BV69" s="12">
        <v>30</v>
      </c>
      <c r="BW69" s="12">
        <v>43</v>
      </c>
      <c r="BX69" s="12">
        <v>33</v>
      </c>
      <c r="BY69" s="12">
        <v>27</v>
      </c>
      <c r="BZ69" s="12">
        <v>37</v>
      </c>
      <c r="CA69" s="12">
        <v>51</v>
      </c>
      <c r="CB69" s="12">
        <v>36</v>
      </c>
      <c r="CC69" s="12">
        <v>44</v>
      </c>
      <c r="CD69" s="12">
        <v>37</v>
      </c>
      <c r="CE69" s="12">
        <v>35</v>
      </c>
      <c r="CF69" s="12">
        <v>27</v>
      </c>
      <c r="CG69" s="12">
        <v>24</v>
      </c>
      <c r="CH69" s="12">
        <v>18</v>
      </c>
      <c r="CI69" s="12">
        <v>7</v>
      </c>
      <c r="CJ69" s="12">
        <v>8</v>
      </c>
      <c r="CK69" s="12">
        <v>9</v>
      </c>
      <c r="CL69" s="12">
        <v>6</v>
      </c>
      <c r="CM69" s="12">
        <v>6</v>
      </c>
      <c r="CN69" s="12">
        <v>4</v>
      </c>
      <c r="CO69" s="12">
        <v>5</v>
      </c>
      <c r="CP69" s="12">
        <v>13</v>
      </c>
      <c r="CQ69" s="12">
        <v>18</v>
      </c>
      <c r="CR69" s="12">
        <v>11</v>
      </c>
      <c r="CS69" s="12">
        <v>15</v>
      </c>
      <c r="CT69" s="12">
        <v>28</v>
      </c>
      <c r="CU69" s="12">
        <v>31</v>
      </c>
      <c r="CV69" s="12">
        <v>37</v>
      </c>
      <c r="CW69" s="12">
        <v>50</v>
      </c>
      <c r="CX69" s="12">
        <v>44</v>
      </c>
      <c r="CY69" s="12">
        <v>37</v>
      </c>
      <c r="CZ69" s="12">
        <v>27</v>
      </c>
      <c r="DA69" s="12">
        <v>17</v>
      </c>
      <c r="DB69" s="12">
        <v>9</v>
      </c>
      <c r="DC69" s="12">
        <v>31</v>
      </c>
      <c r="DD69" s="12">
        <v>28</v>
      </c>
      <c r="DE69" s="12">
        <v>21</v>
      </c>
      <c r="DF69" s="12">
        <v>31</v>
      </c>
      <c r="DG69" s="12">
        <v>20</v>
      </c>
      <c r="DH69" s="12">
        <v>20</v>
      </c>
      <c r="DI69" s="12">
        <v>38</v>
      </c>
      <c r="DJ69" s="12">
        <v>35</v>
      </c>
      <c r="DK69" s="12">
        <v>21</v>
      </c>
      <c r="DL69" s="12">
        <v>20</v>
      </c>
      <c r="DM69" s="12">
        <v>33</v>
      </c>
      <c r="DN69" s="12">
        <v>45</v>
      </c>
      <c r="DO69" s="12">
        <v>50</v>
      </c>
      <c r="DP69" s="12">
        <v>53</v>
      </c>
      <c r="DQ69" s="12">
        <v>31</v>
      </c>
      <c r="DR69" s="12">
        <v>25</v>
      </c>
      <c r="DS69" s="12">
        <v>33</v>
      </c>
      <c r="DT69" s="12">
        <v>36</v>
      </c>
      <c r="DU69" s="12">
        <v>32</v>
      </c>
      <c r="DV69" s="12">
        <v>18</v>
      </c>
      <c r="DW69" s="12">
        <v>27</v>
      </c>
      <c r="DX69" s="12">
        <v>35</v>
      </c>
      <c r="DY69" s="12">
        <v>23</v>
      </c>
      <c r="DZ69" s="12">
        <v>22</v>
      </c>
      <c r="EA69" s="12">
        <v>28</v>
      </c>
      <c r="EB69" s="12">
        <v>22</v>
      </c>
      <c r="EC69" s="12">
        <v>33</v>
      </c>
      <c r="ED69" s="12">
        <v>16</v>
      </c>
      <c r="EE69" s="12">
        <v>21</v>
      </c>
      <c r="EF69" s="12">
        <v>16</v>
      </c>
      <c r="EG69" s="12">
        <v>18</v>
      </c>
      <c r="EH69" s="12">
        <v>22</v>
      </c>
      <c r="EI69" s="12">
        <v>22</v>
      </c>
      <c r="EJ69" s="12">
        <v>14</v>
      </c>
      <c r="EK69" s="12">
        <v>28</v>
      </c>
      <c r="EL69" s="12">
        <v>21</v>
      </c>
      <c r="EM69" s="12">
        <v>13</v>
      </c>
      <c r="EN69" s="12">
        <v>22</v>
      </c>
      <c r="EO69" s="12">
        <v>16</v>
      </c>
      <c r="EP69" s="12" t="str">
        <f t="shared" si="18"/>
        <v>🟢 Bien</v>
      </c>
      <c r="EQ69" s="23">
        <f t="shared" si="1"/>
        <v>25.375</v>
      </c>
      <c r="ER69" s="19">
        <f t="shared" si="2"/>
        <v>306490.37</v>
      </c>
      <c r="ES69" s="12">
        <f t="shared" ref="ES69:ES132" si="20">SUM(DP69:EO69)</f>
        <v>647</v>
      </c>
      <c r="ET69" s="23">
        <f t="shared" si="19"/>
        <v>92</v>
      </c>
      <c r="EU69" s="23">
        <f t="shared" si="17"/>
        <v>131</v>
      </c>
      <c r="EV69" s="23">
        <f t="shared" si="6"/>
        <v>108.67</v>
      </c>
      <c r="EW69" s="23"/>
      <c r="EX69" s="12">
        <v>313</v>
      </c>
      <c r="EY69" s="19" cm="1">
        <f t="array" ref="EY69:FC69">VLOOKUP(_xlfn.SINGLE(B:B),'[1]Price List'!$B:$N,{8,4,5,6,7},0)</f>
        <v>473.71</v>
      </c>
      <c r="EZ69" s="9" t="str">
        <v>Speck Balance Folio Case for iPad 10th Gen - Black/Black/White</v>
      </c>
      <c r="FA69" s="12" t="str">
        <v>Cases iPad</v>
      </c>
      <c r="FB69" s="12" t="str">
        <v>iPad</v>
      </c>
      <c r="FC69" s="12" t="str">
        <v>iPad 10th /11th - 10.9"/11" (2022-2025)</v>
      </c>
      <c r="FD69" s="23" t="str">
        <f>_xlfn.XLOOKUP(B:B,'[1]Price List'!$B:$B,'[1]Price List'!$A:$A)</f>
        <v>Speck</v>
      </c>
    </row>
    <row r="70" spans="1:160" s="9" customFormat="1" x14ac:dyDescent="0.2">
      <c r="A70" s="23" t="s">
        <v>599</v>
      </c>
      <c r="B70" s="23">
        <v>840168528127</v>
      </c>
      <c r="C70" s="9" t="s">
        <v>238</v>
      </c>
      <c r="D70" s="9" t="s">
        <v>644</v>
      </c>
      <c r="E70" s="9" t="s">
        <v>321</v>
      </c>
      <c r="F70" s="9" t="s">
        <v>615</v>
      </c>
      <c r="G70" s="9" t="s">
        <v>678</v>
      </c>
      <c r="H70" s="12" t="s">
        <v>239</v>
      </c>
      <c r="I70" s="11">
        <v>999</v>
      </c>
      <c r="J70" s="11">
        <v>430.6</v>
      </c>
      <c r="K70" s="62">
        <v>0</v>
      </c>
      <c r="L70" s="12">
        <v>0</v>
      </c>
      <c r="M70" s="13" t="s">
        <v>466</v>
      </c>
      <c r="N70" s="13" t="s">
        <v>383</v>
      </c>
      <c r="O70" s="27">
        <v>44662</v>
      </c>
      <c r="P70" s="12">
        <v>3</v>
      </c>
      <c r="Q70" s="12">
        <v>14</v>
      </c>
      <c r="R70" s="12">
        <v>12</v>
      </c>
      <c r="S70" s="12">
        <v>10</v>
      </c>
      <c r="T70" s="12">
        <v>9</v>
      </c>
      <c r="U70" s="12">
        <v>7</v>
      </c>
      <c r="V70" s="12">
        <v>21</v>
      </c>
      <c r="W70" s="12">
        <v>14</v>
      </c>
      <c r="X70" s="12">
        <v>7</v>
      </c>
      <c r="Y70" s="12">
        <v>10</v>
      </c>
      <c r="Z70" s="12">
        <v>11</v>
      </c>
      <c r="AA70" s="12">
        <v>16</v>
      </c>
      <c r="AB70" s="12">
        <v>19</v>
      </c>
      <c r="AC70" s="12">
        <v>19</v>
      </c>
      <c r="AD70" s="12">
        <v>8</v>
      </c>
      <c r="AE70" s="12">
        <v>7</v>
      </c>
      <c r="AF70" s="12">
        <v>9</v>
      </c>
      <c r="AG70" s="12">
        <v>7</v>
      </c>
      <c r="AH70" s="12">
        <v>8</v>
      </c>
      <c r="AI70" s="12">
        <v>6</v>
      </c>
      <c r="AJ70" s="12">
        <v>10</v>
      </c>
      <c r="AK70" s="12">
        <v>14</v>
      </c>
      <c r="AL70" s="12">
        <v>13</v>
      </c>
      <c r="AM70" s="12">
        <v>12</v>
      </c>
      <c r="AN70" s="12">
        <v>10</v>
      </c>
      <c r="AO70" s="12">
        <v>6</v>
      </c>
      <c r="AP70" s="12">
        <v>10</v>
      </c>
      <c r="AQ70" s="12">
        <v>6</v>
      </c>
      <c r="AR70" s="12">
        <v>9</v>
      </c>
      <c r="AS70" s="12">
        <v>14</v>
      </c>
      <c r="AT70" s="12">
        <v>12</v>
      </c>
      <c r="AU70" s="12">
        <v>10</v>
      </c>
      <c r="AV70" s="12">
        <v>13</v>
      </c>
      <c r="AW70" s="12">
        <v>29</v>
      </c>
      <c r="AX70" s="12">
        <v>31</v>
      </c>
      <c r="AY70" s="12">
        <v>20</v>
      </c>
      <c r="AZ70" s="12">
        <v>31</v>
      </c>
      <c r="BA70" s="12">
        <v>33</v>
      </c>
      <c r="BB70" s="12">
        <v>43</v>
      </c>
      <c r="BC70" s="12">
        <v>58</v>
      </c>
      <c r="BD70" s="12">
        <v>51</v>
      </c>
      <c r="BE70" s="12">
        <v>20</v>
      </c>
      <c r="BF70" s="12">
        <v>26</v>
      </c>
      <c r="BG70" s="12">
        <v>17</v>
      </c>
      <c r="BH70" s="12">
        <v>20</v>
      </c>
      <c r="BI70" s="12">
        <v>16</v>
      </c>
      <c r="BJ70" s="12">
        <v>24</v>
      </c>
      <c r="BK70" s="12">
        <v>22</v>
      </c>
      <c r="BL70" s="12">
        <v>17</v>
      </c>
      <c r="BM70" s="12">
        <v>12</v>
      </c>
      <c r="BN70" s="12">
        <v>21</v>
      </c>
      <c r="BO70" s="12">
        <v>23</v>
      </c>
      <c r="BP70" s="12">
        <v>33</v>
      </c>
      <c r="BQ70" s="12">
        <v>21</v>
      </c>
      <c r="BR70" s="12">
        <v>21</v>
      </c>
      <c r="BS70" s="12">
        <v>13</v>
      </c>
      <c r="BT70" s="12">
        <v>23</v>
      </c>
      <c r="BU70" s="12">
        <v>18</v>
      </c>
      <c r="BV70" s="12">
        <v>15</v>
      </c>
      <c r="BW70" s="12">
        <v>18</v>
      </c>
      <c r="BX70" s="12">
        <v>17</v>
      </c>
      <c r="BY70" s="12">
        <v>8</v>
      </c>
      <c r="BZ70" s="12">
        <v>11</v>
      </c>
      <c r="CA70" s="12">
        <v>18</v>
      </c>
      <c r="CB70" s="12">
        <v>26</v>
      </c>
      <c r="CC70" s="12">
        <v>27</v>
      </c>
      <c r="CD70" s="12">
        <v>20</v>
      </c>
      <c r="CE70" s="12">
        <v>14</v>
      </c>
      <c r="CF70" s="12">
        <v>16</v>
      </c>
      <c r="CG70" s="12">
        <v>23</v>
      </c>
      <c r="CH70" s="12">
        <v>17</v>
      </c>
      <c r="CI70" s="12">
        <v>11</v>
      </c>
      <c r="CJ70" s="12">
        <v>9</v>
      </c>
      <c r="CK70" s="12">
        <v>10</v>
      </c>
      <c r="CL70" s="12">
        <v>16</v>
      </c>
      <c r="CM70" s="12">
        <v>10</v>
      </c>
      <c r="CN70" s="12">
        <v>5</v>
      </c>
      <c r="CO70" s="12">
        <v>16</v>
      </c>
      <c r="CP70" s="12">
        <v>26</v>
      </c>
      <c r="CQ70" s="12">
        <v>27</v>
      </c>
      <c r="CR70" s="12">
        <v>43</v>
      </c>
      <c r="CS70" s="12">
        <v>26</v>
      </c>
      <c r="CT70" s="12">
        <v>27</v>
      </c>
      <c r="CU70" s="12">
        <v>20</v>
      </c>
      <c r="CV70" s="12">
        <v>14</v>
      </c>
      <c r="CW70" s="12">
        <v>14</v>
      </c>
      <c r="CX70" s="12">
        <v>13</v>
      </c>
      <c r="CY70" s="12">
        <v>1</v>
      </c>
      <c r="CZ70" s="12">
        <v>4</v>
      </c>
      <c r="DA70" s="12">
        <v>2</v>
      </c>
      <c r="DB70" s="12">
        <v>2</v>
      </c>
      <c r="DC70" s="12">
        <v>5</v>
      </c>
      <c r="DD70" s="12">
        <v>0</v>
      </c>
      <c r="DE70" s="12">
        <v>14</v>
      </c>
      <c r="DF70" s="12">
        <v>38</v>
      </c>
      <c r="DG70" s="12">
        <v>36</v>
      </c>
      <c r="DH70" s="12">
        <v>26</v>
      </c>
      <c r="DI70" s="12">
        <v>111</v>
      </c>
      <c r="DJ70" s="12">
        <v>48</v>
      </c>
      <c r="DK70" s="12">
        <v>31</v>
      </c>
      <c r="DL70" s="12">
        <v>39</v>
      </c>
      <c r="DM70" s="12">
        <v>38</v>
      </c>
      <c r="DN70" s="12">
        <v>28</v>
      </c>
      <c r="DO70" s="12">
        <v>28</v>
      </c>
      <c r="DP70" s="12">
        <v>11</v>
      </c>
      <c r="DQ70" s="12">
        <v>5</v>
      </c>
      <c r="DR70" s="12">
        <v>9</v>
      </c>
      <c r="DS70" s="12">
        <v>6</v>
      </c>
      <c r="DT70" s="12">
        <v>5</v>
      </c>
      <c r="DU70" s="12">
        <v>5</v>
      </c>
      <c r="DV70" s="12">
        <v>2</v>
      </c>
      <c r="DW70" s="12">
        <v>51</v>
      </c>
      <c r="DX70" s="12">
        <v>54</v>
      </c>
      <c r="DY70" s="12">
        <v>42</v>
      </c>
      <c r="DZ70" s="12">
        <v>59</v>
      </c>
      <c r="EA70" s="12">
        <v>46</v>
      </c>
      <c r="EB70" s="12">
        <v>22</v>
      </c>
      <c r="EC70" s="12">
        <v>28</v>
      </c>
      <c r="ED70" s="12">
        <v>31</v>
      </c>
      <c r="EE70" s="12">
        <v>25</v>
      </c>
      <c r="EF70" s="12">
        <v>14</v>
      </c>
      <c r="EG70" s="12">
        <v>28</v>
      </c>
      <c r="EH70" s="12">
        <v>24</v>
      </c>
      <c r="EI70" s="12">
        <v>38</v>
      </c>
      <c r="EJ70" s="12">
        <v>34</v>
      </c>
      <c r="EK70" s="12">
        <v>32</v>
      </c>
      <c r="EL70" s="12">
        <v>44</v>
      </c>
      <c r="EM70" s="12">
        <v>25</v>
      </c>
      <c r="EN70" s="12">
        <v>39</v>
      </c>
      <c r="EO70" s="12">
        <v>33</v>
      </c>
      <c r="EP70" s="12" t="str">
        <f t="shared" si="18"/>
        <v>🟢 Bien</v>
      </c>
      <c r="EQ70" s="23">
        <f t="shared" si="1"/>
        <v>26.666666666666668</v>
      </c>
      <c r="ER70" s="19">
        <f t="shared" ref="ER70:ER133" si="21">J70*ES70</f>
        <v>306587.2</v>
      </c>
      <c r="ES70" s="12">
        <f t="shared" si="20"/>
        <v>712</v>
      </c>
      <c r="ET70" s="23">
        <f t="shared" si="19"/>
        <v>50.5</v>
      </c>
      <c r="EU70" s="23">
        <f t="shared" si="17"/>
        <v>174.5</v>
      </c>
      <c r="EV70" s="23">
        <f t="shared" si="6"/>
        <v>98.44</v>
      </c>
      <c r="EW70" s="23"/>
      <c r="EX70" s="12">
        <v>318</v>
      </c>
      <c r="EY70" s="19" cm="1">
        <f t="array" ref="EY70:FC70">VLOOKUP(_xlfn.SINGLE(B:B),'[1]Price List'!$B:$N,{8,4,5,6,7},0)</f>
        <v>430.6</v>
      </c>
      <c r="EZ70" s="9" t="str">
        <v>Speck Smartshell Case for Macbook Air 13" M2 2022 - Clear</v>
      </c>
      <c r="FA70" s="12" t="str">
        <v>Cases Macbook</v>
      </c>
      <c r="FB70" s="12" t="str">
        <v>Macbook</v>
      </c>
      <c r="FC70" s="12" t="str">
        <v>MacBook Air 13" M4/M3/M2</v>
      </c>
      <c r="FD70" s="23" t="str">
        <f>_xlfn.XLOOKUP(B:B,'[1]Price List'!$B:$B,'[1]Price List'!$A:$A)</f>
        <v>Speck</v>
      </c>
    </row>
    <row r="71" spans="1:160" s="9" customFormat="1" x14ac:dyDescent="0.2">
      <c r="A71" s="23" t="s">
        <v>599</v>
      </c>
      <c r="B71" s="23">
        <v>840168528134</v>
      </c>
      <c r="C71" s="9" t="s">
        <v>234</v>
      </c>
      <c r="D71" s="9" t="s">
        <v>644</v>
      </c>
      <c r="E71" s="9" t="s">
        <v>321</v>
      </c>
      <c r="F71" s="9" t="s">
        <v>615</v>
      </c>
      <c r="G71" s="9" t="s">
        <v>678</v>
      </c>
      <c r="H71" s="12" t="s">
        <v>235</v>
      </c>
      <c r="I71" s="11">
        <v>999</v>
      </c>
      <c r="J71" s="11">
        <v>430.6</v>
      </c>
      <c r="K71" s="62">
        <v>0</v>
      </c>
      <c r="L71" s="12">
        <v>0</v>
      </c>
      <c r="M71" s="13" t="s">
        <v>466</v>
      </c>
      <c r="N71" s="13" t="s">
        <v>383</v>
      </c>
      <c r="O71" s="27">
        <v>44662</v>
      </c>
      <c r="P71" s="12">
        <v>1</v>
      </c>
      <c r="Q71" s="12">
        <v>8</v>
      </c>
      <c r="R71" s="12">
        <v>9</v>
      </c>
      <c r="S71" s="12">
        <v>6</v>
      </c>
      <c r="T71" s="12">
        <v>8</v>
      </c>
      <c r="U71" s="12">
        <v>5</v>
      </c>
      <c r="V71" s="12">
        <v>16</v>
      </c>
      <c r="W71" s="12">
        <v>12</v>
      </c>
      <c r="X71" s="12">
        <v>10</v>
      </c>
      <c r="Y71" s="12">
        <v>5</v>
      </c>
      <c r="Z71" s="12">
        <v>4</v>
      </c>
      <c r="AA71" s="12">
        <v>8</v>
      </c>
      <c r="AB71" s="12">
        <v>14</v>
      </c>
      <c r="AC71" s="12">
        <v>4</v>
      </c>
      <c r="AD71" s="12">
        <v>8</v>
      </c>
      <c r="AE71" s="12">
        <v>10</v>
      </c>
      <c r="AF71" s="12">
        <v>9</v>
      </c>
      <c r="AG71" s="12">
        <v>12</v>
      </c>
      <c r="AH71" s="12">
        <v>6</v>
      </c>
      <c r="AI71" s="12">
        <v>7</v>
      </c>
      <c r="AJ71" s="12">
        <v>10</v>
      </c>
      <c r="AK71" s="12">
        <v>9</v>
      </c>
      <c r="AL71" s="12">
        <v>9</v>
      </c>
      <c r="AM71" s="12">
        <v>14</v>
      </c>
      <c r="AN71" s="12">
        <v>1</v>
      </c>
      <c r="AO71" s="12">
        <v>8</v>
      </c>
      <c r="AP71" s="12">
        <v>12</v>
      </c>
      <c r="AQ71" s="12">
        <v>10</v>
      </c>
      <c r="AR71" s="12">
        <v>12</v>
      </c>
      <c r="AS71" s="12">
        <v>10</v>
      </c>
      <c r="AT71" s="12">
        <v>4</v>
      </c>
      <c r="AU71" s="12">
        <v>9</v>
      </c>
      <c r="AV71" s="12">
        <v>9</v>
      </c>
      <c r="AW71" s="12">
        <v>16</v>
      </c>
      <c r="AX71" s="12">
        <v>16</v>
      </c>
      <c r="AY71" s="12">
        <v>11</v>
      </c>
      <c r="AZ71" s="12">
        <v>19</v>
      </c>
      <c r="BA71" s="12">
        <v>37</v>
      </c>
      <c r="BB71" s="12">
        <v>28</v>
      </c>
      <c r="BC71" s="12">
        <v>28</v>
      </c>
      <c r="BD71" s="12">
        <v>19</v>
      </c>
      <c r="BE71" s="12">
        <v>23</v>
      </c>
      <c r="BF71" s="12">
        <v>28</v>
      </c>
      <c r="BG71" s="12">
        <v>10</v>
      </c>
      <c r="BH71" s="12">
        <v>10</v>
      </c>
      <c r="BI71" s="12">
        <v>12</v>
      </c>
      <c r="BJ71" s="12">
        <v>22</v>
      </c>
      <c r="BK71" s="12">
        <v>14</v>
      </c>
      <c r="BL71" s="12">
        <v>6</v>
      </c>
      <c r="BM71" s="12">
        <v>9</v>
      </c>
      <c r="BN71" s="12">
        <v>13</v>
      </c>
      <c r="BO71" s="12">
        <v>20</v>
      </c>
      <c r="BP71" s="12">
        <v>18</v>
      </c>
      <c r="BQ71" s="12">
        <v>21</v>
      </c>
      <c r="BR71" s="12">
        <v>9</v>
      </c>
      <c r="BS71" s="12">
        <v>17</v>
      </c>
      <c r="BT71" s="12">
        <v>13</v>
      </c>
      <c r="BU71" s="12">
        <v>6</v>
      </c>
      <c r="BV71" s="12">
        <v>11</v>
      </c>
      <c r="BW71" s="12">
        <v>6</v>
      </c>
      <c r="BX71" s="12">
        <v>8</v>
      </c>
      <c r="BY71" s="12">
        <v>6</v>
      </c>
      <c r="BZ71" s="12">
        <v>9</v>
      </c>
      <c r="CA71" s="12">
        <v>5</v>
      </c>
      <c r="CB71" s="12">
        <v>11</v>
      </c>
      <c r="CC71" s="12">
        <v>2</v>
      </c>
      <c r="CD71" s="12">
        <v>9</v>
      </c>
      <c r="CE71" s="12">
        <v>11</v>
      </c>
      <c r="CF71" s="12">
        <v>14</v>
      </c>
      <c r="CG71" s="12">
        <v>7</v>
      </c>
      <c r="CH71" s="12">
        <v>12</v>
      </c>
      <c r="CI71" s="12">
        <v>5</v>
      </c>
      <c r="CJ71" s="12">
        <v>9</v>
      </c>
      <c r="CK71" s="12">
        <v>13</v>
      </c>
      <c r="CL71" s="12">
        <v>11</v>
      </c>
      <c r="CM71" s="12">
        <v>13</v>
      </c>
      <c r="CN71" s="12">
        <v>5</v>
      </c>
      <c r="CO71" s="12">
        <v>10</v>
      </c>
      <c r="CP71" s="12">
        <v>13</v>
      </c>
      <c r="CQ71" s="12">
        <v>13</v>
      </c>
      <c r="CR71" s="12">
        <v>18</v>
      </c>
      <c r="CS71" s="12">
        <v>13</v>
      </c>
      <c r="CT71" s="12">
        <v>40</v>
      </c>
      <c r="CU71" s="12">
        <v>40</v>
      </c>
      <c r="CV71" s="12">
        <v>30</v>
      </c>
      <c r="CW71" s="12">
        <v>37</v>
      </c>
      <c r="CX71" s="12">
        <v>25</v>
      </c>
      <c r="CY71" s="12">
        <v>19</v>
      </c>
      <c r="CZ71" s="12">
        <v>14</v>
      </c>
      <c r="DA71" s="12">
        <v>18</v>
      </c>
      <c r="DB71" s="12">
        <v>17</v>
      </c>
      <c r="DC71" s="12">
        <v>13</v>
      </c>
      <c r="DD71" s="12">
        <v>17</v>
      </c>
      <c r="DE71" s="12">
        <v>11</v>
      </c>
      <c r="DF71" s="12">
        <v>24</v>
      </c>
      <c r="DG71" s="12">
        <v>17</v>
      </c>
      <c r="DH71" s="12">
        <v>19</v>
      </c>
      <c r="DI71" s="12">
        <v>76</v>
      </c>
      <c r="DJ71" s="12">
        <v>57</v>
      </c>
      <c r="DK71" s="12">
        <v>29</v>
      </c>
      <c r="DL71" s="12">
        <v>20</v>
      </c>
      <c r="DM71" s="12">
        <v>33</v>
      </c>
      <c r="DN71" s="12">
        <v>33</v>
      </c>
      <c r="DO71" s="12">
        <v>45</v>
      </c>
      <c r="DP71" s="12">
        <v>34</v>
      </c>
      <c r="DQ71" s="12">
        <v>32</v>
      </c>
      <c r="DR71" s="12">
        <v>29</v>
      </c>
      <c r="DS71" s="12">
        <v>19</v>
      </c>
      <c r="DT71" s="12">
        <v>11</v>
      </c>
      <c r="DU71" s="12">
        <v>8</v>
      </c>
      <c r="DV71" s="12">
        <v>6</v>
      </c>
      <c r="DW71" s="12">
        <v>22</v>
      </c>
      <c r="DX71" s="12">
        <v>30</v>
      </c>
      <c r="DY71" s="12">
        <v>18</v>
      </c>
      <c r="DZ71" s="12">
        <v>34</v>
      </c>
      <c r="EA71" s="12">
        <v>32</v>
      </c>
      <c r="EB71" s="12">
        <v>26</v>
      </c>
      <c r="EC71" s="12">
        <v>23</v>
      </c>
      <c r="ED71" s="12">
        <v>11</v>
      </c>
      <c r="EE71" s="12">
        <v>15</v>
      </c>
      <c r="EF71" s="12">
        <v>10</v>
      </c>
      <c r="EG71" s="12">
        <v>13</v>
      </c>
      <c r="EH71" s="12">
        <v>16</v>
      </c>
      <c r="EI71" s="12">
        <v>9</v>
      </c>
      <c r="EJ71" s="12">
        <v>7</v>
      </c>
      <c r="EK71" s="12">
        <v>20</v>
      </c>
      <c r="EL71" s="12">
        <v>21</v>
      </c>
      <c r="EM71" s="12">
        <v>14</v>
      </c>
      <c r="EN71" s="12">
        <v>12</v>
      </c>
      <c r="EO71" s="12">
        <v>14</v>
      </c>
      <c r="EP71" s="12" t="str">
        <f t="shared" si="18"/>
        <v>🟢 Bien</v>
      </c>
      <c r="EQ71" s="23">
        <f t="shared" ref="EQ71:EQ134" si="22">AVERAGE(DP71:EM71)</f>
        <v>19.166666666666668</v>
      </c>
      <c r="ER71" s="19">
        <f t="shared" si="21"/>
        <v>209271.6</v>
      </c>
      <c r="ES71" s="12">
        <f t="shared" si="20"/>
        <v>486</v>
      </c>
      <c r="ET71" s="23">
        <f t="shared" si="19"/>
        <v>65.5</v>
      </c>
      <c r="EU71" s="23">
        <f t="shared" si="17"/>
        <v>156</v>
      </c>
      <c r="EV71" s="23">
        <f t="shared" si="6"/>
        <v>82.89</v>
      </c>
      <c r="EW71" s="23"/>
      <c r="EX71" s="12">
        <v>275</v>
      </c>
      <c r="EY71" s="19" cm="1">
        <f t="array" ref="EY71:FC71">VLOOKUP(_xlfn.SINGLE(B:B),'[1]Price List'!$B:$N,{8,4,5,6,7},0)</f>
        <v>430.6</v>
      </c>
      <c r="EZ71" s="9" t="str">
        <v>Speck Smartshell Case for Macbook Air 13" M2 2022 - Obsidian</v>
      </c>
      <c r="FA71" s="12" t="str">
        <v>Cases Macbook</v>
      </c>
      <c r="FB71" s="12" t="str">
        <v>Macbook</v>
      </c>
      <c r="FC71" s="12" t="str">
        <v>MacBook Air 13" M4/M3/M2</v>
      </c>
      <c r="FD71" s="23" t="str">
        <f>_xlfn.XLOOKUP(B:B,'[1]Price List'!$B:$B,'[1]Price List'!$A:$A)</f>
        <v>Speck</v>
      </c>
    </row>
    <row r="72" spans="1:160" s="9" customFormat="1" x14ac:dyDescent="0.2">
      <c r="A72" s="23" t="s">
        <v>599</v>
      </c>
      <c r="B72" s="23">
        <v>840168528141</v>
      </c>
      <c r="C72" s="9" t="s">
        <v>236</v>
      </c>
      <c r="D72" s="9" t="s">
        <v>644</v>
      </c>
      <c r="E72" s="9" t="s">
        <v>321</v>
      </c>
      <c r="F72" s="9" t="s">
        <v>615</v>
      </c>
      <c r="G72" s="9" t="s">
        <v>678</v>
      </c>
      <c r="H72" s="12" t="s">
        <v>237</v>
      </c>
      <c r="I72" s="11">
        <v>1249</v>
      </c>
      <c r="J72" s="11">
        <v>538.36</v>
      </c>
      <c r="K72" s="62">
        <v>0</v>
      </c>
      <c r="L72" s="12">
        <v>0</v>
      </c>
      <c r="M72" s="13" t="s">
        <v>466</v>
      </c>
      <c r="N72" s="13" t="s">
        <v>383</v>
      </c>
      <c r="O72" s="27">
        <v>44662</v>
      </c>
      <c r="P72" s="12">
        <v>1</v>
      </c>
      <c r="Q72" s="12">
        <v>7</v>
      </c>
      <c r="R72" s="12">
        <v>6</v>
      </c>
      <c r="S72" s="12">
        <v>4</v>
      </c>
      <c r="T72" s="12">
        <v>1</v>
      </c>
      <c r="U72" s="12">
        <v>0</v>
      </c>
      <c r="V72" s="12">
        <v>5</v>
      </c>
      <c r="W72" s="12">
        <v>3</v>
      </c>
      <c r="X72" s="12">
        <v>0</v>
      </c>
      <c r="Y72" s="12">
        <v>1</v>
      </c>
      <c r="Z72" s="12">
        <v>5</v>
      </c>
      <c r="AA72" s="12">
        <v>3</v>
      </c>
      <c r="AB72" s="12">
        <v>8</v>
      </c>
      <c r="AC72" s="12">
        <v>2</v>
      </c>
      <c r="AD72" s="12">
        <v>7</v>
      </c>
      <c r="AE72" s="12">
        <v>1</v>
      </c>
      <c r="AF72" s="12">
        <v>4</v>
      </c>
      <c r="AG72" s="12">
        <v>9</v>
      </c>
      <c r="AH72" s="12">
        <v>2</v>
      </c>
      <c r="AI72" s="12">
        <v>1</v>
      </c>
      <c r="AJ72" s="12">
        <v>7</v>
      </c>
      <c r="AK72" s="12">
        <v>3</v>
      </c>
      <c r="AL72" s="12">
        <v>3</v>
      </c>
      <c r="AM72" s="12">
        <v>5</v>
      </c>
      <c r="AN72" s="12">
        <v>2</v>
      </c>
      <c r="AO72" s="12">
        <v>-1</v>
      </c>
      <c r="AP72" s="12">
        <v>5</v>
      </c>
      <c r="AQ72" s="12">
        <v>5</v>
      </c>
      <c r="AR72" s="12">
        <v>2</v>
      </c>
      <c r="AS72" s="12">
        <v>3</v>
      </c>
      <c r="AT72" s="12">
        <v>3</v>
      </c>
      <c r="AU72" s="12">
        <v>7</v>
      </c>
      <c r="AV72" s="12">
        <v>9</v>
      </c>
      <c r="AW72" s="12">
        <v>6</v>
      </c>
      <c r="AX72" s="12">
        <v>7</v>
      </c>
      <c r="AY72" s="12">
        <v>1</v>
      </c>
      <c r="AZ72" s="12">
        <v>11</v>
      </c>
      <c r="BA72" s="12">
        <v>13</v>
      </c>
      <c r="BB72" s="12">
        <v>13</v>
      </c>
      <c r="BC72" s="12">
        <v>9</v>
      </c>
      <c r="BD72" s="12">
        <v>11</v>
      </c>
      <c r="BE72" s="12">
        <v>11</v>
      </c>
      <c r="BF72" s="12">
        <v>9</v>
      </c>
      <c r="BG72" s="12">
        <v>5</v>
      </c>
      <c r="BH72" s="12">
        <v>6</v>
      </c>
      <c r="BI72" s="12">
        <v>3</v>
      </c>
      <c r="BJ72" s="12">
        <v>7</v>
      </c>
      <c r="BK72" s="12">
        <v>10</v>
      </c>
      <c r="BL72" s="12">
        <v>5</v>
      </c>
      <c r="BM72" s="12">
        <v>3</v>
      </c>
      <c r="BN72" s="12">
        <v>2</v>
      </c>
      <c r="BO72" s="12">
        <v>12</v>
      </c>
      <c r="BP72" s="12">
        <v>9</v>
      </c>
      <c r="BQ72" s="12">
        <v>10</v>
      </c>
      <c r="BR72" s="12">
        <v>8</v>
      </c>
      <c r="BS72" s="12">
        <v>6</v>
      </c>
      <c r="BT72" s="12">
        <v>5</v>
      </c>
      <c r="BU72" s="12">
        <v>5</v>
      </c>
      <c r="BV72" s="12">
        <v>10</v>
      </c>
      <c r="BW72" s="12">
        <v>7</v>
      </c>
      <c r="BX72" s="12">
        <v>7</v>
      </c>
      <c r="BY72" s="12">
        <v>3</v>
      </c>
      <c r="BZ72" s="12">
        <v>2</v>
      </c>
      <c r="CA72" s="12">
        <v>4</v>
      </c>
      <c r="CB72" s="12">
        <v>2</v>
      </c>
      <c r="CC72" s="12">
        <v>2</v>
      </c>
      <c r="CD72" s="12">
        <v>2</v>
      </c>
      <c r="CE72" s="12">
        <v>3</v>
      </c>
      <c r="CF72" s="12">
        <v>5</v>
      </c>
      <c r="CG72" s="12">
        <v>6</v>
      </c>
      <c r="CH72" s="12">
        <v>5</v>
      </c>
      <c r="CI72" s="12">
        <v>1</v>
      </c>
      <c r="CJ72" s="12">
        <v>5</v>
      </c>
      <c r="CK72" s="12">
        <v>5</v>
      </c>
      <c r="CL72" s="12">
        <v>6</v>
      </c>
      <c r="CM72" s="12">
        <v>4</v>
      </c>
      <c r="CN72" s="12">
        <v>2</v>
      </c>
      <c r="CO72" s="12">
        <v>3</v>
      </c>
      <c r="CP72" s="12">
        <v>4</v>
      </c>
      <c r="CQ72" s="12">
        <v>4</v>
      </c>
      <c r="CR72" s="12">
        <v>7</v>
      </c>
      <c r="CS72" s="12">
        <v>5</v>
      </c>
      <c r="CT72" s="12">
        <v>13</v>
      </c>
      <c r="CU72" s="12">
        <v>15</v>
      </c>
      <c r="CV72" s="12">
        <v>11</v>
      </c>
      <c r="CW72" s="12">
        <v>16</v>
      </c>
      <c r="CX72" s="12">
        <v>13</v>
      </c>
      <c r="CY72" s="12">
        <v>5</v>
      </c>
      <c r="CZ72" s="12">
        <v>3</v>
      </c>
      <c r="DA72" s="12">
        <v>3</v>
      </c>
      <c r="DB72" s="12">
        <v>8</v>
      </c>
      <c r="DC72" s="12">
        <v>5</v>
      </c>
      <c r="DD72" s="12">
        <v>2</v>
      </c>
      <c r="DE72" s="12">
        <v>5</v>
      </c>
      <c r="DF72" s="12">
        <v>7</v>
      </c>
      <c r="DG72" s="12">
        <v>4</v>
      </c>
      <c r="DH72" s="12">
        <v>4</v>
      </c>
      <c r="DI72" s="12">
        <v>19</v>
      </c>
      <c r="DJ72" s="12">
        <v>11</v>
      </c>
      <c r="DK72" s="12">
        <v>4</v>
      </c>
      <c r="DL72" s="12">
        <v>8</v>
      </c>
      <c r="DM72" s="12">
        <v>9</v>
      </c>
      <c r="DN72" s="12">
        <v>9</v>
      </c>
      <c r="DO72" s="12">
        <v>13</v>
      </c>
      <c r="DP72" s="12">
        <v>10</v>
      </c>
      <c r="DQ72" s="12">
        <v>24</v>
      </c>
      <c r="DR72" s="12">
        <v>24</v>
      </c>
      <c r="DS72" s="12">
        <v>13</v>
      </c>
      <c r="DT72" s="12">
        <v>8</v>
      </c>
      <c r="DU72" s="12">
        <v>8</v>
      </c>
      <c r="DV72" s="12">
        <v>2</v>
      </c>
      <c r="DW72" s="12">
        <v>12</v>
      </c>
      <c r="DX72" s="12">
        <v>8</v>
      </c>
      <c r="DY72" s="12">
        <v>4</v>
      </c>
      <c r="DZ72" s="12">
        <v>10</v>
      </c>
      <c r="EA72" s="12">
        <v>12</v>
      </c>
      <c r="EB72" s="12">
        <v>1</v>
      </c>
      <c r="EC72" s="12">
        <v>3</v>
      </c>
      <c r="ED72" s="12">
        <v>6</v>
      </c>
      <c r="EE72" s="12">
        <v>4</v>
      </c>
      <c r="EF72" s="12">
        <v>8</v>
      </c>
      <c r="EG72" s="12">
        <v>5</v>
      </c>
      <c r="EH72" s="12">
        <v>7</v>
      </c>
      <c r="EI72" s="12">
        <v>7</v>
      </c>
      <c r="EJ72" s="12">
        <v>7</v>
      </c>
      <c r="EK72" s="12">
        <v>7</v>
      </c>
      <c r="EL72" s="12">
        <v>4</v>
      </c>
      <c r="EM72" s="12">
        <v>4</v>
      </c>
      <c r="EN72" s="12">
        <v>7</v>
      </c>
      <c r="EO72" s="12">
        <v>3</v>
      </c>
      <c r="EP72" s="12" t="str">
        <f t="shared" si="18"/>
        <v>🟢 Bien</v>
      </c>
      <c r="EQ72" s="23">
        <f t="shared" si="22"/>
        <v>8.25</v>
      </c>
      <c r="ER72" s="19">
        <f t="shared" si="21"/>
        <v>111978.88</v>
      </c>
      <c r="ES72" s="12">
        <f t="shared" si="20"/>
        <v>208</v>
      </c>
      <c r="ET72" s="23">
        <f t="shared" si="19"/>
        <v>18.5</v>
      </c>
      <c r="EU72" s="23">
        <f t="shared" si="17"/>
        <v>38.5</v>
      </c>
      <c r="EV72" s="23">
        <f t="shared" si="6"/>
        <v>36</v>
      </c>
      <c r="EW72" s="23"/>
      <c r="EX72" s="12">
        <v>189</v>
      </c>
      <c r="EY72" s="19" cm="1">
        <f t="array" ref="EY72:FC72">VLOOKUP(_xlfn.SINGLE(B:B),'[1]Price List'!$B:$N,{8,4,5,6,7},0)</f>
        <v>538.36</v>
      </c>
      <c r="EZ72" s="9" t="str">
        <v>Speck Smartshell Case for Macbook Air 13" M2 2022 - Cozy Pink</v>
      </c>
      <c r="FA72" s="12" t="str">
        <v>Cases Macbook</v>
      </c>
      <c r="FB72" s="12" t="str">
        <v>Macbook</v>
      </c>
      <c r="FC72" s="12" t="str">
        <v>MacBook Air 13" M4/M3/M2</v>
      </c>
      <c r="FD72" s="23" t="str">
        <f>_xlfn.XLOOKUP(B:B,'[1]Price List'!$B:$B,'[1]Price List'!$A:$A)</f>
        <v>Speck</v>
      </c>
    </row>
    <row r="73" spans="1:160" s="9" customFormat="1" x14ac:dyDescent="0.2">
      <c r="A73" s="23" t="s">
        <v>599</v>
      </c>
      <c r="B73" s="23">
        <v>848709087164</v>
      </c>
      <c r="C73" s="9" t="s">
        <v>25</v>
      </c>
      <c r="D73" s="9" t="s">
        <v>644</v>
      </c>
      <c r="E73" s="9" t="s">
        <v>321</v>
      </c>
      <c r="F73" s="9" t="s">
        <v>308</v>
      </c>
      <c r="G73" s="9" t="s">
        <v>308</v>
      </c>
      <c r="H73" s="12" t="s">
        <v>26</v>
      </c>
      <c r="I73" s="12">
        <v>999</v>
      </c>
      <c r="J73" s="11">
        <v>430.6</v>
      </c>
      <c r="K73" s="62">
        <v>0</v>
      </c>
      <c r="L73" s="12">
        <v>0</v>
      </c>
      <c r="M73" s="13" t="s">
        <v>466</v>
      </c>
      <c r="N73" s="13" t="s">
        <v>383</v>
      </c>
      <c r="O73" s="27">
        <v>45993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0</v>
      </c>
      <c r="AB73" s="12">
        <v>0</v>
      </c>
      <c r="AC73" s="12">
        <v>0</v>
      </c>
      <c r="AD73" s="12">
        <v>0</v>
      </c>
      <c r="AE73" s="12">
        <v>0</v>
      </c>
      <c r="AF73" s="12">
        <v>0</v>
      </c>
      <c r="AG73" s="12">
        <v>0</v>
      </c>
      <c r="AH73" s="12">
        <v>0</v>
      </c>
      <c r="AI73" s="12">
        <v>0</v>
      </c>
      <c r="AJ73" s="12">
        <v>0</v>
      </c>
      <c r="AK73" s="12">
        <v>0</v>
      </c>
      <c r="AL73" s="12">
        <v>0</v>
      </c>
      <c r="AM73" s="12">
        <v>0</v>
      </c>
      <c r="AN73" s="12">
        <v>0</v>
      </c>
      <c r="AO73" s="12">
        <v>0</v>
      </c>
      <c r="AP73" s="12">
        <v>0</v>
      </c>
      <c r="AQ73" s="12">
        <v>0</v>
      </c>
      <c r="AR73" s="12">
        <v>0</v>
      </c>
      <c r="AS73" s="12">
        <v>0</v>
      </c>
      <c r="AT73" s="12">
        <v>0</v>
      </c>
      <c r="AU73" s="12">
        <v>0</v>
      </c>
      <c r="AV73" s="12">
        <v>0</v>
      </c>
      <c r="AW73" s="12">
        <v>0</v>
      </c>
      <c r="AX73" s="12">
        <v>0</v>
      </c>
      <c r="AY73" s="12">
        <v>0</v>
      </c>
      <c r="AZ73" s="12">
        <v>0</v>
      </c>
      <c r="BA73" s="12">
        <v>0</v>
      </c>
      <c r="BB73" s="12">
        <v>0</v>
      </c>
      <c r="BC73" s="12">
        <v>0</v>
      </c>
      <c r="BD73" s="12">
        <v>0</v>
      </c>
      <c r="BE73" s="12">
        <v>0</v>
      </c>
      <c r="BF73" s="12">
        <v>0</v>
      </c>
      <c r="BG73" s="12">
        <v>0</v>
      </c>
      <c r="BH73" s="12">
        <v>0</v>
      </c>
      <c r="BI73" s="12">
        <v>0</v>
      </c>
      <c r="BJ73" s="12">
        <v>0</v>
      </c>
      <c r="BK73" s="12">
        <v>0</v>
      </c>
      <c r="BL73" s="12">
        <v>0</v>
      </c>
      <c r="BM73" s="12">
        <v>0</v>
      </c>
      <c r="BN73" s="12">
        <v>0</v>
      </c>
      <c r="BO73" s="12">
        <v>0</v>
      </c>
      <c r="BP73" s="12">
        <v>0</v>
      </c>
      <c r="BQ73" s="12">
        <v>0</v>
      </c>
      <c r="BR73" s="12">
        <v>0</v>
      </c>
      <c r="BS73" s="12">
        <v>0</v>
      </c>
      <c r="BT73" s="12">
        <v>0</v>
      </c>
      <c r="BU73" s="12">
        <v>0</v>
      </c>
      <c r="BV73" s="12">
        <v>0</v>
      </c>
      <c r="BW73" s="12">
        <v>0</v>
      </c>
      <c r="BX73" s="12">
        <v>0</v>
      </c>
      <c r="BY73" s="12">
        <v>0</v>
      </c>
      <c r="BZ73" s="12">
        <v>0</v>
      </c>
      <c r="CA73" s="12">
        <v>0</v>
      </c>
      <c r="CB73" s="12">
        <v>0</v>
      </c>
      <c r="CC73" s="12">
        <v>0</v>
      </c>
      <c r="CD73" s="12">
        <v>0</v>
      </c>
      <c r="CE73" s="12">
        <v>0</v>
      </c>
      <c r="CF73" s="12">
        <v>0</v>
      </c>
      <c r="CG73" s="12">
        <v>0</v>
      </c>
      <c r="CH73" s="12">
        <v>0</v>
      </c>
      <c r="CI73" s="12">
        <v>0</v>
      </c>
      <c r="CJ73" s="12">
        <v>0</v>
      </c>
      <c r="CK73" s="12">
        <v>0</v>
      </c>
      <c r="CL73" s="12">
        <v>0</v>
      </c>
      <c r="CM73" s="12">
        <v>0</v>
      </c>
      <c r="CN73" s="12">
        <v>0</v>
      </c>
      <c r="CO73" s="12">
        <v>0</v>
      </c>
      <c r="CP73" s="12">
        <v>0</v>
      </c>
      <c r="CQ73" s="12">
        <v>0</v>
      </c>
      <c r="CR73" s="12">
        <v>0</v>
      </c>
      <c r="CS73" s="12">
        <v>0</v>
      </c>
      <c r="CT73" s="12">
        <v>0</v>
      </c>
      <c r="CU73" s="12">
        <v>0</v>
      </c>
      <c r="CV73" s="12">
        <v>0</v>
      </c>
      <c r="CW73" s="12">
        <v>0</v>
      </c>
      <c r="CX73" s="12">
        <v>0</v>
      </c>
      <c r="CY73" s="12">
        <v>0</v>
      </c>
      <c r="CZ73" s="12">
        <v>0</v>
      </c>
      <c r="DA73" s="12">
        <v>0</v>
      </c>
      <c r="DB73" s="12">
        <v>0</v>
      </c>
      <c r="DC73" s="12">
        <v>0</v>
      </c>
      <c r="DD73" s="12">
        <v>0</v>
      </c>
      <c r="DE73" s="12">
        <v>0</v>
      </c>
      <c r="DF73" s="12">
        <v>0</v>
      </c>
      <c r="DG73" s="12">
        <v>0</v>
      </c>
      <c r="DH73" s="12">
        <v>0</v>
      </c>
      <c r="DI73" s="12">
        <v>0</v>
      </c>
      <c r="DJ73" s="12">
        <v>0</v>
      </c>
      <c r="DK73" s="12">
        <v>0</v>
      </c>
      <c r="DL73" s="12">
        <v>2</v>
      </c>
      <c r="DM73" s="12">
        <v>4</v>
      </c>
      <c r="DN73" s="12">
        <v>0</v>
      </c>
      <c r="DO73" s="12">
        <v>1</v>
      </c>
      <c r="DP73" s="12">
        <v>0</v>
      </c>
      <c r="DQ73" s="12">
        <v>2</v>
      </c>
      <c r="DR73" s="12">
        <v>1</v>
      </c>
      <c r="DS73" s="12">
        <v>0</v>
      </c>
      <c r="DT73" s="12">
        <v>0</v>
      </c>
      <c r="DU73" s="12">
        <v>0</v>
      </c>
      <c r="DV73" s="12">
        <v>2</v>
      </c>
      <c r="DW73" s="12">
        <v>0</v>
      </c>
      <c r="DX73" s="12">
        <v>0</v>
      </c>
      <c r="DY73" s="12">
        <v>0</v>
      </c>
      <c r="DZ73" s="12">
        <v>2</v>
      </c>
      <c r="EA73" s="12">
        <v>3</v>
      </c>
      <c r="EB73" s="12">
        <v>1</v>
      </c>
      <c r="EC73" s="12">
        <v>0</v>
      </c>
      <c r="ED73" s="12">
        <v>2</v>
      </c>
      <c r="EE73" s="12">
        <v>3</v>
      </c>
      <c r="EF73" s="12">
        <v>4</v>
      </c>
      <c r="EG73" s="12">
        <v>0</v>
      </c>
      <c r="EH73" s="12">
        <v>2</v>
      </c>
      <c r="EI73" s="12">
        <v>1</v>
      </c>
      <c r="EJ73" s="12">
        <v>1</v>
      </c>
      <c r="EK73" s="12">
        <v>2</v>
      </c>
      <c r="EL73" s="12">
        <v>3</v>
      </c>
      <c r="EM73" s="12">
        <v>0</v>
      </c>
      <c r="EN73" s="12">
        <v>0</v>
      </c>
      <c r="EO73" s="12">
        <v>0</v>
      </c>
      <c r="EP73" s="12" t="str">
        <f t="shared" si="18"/>
        <v>🟢 Bien</v>
      </c>
      <c r="EQ73" s="23">
        <f t="shared" si="22"/>
        <v>1.2083333333333333</v>
      </c>
      <c r="ER73" s="19">
        <f t="shared" si="21"/>
        <v>12487.400000000001</v>
      </c>
      <c r="ES73" s="12">
        <f t="shared" si="20"/>
        <v>29</v>
      </c>
      <c r="ET73" s="23">
        <f t="shared" si="19"/>
        <v>0</v>
      </c>
      <c r="EU73" s="23">
        <f t="shared" si="17"/>
        <v>3.5</v>
      </c>
      <c r="EV73" s="23">
        <f t="shared" si="6"/>
        <v>4.4400000000000004</v>
      </c>
      <c r="EW73" s="23"/>
      <c r="EX73" s="12">
        <v>61</v>
      </c>
      <c r="EY73" s="19" cm="1">
        <f t="array" ref="EY73:FC73">VLOOKUP(_xlfn.SINGLE(B:B),'[1]Price List'!$B:$N,{8,4,5,6,7},0)</f>
        <v>430.6</v>
      </c>
      <c r="EZ73" s="9" t="str">
        <v>Speck Transfer Pro Pocket Universal Sleeve 13"/14" - Sweater Grey/Coastal Blue</v>
      </c>
      <c r="FA73" s="12" t="str">
        <v>Cases Sleeves</v>
      </c>
      <c r="FB73" s="12" t="str">
        <v>Sleeves</v>
      </c>
      <c r="FC73" s="12" t="str">
        <v>13" Sleeves</v>
      </c>
      <c r="FD73" s="23" t="str">
        <f>_xlfn.XLOOKUP(B:B,'[1]Price List'!$B:$B,'[1]Price List'!$A:$A)</f>
        <v>Speck</v>
      </c>
    </row>
    <row r="74" spans="1:160" s="9" customFormat="1" x14ac:dyDescent="0.2">
      <c r="A74" s="23" t="s">
        <v>599</v>
      </c>
      <c r="B74" s="23">
        <v>840168516728</v>
      </c>
      <c r="C74" s="9" t="s">
        <v>163</v>
      </c>
      <c r="D74" s="9" t="s">
        <v>644</v>
      </c>
      <c r="E74" s="9" t="s">
        <v>321</v>
      </c>
      <c r="F74" s="9" t="s">
        <v>616</v>
      </c>
      <c r="G74" s="9" t="s">
        <v>387</v>
      </c>
      <c r="H74" s="12" t="s">
        <v>164</v>
      </c>
      <c r="I74" s="11">
        <v>999</v>
      </c>
      <c r="J74" s="11">
        <v>430.6</v>
      </c>
      <c r="K74" s="62">
        <v>0</v>
      </c>
      <c r="L74" s="12">
        <v>0</v>
      </c>
      <c r="M74" s="13" t="s">
        <v>466</v>
      </c>
      <c r="N74" s="13" t="s">
        <v>383</v>
      </c>
      <c r="O74" s="27">
        <v>44565</v>
      </c>
      <c r="P74" s="12">
        <v>0</v>
      </c>
      <c r="Q74" s="12">
        <v>1</v>
      </c>
      <c r="R74" s="12">
        <v>0</v>
      </c>
      <c r="S74" s="12">
        <v>2</v>
      </c>
      <c r="T74" s="12">
        <v>0</v>
      </c>
      <c r="U74" s="12">
        <v>0</v>
      </c>
      <c r="V74" s="12">
        <v>2</v>
      </c>
      <c r="W74" s="12">
        <v>0</v>
      </c>
      <c r="X74" s="12">
        <v>1</v>
      </c>
      <c r="Y74" s="12">
        <v>0</v>
      </c>
      <c r="Z74" s="12">
        <v>0</v>
      </c>
      <c r="AA74" s="12">
        <v>1</v>
      </c>
      <c r="AB74" s="12">
        <v>2</v>
      </c>
      <c r="AC74" s="12">
        <v>2</v>
      </c>
      <c r="AD74" s="12">
        <v>1</v>
      </c>
      <c r="AE74" s="12">
        <v>2</v>
      </c>
      <c r="AF74" s="12">
        <v>2</v>
      </c>
      <c r="AG74" s="12">
        <v>2</v>
      </c>
      <c r="AH74" s="12">
        <v>0</v>
      </c>
      <c r="AI74" s="12">
        <v>1</v>
      </c>
      <c r="AJ74" s="12">
        <v>1</v>
      </c>
      <c r="AK74" s="12">
        <v>6</v>
      </c>
      <c r="AL74" s="12">
        <v>3</v>
      </c>
      <c r="AM74" s="12">
        <v>2</v>
      </c>
      <c r="AN74" s="12">
        <v>3</v>
      </c>
      <c r="AO74" s="12">
        <v>2</v>
      </c>
      <c r="AP74" s="12">
        <v>10</v>
      </c>
      <c r="AQ74" s="12">
        <v>2</v>
      </c>
      <c r="AR74" s="12">
        <v>5</v>
      </c>
      <c r="AS74" s="12">
        <v>5</v>
      </c>
      <c r="AT74" s="12">
        <v>1</v>
      </c>
      <c r="AU74" s="12">
        <v>6</v>
      </c>
      <c r="AV74" s="12">
        <v>4</v>
      </c>
      <c r="AW74" s="12">
        <v>10</v>
      </c>
      <c r="AX74" s="12">
        <v>7</v>
      </c>
      <c r="AY74" s="12">
        <v>12</v>
      </c>
      <c r="AZ74" s="12">
        <v>16</v>
      </c>
      <c r="BA74" s="12">
        <v>18</v>
      </c>
      <c r="BB74" s="12">
        <v>14</v>
      </c>
      <c r="BC74" s="12">
        <v>4</v>
      </c>
      <c r="BD74" s="12">
        <v>8</v>
      </c>
      <c r="BE74" s="12">
        <v>13</v>
      </c>
      <c r="BF74" s="12">
        <v>4</v>
      </c>
      <c r="BG74" s="12">
        <v>3</v>
      </c>
      <c r="BH74" s="12">
        <v>4</v>
      </c>
      <c r="BI74" s="12">
        <v>2</v>
      </c>
      <c r="BJ74" s="12">
        <v>7</v>
      </c>
      <c r="BK74" s="12">
        <v>1</v>
      </c>
      <c r="BL74" s="12">
        <v>3</v>
      </c>
      <c r="BM74" s="12">
        <v>3</v>
      </c>
      <c r="BN74" s="12">
        <v>3</v>
      </c>
      <c r="BO74" s="12">
        <v>6</v>
      </c>
      <c r="BP74" s="12">
        <v>6</v>
      </c>
      <c r="BQ74" s="12">
        <v>6</v>
      </c>
      <c r="BR74" s="12">
        <v>6</v>
      </c>
      <c r="BS74" s="12">
        <v>11</v>
      </c>
      <c r="BT74" s="12">
        <v>5</v>
      </c>
      <c r="BU74" s="12">
        <v>3</v>
      </c>
      <c r="BV74" s="12">
        <v>4</v>
      </c>
      <c r="BW74" s="12">
        <v>5</v>
      </c>
      <c r="BX74" s="12">
        <v>6</v>
      </c>
      <c r="BY74" s="12">
        <v>4</v>
      </c>
      <c r="BZ74" s="12">
        <v>3</v>
      </c>
      <c r="CA74" s="12">
        <v>7</v>
      </c>
      <c r="CB74" s="12">
        <v>7</v>
      </c>
      <c r="CC74" s="12">
        <v>7</v>
      </c>
      <c r="CD74" s="12">
        <v>7</v>
      </c>
      <c r="CE74" s="12">
        <v>6</v>
      </c>
      <c r="CF74" s="12">
        <v>5</v>
      </c>
      <c r="CG74" s="12">
        <v>4</v>
      </c>
      <c r="CH74" s="12">
        <v>6</v>
      </c>
      <c r="CI74" s="12">
        <v>6</v>
      </c>
      <c r="CJ74" s="12">
        <v>5</v>
      </c>
      <c r="CK74" s="12">
        <v>4</v>
      </c>
      <c r="CL74" s="12">
        <v>8</v>
      </c>
      <c r="CM74" s="12">
        <v>10</v>
      </c>
      <c r="CN74" s="12">
        <v>10</v>
      </c>
      <c r="CO74" s="12">
        <v>8</v>
      </c>
      <c r="CP74" s="12">
        <v>3</v>
      </c>
      <c r="CQ74" s="12">
        <v>5</v>
      </c>
      <c r="CR74" s="12">
        <v>6</v>
      </c>
      <c r="CS74" s="12">
        <v>9</v>
      </c>
      <c r="CT74" s="12">
        <v>13</v>
      </c>
      <c r="CU74" s="12">
        <v>13</v>
      </c>
      <c r="CV74" s="12">
        <v>6</v>
      </c>
      <c r="CW74" s="12">
        <v>17</v>
      </c>
      <c r="CX74" s="12">
        <v>13</v>
      </c>
      <c r="CY74" s="12">
        <v>10</v>
      </c>
      <c r="CZ74" s="12">
        <v>6</v>
      </c>
      <c r="DA74" s="12">
        <v>11</v>
      </c>
      <c r="DB74" s="12">
        <v>7</v>
      </c>
      <c r="DC74" s="12">
        <v>7</v>
      </c>
      <c r="DD74" s="12">
        <v>5</v>
      </c>
      <c r="DE74" s="12">
        <v>0</v>
      </c>
      <c r="DF74" s="12">
        <v>6</v>
      </c>
      <c r="DG74" s="12">
        <v>6</v>
      </c>
      <c r="DH74" s="12">
        <v>3</v>
      </c>
      <c r="DI74" s="12">
        <v>5</v>
      </c>
      <c r="DJ74" s="12">
        <v>7</v>
      </c>
      <c r="DK74" s="12">
        <v>3</v>
      </c>
      <c r="DL74" s="12">
        <v>4</v>
      </c>
      <c r="DM74" s="12">
        <v>7</v>
      </c>
      <c r="DN74" s="12">
        <v>16</v>
      </c>
      <c r="DO74" s="12">
        <v>10</v>
      </c>
      <c r="DP74" s="12">
        <v>11</v>
      </c>
      <c r="DQ74" s="12">
        <v>9</v>
      </c>
      <c r="DR74" s="12">
        <v>7</v>
      </c>
      <c r="DS74" s="12">
        <v>3</v>
      </c>
      <c r="DT74" s="12">
        <v>10</v>
      </c>
      <c r="DU74" s="12">
        <v>10</v>
      </c>
      <c r="DV74" s="12">
        <v>8</v>
      </c>
      <c r="DW74" s="12">
        <v>11</v>
      </c>
      <c r="DX74" s="12">
        <v>9</v>
      </c>
      <c r="DY74" s="12">
        <v>9</v>
      </c>
      <c r="DZ74" s="12">
        <v>5</v>
      </c>
      <c r="EA74" s="12">
        <v>8</v>
      </c>
      <c r="EB74" s="12">
        <v>6</v>
      </c>
      <c r="EC74" s="12">
        <v>6</v>
      </c>
      <c r="ED74" s="12">
        <v>7</v>
      </c>
      <c r="EE74" s="12">
        <v>4</v>
      </c>
      <c r="EF74" s="12">
        <v>3</v>
      </c>
      <c r="EG74" s="12">
        <v>9</v>
      </c>
      <c r="EH74" s="12">
        <v>7</v>
      </c>
      <c r="EI74" s="12">
        <v>2</v>
      </c>
      <c r="EJ74" s="12">
        <v>1</v>
      </c>
      <c r="EK74" s="12">
        <v>5</v>
      </c>
      <c r="EL74" s="12">
        <v>4</v>
      </c>
      <c r="EM74" s="12">
        <v>5</v>
      </c>
      <c r="EN74" s="12">
        <v>6</v>
      </c>
      <c r="EO74" s="12">
        <v>5</v>
      </c>
      <c r="EP74" s="12" t="str">
        <f t="shared" si="18"/>
        <v>🟢 Bien</v>
      </c>
      <c r="EQ74" s="23">
        <f t="shared" si="22"/>
        <v>6.625</v>
      </c>
      <c r="ER74" s="19">
        <f t="shared" si="21"/>
        <v>73202</v>
      </c>
      <c r="ES74" s="12">
        <f t="shared" si="20"/>
        <v>170</v>
      </c>
      <c r="ET74" s="23">
        <f t="shared" si="19"/>
        <v>24</v>
      </c>
      <c r="EU74" s="23">
        <f t="shared" si="17"/>
        <v>27.5</v>
      </c>
      <c r="EV74" s="23">
        <f t="shared" si="6"/>
        <v>30</v>
      </c>
      <c r="EW74" s="23"/>
      <c r="EX74" s="12">
        <v>117</v>
      </c>
      <c r="EY74" s="19" cm="1">
        <f t="array" ref="EY74:FC74">VLOOKUP(_xlfn.SINGLE(B:B),'[1]Price List'!$B:$N,{8,4,5,6,7},0)</f>
        <v>430.6</v>
      </c>
      <c r="EZ74" s="9" t="str">
        <v>Speck Smartshell Case with Microban for Macbook Pro 14" M1/M2 - Swell Blue</v>
      </c>
      <c r="FA74" s="12" t="str">
        <v>Cases Macbook</v>
      </c>
      <c r="FB74" s="12" t="str">
        <v>Macbook</v>
      </c>
      <c r="FC74" s="12" t="str">
        <v>MacBook Pro 14" M1/M2 Cases</v>
      </c>
      <c r="FD74" s="23" t="str">
        <f>_xlfn.XLOOKUP(B:B,'[1]Price List'!$B:$B,'[1]Price List'!$A:$A)</f>
        <v>Speck</v>
      </c>
    </row>
    <row r="75" spans="1:160" s="9" customFormat="1" x14ac:dyDescent="0.2">
      <c r="A75" s="23" t="s">
        <v>598</v>
      </c>
      <c r="B75" s="23">
        <v>856500011110</v>
      </c>
      <c r="C75" s="9" t="s">
        <v>332</v>
      </c>
      <c r="D75" s="9" t="s">
        <v>643</v>
      </c>
      <c r="E75" s="9" t="s">
        <v>635</v>
      </c>
      <c r="F75" s="9" t="s">
        <v>605</v>
      </c>
      <c r="G75" s="9" t="s">
        <v>336</v>
      </c>
      <c r="H75" s="10" t="s">
        <v>335</v>
      </c>
      <c r="I75" s="11">
        <v>1099</v>
      </c>
      <c r="J75" s="11">
        <v>473.71</v>
      </c>
      <c r="K75" s="62">
        <v>0</v>
      </c>
      <c r="L75" s="12">
        <v>0</v>
      </c>
      <c r="M75" s="13" t="s">
        <v>467</v>
      </c>
      <c r="N75" s="13" t="s">
        <v>475</v>
      </c>
      <c r="O75" s="14">
        <v>45233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12">
        <v>5</v>
      </c>
      <c r="W75" s="12">
        <v>7</v>
      </c>
      <c r="X75" s="12">
        <v>14</v>
      </c>
      <c r="Y75" s="12">
        <v>9</v>
      </c>
      <c r="Z75" s="12">
        <v>9</v>
      </c>
      <c r="AA75" s="12">
        <v>26</v>
      </c>
      <c r="AB75" s="12">
        <v>25</v>
      </c>
      <c r="AC75" s="12">
        <v>14</v>
      </c>
      <c r="AD75" s="12">
        <v>9</v>
      </c>
      <c r="AE75" s="12">
        <v>12</v>
      </c>
      <c r="AF75" s="12">
        <v>15</v>
      </c>
      <c r="AG75" s="12">
        <v>6</v>
      </c>
      <c r="AH75" s="12">
        <v>13</v>
      </c>
      <c r="AI75" s="12">
        <v>10</v>
      </c>
      <c r="AJ75" s="12">
        <v>18</v>
      </c>
      <c r="AK75" s="12">
        <v>16</v>
      </c>
      <c r="AL75" s="12">
        <v>21</v>
      </c>
      <c r="AM75" s="12">
        <v>11</v>
      </c>
      <c r="AN75" s="12">
        <v>12</v>
      </c>
      <c r="AO75" s="12">
        <v>16</v>
      </c>
      <c r="AP75" s="12">
        <v>18</v>
      </c>
      <c r="AQ75" s="12">
        <v>13</v>
      </c>
      <c r="AR75" s="12">
        <v>15</v>
      </c>
      <c r="AS75" s="12">
        <v>6</v>
      </c>
      <c r="AT75" s="12">
        <v>15</v>
      </c>
      <c r="AU75" s="12">
        <v>11</v>
      </c>
      <c r="AV75" s="12">
        <v>19</v>
      </c>
      <c r="AW75" s="12">
        <v>33</v>
      </c>
      <c r="AX75" s="12">
        <v>41</v>
      </c>
      <c r="AY75" s="12">
        <v>36</v>
      </c>
      <c r="AZ75" s="12">
        <v>45</v>
      </c>
      <c r="BA75" s="12">
        <v>57</v>
      </c>
      <c r="BB75" s="12">
        <v>63</v>
      </c>
      <c r="BC75" s="12">
        <v>52</v>
      </c>
      <c r="BD75" s="12">
        <v>50</v>
      </c>
      <c r="BE75" s="12">
        <v>65</v>
      </c>
      <c r="BF75" s="12">
        <v>38</v>
      </c>
      <c r="BG75" s="12">
        <v>27</v>
      </c>
      <c r="BH75" s="12">
        <v>13</v>
      </c>
      <c r="BI75" s="12">
        <v>19</v>
      </c>
      <c r="BJ75" s="12">
        <v>34</v>
      </c>
      <c r="BK75" s="12">
        <v>26</v>
      </c>
      <c r="BL75" s="12">
        <v>20</v>
      </c>
      <c r="BM75" s="12">
        <v>23</v>
      </c>
      <c r="BN75" s="12">
        <v>17</v>
      </c>
      <c r="BO75" s="12">
        <v>48</v>
      </c>
      <c r="BP75" s="12">
        <v>49</v>
      </c>
      <c r="BQ75" s="12">
        <v>33</v>
      </c>
      <c r="BR75" s="12">
        <v>33</v>
      </c>
      <c r="BS75" s="12">
        <v>13</v>
      </c>
      <c r="BT75" s="12">
        <v>15</v>
      </c>
      <c r="BU75" s="12">
        <v>17</v>
      </c>
      <c r="BV75" s="12">
        <v>10</v>
      </c>
      <c r="BW75" s="12">
        <v>21</v>
      </c>
      <c r="BX75" s="12">
        <v>10</v>
      </c>
      <c r="BY75" s="12">
        <v>16</v>
      </c>
      <c r="BZ75" s="12">
        <v>9</v>
      </c>
      <c r="CA75" s="12">
        <v>19</v>
      </c>
      <c r="CB75" s="12">
        <v>19</v>
      </c>
      <c r="CC75" s="12">
        <v>17</v>
      </c>
      <c r="CD75" s="12">
        <v>17</v>
      </c>
      <c r="CE75" s="12">
        <v>23</v>
      </c>
      <c r="CF75" s="12">
        <v>17</v>
      </c>
      <c r="CG75" s="12">
        <v>26</v>
      </c>
      <c r="CH75" s="12">
        <v>17</v>
      </c>
      <c r="CI75" s="12">
        <v>18</v>
      </c>
      <c r="CJ75" s="12">
        <v>14</v>
      </c>
      <c r="CK75" s="12">
        <v>13</v>
      </c>
      <c r="CL75" s="12">
        <v>17</v>
      </c>
      <c r="CM75" s="12">
        <v>18</v>
      </c>
      <c r="CN75" s="12">
        <v>12</v>
      </c>
      <c r="CO75" s="12">
        <v>20</v>
      </c>
      <c r="CP75" s="12">
        <v>6</v>
      </c>
      <c r="CQ75" s="12">
        <v>10</v>
      </c>
      <c r="CR75" s="12">
        <v>18</v>
      </c>
      <c r="CS75" s="12">
        <v>22</v>
      </c>
      <c r="CT75" s="12">
        <v>15</v>
      </c>
      <c r="CU75" s="12">
        <v>10</v>
      </c>
      <c r="CV75" s="12">
        <v>17</v>
      </c>
      <c r="CW75" s="12">
        <v>18</v>
      </c>
      <c r="CX75" s="12">
        <v>23</v>
      </c>
      <c r="CY75" s="12">
        <v>17</v>
      </c>
      <c r="CZ75" s="12">
        <v>12</v>
      </c>
      <c r="DA75" s="12">
        <v>23</v>
      </c>
      <c r="DB75" s="12">
        <v>24</v>
      </c>
      <c r="DC75" s="12">
        <v>16</v>
      </c>
      <c r="DD75" s="12">
        <v>11</v>
      </c>
      <c r="DE75" s="12">
        <v>22</v>
      </c>
      <c r="DF75" s="12">
        <v>19</v>
      </c>
      <c r="DG75" s="12">
        <v>25</v>
      </c>
      <c r="DH75" s="12">
        <v>17</v>
      </c>
      <c r="DI75" s="12">
        <v>13</v>
      </c>
      <c r="DJ75" s="12">
        <v>12</v>
      </c>
      <c r="DK75" s="12">
        <v>14</v>
      </c>
      <c r="DL75" s="12">
        <v>9</v>
      </c>
      <c r="DM75" s="12">
        <v>7</v>
      </c>
      <c r="DN75" s="12">
        <v>10</v>
      </c>
      <c r="DO75" s="12">
        <v>11</v>
      </c>
      <c r="DP75" s="12">
        <v>4</v>
      </c>
      <c r="DQ75" s="12">
        <v>8</v>
      </c>
      <c r="DR75" s="12">
        <v>1</v>
      </c>
      <c r="DS75" s="12">
        <v>3</v>
      </c>
      <c r="DT75" s="12">
        <v>4</v>
      </c>
      <c r="DU75" s="12">
        <v>1</v>
      </c>
      <c r="DV75" s="12">
        <v>1</v>
      </c>
      <c r="DW75" s="12">
        <v>1</v>
      </c>
      <c r="DX75" s="12">
        <v>2</v>
      </c>
      <c r="DY75" s="12">
        <v>1</v>
      </c>
      <c r="DZ75" s="12">
        <v>2</v>
      </c>
      <c r="EA75" s="12">
        <v>2</v>
      </c>
      <c r="EB75" s="12">
        <v>0</v>
      </c>
      <c r="EC75" s="12">
        <v>1</v>
      </c>
      <c r="ED75" s="12">
        <v>0</v>
      </c>
      <c r="EE75" s="12">
        <v>1</v>
      </c>
      <c r="EF75" s="12">
        <v>0</v>
      </c>
      <c r="EG75" s="12">
        <v>1</v>
      </c>
      <c r="EH75" s="12">
        <v>1</v>
      </c>
      <c r="EI75" s="12">
        <v>1</v>
      </c>
      <c r="EJ75" s="12">
        <v>2</v>
      </c>
      <c r="EK75" s="12">
        <v>1</v>
      </c>
      <c r="EL75" s="12">
        <v>0</v>
      </c>
      <c r="EM75" s="12">
        <v>1</v>
      </c>
      <c r="EN75" s="12">
        <v>1</v>
      </c>
      <c r="EO75" s="12">
        <v>0</v>
      </c>
      <c r="EP75" s="12" t="str">
        <f t="shared" si="18"/>
        <v>🔴 Sin venta</v>
      </c>
      <c r="EQ75" s="23">
        <f t="shared" si="22"/>
        <v>1.625</v>
      </c>
      <c r="ER75" s="19">
        <f t="shared" si="21"/>
        <v>18948.399999999998</v>
      </c>
      <c r="ES75" s="12">
        <f t="shared" si="20"/>
        <v>40</v>
      </c>
      <c r="ET75" s="23">
        <f t="shared" si="19"/>
        <v>76</v>
      </c>
      <c r="EU75" s="23">
        <f t="shared" si="17"/>
        <v>46.5</v>
      </c>
      <c r="EV75" s="23">
        <f t="shared" si="6"/>
        <v>7.33</v>
      </c>
      <c r="EW75" s="23"/>
      <c r="EX75" s="12">
        <v>10</v>
      </c>
      <c r="EY75" s="19" cm="1">
        <f t="array" ref="EY75:FC75">VLOOKUP(_xlfn.SINGLE(B:B),'[1]Price List'!$B:$N,{8,4,5,6,7},0)</f>
        <v>473.71</v>
      </c>
      <c r="EZ75" s="9" t="str">
        <v>Nomad Sport Band - 49/45/44/42mm White FKM V2</v>
      </c>
      <c r="FA75" s="12" t="str">
        <v>Straps</v>
      </c>
      <c r="FB75" s="12" t="str">
        <v>Apple Watch</v>
      </c>
      <c r="FC75" s="12" t="str">
        <v>49/45/44/42 mm</v>
      </c>
      <c r="FD75" s="23" t="str">
        <f>_xlfn.XLOOKUP(B:B,'[1]Price List'!$B:$B,'[1]Price List'!$A:$A)</f>
        <v>Nomad</v>
      </c>
    </row>
    <row r="76" spans="1:160" s="9" customFormat="1" x14ac:dyDescent="0.2">
      <c r="A76" s="23" t="s">
        <v>598</v>
      </c>
      <c r="B76" s="23">
        <v>856500018065</v>
      </c>
      <c r="C76" s="9" t="s">
        <v>455</v>
      </c>
      <c r="D76" s="9" t="s">
        <v>644</v>
      </c>
      <c r="E76" s="9" t="s">
        <v>459</v>
      </c>
      <c r="F76" s="9" t="s">
        <v>617</v>
      </c>
      <c r="G76" s="9" t="s">
        <v>617</v>
      </c>
      <c r="H76" s="10" t="s">
        <v>457</v>
      </c>
      <c r="I76" s="11">
        <v>599</v>
      </c>
      <c r="J76" s="21">
        <v>258.19</v>
      </c>
      <c r="K76" s="62">
        <v>0</v>
      </c>
      <c r="L76" s="12">
        <v>0</v>
      </c>
      <c r="M76" s="13" t="s">
        <v>467</v>
      </c>
      <c r="N76" s="13" t="s">
        <v>475</v>
      </c>
      <c r="O76" s="14"/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0</v>
      </c>
      <c r="V76" s="12">
        <v>0</v>
      </c>
      <c r="W76" s="12">
        <v>0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0</v>
      </c>
      <c r="AE76" s="12">
        <v>0</v>
      </c>
      <c r="AF76" s="12">
        <v>0</v>
      </c>
      <c r="AG76" s="12">
        <v>0</v>
      </c>
      <c r="AH76" s="12">
        <v>0</v>
      </c>
      <c r="AI76" s="12">
        <v>0</v>
      </c>
      <c r="AJ76" s="12">
        <v>0</v>
      </c>
      <c r="AK76" s="12">
        <v>0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2">
        <v>0</v>
      </c>
      <c r="AW76" s="12">
        <v>0</v>
      </c>
      <c r="AX76" s="12">
        <v>0</v>
      </c>
      <c r="AY76" s="12">
        <v>0</v>
      </c>
      <c r="AZ76" s="12">
        <v>0</v>
      </c>
      <c r="BA76" s="12">
        <v>0</v>
      </c>
      <c r="BB76" s="12">
        <v>0</v>
      </c>
      <c r="BC76" s="12">
        <v>0</v>
      </c>
      <c r="BD76" s="12">
        <v>0</v>
      </c>
      <c r="BE76" s="12">
        <v>0</v>
      </c>
      <c r="BF76" s="12">
        <v>0</v>
      </c>
      <c r="BG76" s="12">
        <v>0</v>
      </c>
      <c r="BH76" s="12">
        <v>0</v>
      </c>
      <c r="BI76" s="12">
        <v>0</v>
      </c>
      <c r="BJ76" s="12">
        <v>0</v>
      </c>
      <c r="BK76" s="12">
        <v>0</v>
      </c>
      <c r="BL76" s="12">
        <v>0</v>
      </c>
      <c r="BM76" s="12">
        <v>0</v>
      </c>
      <c r="BN76" s="12">
        <v>0</v>
      </c>
      <c r="BO76" s="12">
        <v>19</v>
      </c>
      <c r="BP76" s="12">
        <v>39</v>
      </c>
      <c r="BQ76" s="12">
        <v>16</v>
      </c>
      <c r="BR76" s="12">
        <v>11</v>
      </c>
      <c r="BS76" s="12">
        <v>38</v>
      </c>
      <c r="BT76" s="12">
        <v>37</v>
      </c>
      <c r="BU76" s="12">
        <v>31</v>
      </c>
      <c r="BV76" s="12">
        <v>22</v>
      </c>
      <c r="BW76" s="12">
        <v>28</v>
      </c>
      <c r="BX76" s="12">
        <v>27</v>
      </c>
      <c r="BY76" s="12">
        <v>48</v>
      </c>
      <c r="BZ76" s="12">
        <v>44</v>
      </c>
      <c r="CA76" s="12">
        <v>32</v>
      </c>
      <c r="CB76" s="12">
        <v>43</v>
      </c>
      <c r="CC76" s="12">
        <v>49</v>
      </c>
      <c r="CD76" s="12">
        <v>32</v>
      </c>
      <c r="CE76" s="12">
        <v>36</v>
      </c>
      <c r="CF76" s="12">
        <v>32</v>
      </c>
      <c r="CG76" s="12">
        <v>43</v>
      </c>
      <c r="CH76" s="12">
        <v>49</v>
      </c>
      <c r="CI76" s="12">
        <v>34</v>
      </c>
      <c r="CJ76" s="12">
        <v>28</v>
      </c>
      <c r="CK76" s="12">
        <v>35</v>
      </c>
      <c r="CL76" s="12">
        <v>28</v>
      </c>
      <c r="CM76" s="12">
        <v>68</v>
      </c>
      <c r="CN76" s="12">
        <v>44</v>
      </c>
      <c r="CO76" s="12">
        <v>29</v>
      </c>
      <c r="CP76" s="12">
        <v>22</v>
      </c>
      <c r="CQ76" s="12">
        <v>46</v>
      </c>
      <c r="CR76" s="12">
        <v>43</v>
      </c>
      <c r="CS76" s="12">
        <v>44</v>
      </c>
      <c r="CT76" s="12">
        <v>46</v>
      </c>
      <c r="CU76" s="12">
        <v>44</v>
      </c>
      <c r="CV76" s="12">
        <v>33</v>
      </c>
      <c r="CW76" s="12">
        <v>39</v>
      </c>
      <c r="CX76" s="12">
        <v>28</v>
      </c>
      <c r="CY76" s="12">
        <v>18</v>
      </c>
      <c r="CZ76" s="12">
        <v>10</v>
      </c>
      <c r="DA76" s="12">
        <v>14</v>
      </c>
      <c r="DB76" s="12">
        <v>11</v>
      </c>
      <c r="DC76" s="12">
        <v>12</v>
      </c>
      <c r="DD76" s="12">
        <v>4</v>
      </c>
      <c r="DE76" s="12">
        <v>13</v>
      </c>
      <c r="DF76" s="12">
        <v>8</v>
      </c>
      <c r="DG76" s="12">
        <v>7</v>
      </c>
      <c r="DH76" s="12">
        <v>7</v>
      </c>
      <c r="DI76" s="12">
        <v>17</v>
      </c>
      <c r="DJ76" s="12">
        <v>14</v>
      </c>
      <c r="DK76" s="12">
        <v>2</v>
      </c>
      <c r="DL76" s="12">
        <v>2</v>
      </c>
      <c r="DM76" s="12">
        <v>1</v>
      </c>
      <c r="DN76" s="12">
        <v>5</v>
      </c>
      <c r="DO76" s="12">
        <v>6</v>
      </c>
      <c r="DP76" s="12">
        <v>2</v>
      </c>
      <c r="DQ76" s="12">
        <v>3</v>
      </c>
      <c r="DR76" s="12">
        <v>5</v>
      </c>
      <c r="DS76" s="12">
        <v>1</v>
      </c>
      <c r="DT76" s="12">
        <v>3</v>
      </c>
      <c r="DU76" s="12">
        <v>1</v>
      </c>
      <c r="DV76" s="12">
        <v>0</v>
      </c>
      <c r="DW76" s="12">
        <v>1</v>
      </c>
      <c r="DX76" s="12">
        <v>1</v>
      </c>
      <c r="DY76" s="12">
        <v>0</v>
      </c>
      <c r="DZ76" s="12">
        <v>0</v>
      </c>
      <c r="EA76" s="12">
        <v>0</v>
      </c>
      <c r="EB76" s="12">
        <v>1</v>
      </c>
      <c r="EC76" s="12">
        <v>0</v>
      </c>
      <c r="ED76" s="12">
        <v>0</v>
      </c>
      <c r="EE76" s="12">
        <v>0</v>
      </c>
      <c r="EF76" s="12">
        <v>0</v>
      </c>
      <c r="EG76" s="12">
        <v>0</v>
      </c>
      <c r="EH76" s="12">
        <v>0</v>
      </c>
      <c r="EI76" s="12">
        <v>1</v>
      </c>
      <c r="EJ76" s="12">
        <v>1</v>
      </c>
      <c r="EK76" s="12">
        <v>0</v>
      </c>
      <c r="EL76" s="12">
        <v>3</v>
      </c>
      <c r="EM76" s="12">
        <v>0</v>
      </c>
      <c r="EN76" s="12">
        <v>0</v>
      </c>
      <c r="EO76" s="12">
        <v>0</v>
      </c>
      <c r="EP76" s="12" t="str">
        <f t="shared" si="18"/>
        <v>🟢 Bien</v>
      </c>
      <c r="EQ76" s="23">
        <f t="shared" si="22"/>
        <v>0.95833333333333337</v>
      </c>
      <c r="ER76" s="19">
        <f t="shared" si="21"/>
        <v>5938.37</v>
      </c>
      <c r="ES76" s="12">
        <f t="shared" si="20"/>
        <v>23</v>
      </c>
      <c r="ET76" s="23">
        <f t="shared" si="19"/>
        <v>39.5</v>
      </c>
      <c r="EU76" s="23">
        <f t="shared" si="17"/>
        <v>27</v>
      </c>
      <c r="EV76" s="23">
        <f t="shared" ref="EV76:EV137" si="23">ROUND((AVERAGE(DP76:EG76)*4),2)</f>
        <v>4</v>
      </c>
      <c r="EW76" s="23"/>
      <c r="EX76" s="12">
        <v>14</v>
      </c>
      <c r="EY76" s="19" cm="1">
        <f t="array" ref="EY76:FC76">VLOOKUP(_xlfn.SINGLE(B:B),'[1]Price List'!$B:$N,{8,4,5,6,7},0)</f>
        <v>258.19</v>
      </c>
      <c r="EZ76" s="9" t="str">
        <v>Nomad Modern Leather Case - Airpods Pro (2nd gen) | Black | Nomad Leather</v>
      </c>
      <c r="FA76" s="12" t="str">
        <v>Cases Airpods</v>
      </c>
      <c r="FB76" s="12" t="str">
        <v>Airpods</v>
      </c>
      <c r="FC76" s="12" t="str">
        <v>Pro 2</v>
      </c>
      <c r="FD76" s="23" t="str">
        <f>_xlfn.XLOOKUP(B:B,'[1]Price List'!$B:$B,'[1]Price List'!$A:$A)</f>
        <v>Nomad</v>
      </c>
    </row>
    <row r="77" spans="1:160" s="9" customFormat="1" x14ac:dyDescent="0.2">
      <c r="A77" s="23" t="s">
        <v>598</v>
      </c>
      <c r="B77" s="23">
        <v>856500018362</v>
      </c>
      <c r="C77" s="9" t="s">
        <v>456</v>
      </c>
      <c r="D77" s="9" t="s">
        <v>644</v>
      </c>
      <c r="E77" s="9" t="s">
        <v>459</v>
      </c>
      <c r="F77" s="9" t="s">
        <v>617</v>
      </c>
      <c r="G77" s="9" t="s">
        <v>617</v>
      </c>
      <c r="H77" s="10" t="s">
        <v>458</v>
      </c>
      <c r="I77" s="11">
        <v>599</v>
      </c>
      <c r="J77" s="21">
        <v>258.19</v>
      </c>
      <c r="K77" s="62">
        <v>0</v>
      </c>
      <c r="L77" s="12">
        <v>0</v>
      </c>
      <c r="M77" s="13" t="s">
        <v>467</v>
      </c>
      <c r="N77" s="13" t="s">
        <v>475</v>
      </c>
      <c r="O77" s="14"/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0</v>
      </c>
      <c r="V77" s="12">
        <v>0</v>
      </c>
      <c r="W77" s="12">
        <v>0</v>
      </c>
      <c r="X77" s="12">
        <v>0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0</v>
      </c>
      <c r="AE77" s="12">
        <v>0</v>
      </c>
      <c r="AF77" s="12">
        <v>0</v>
      </c>
      <c r="AG77" s="12">
        <v>0</v>
      </c>
      <c r="AH77" s="12">
        <v>0</v>
      </c>
      <c r="AI77" s="12">
        <v>0</v>
      </c>
      <c r="AJ77" s="12">
        <v>0</v>
      </c>
      <c r="AK77" s="12">
        <v>0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2">
        <v>0</v>
      </c>
      <c r="AW77" s="12">
        <v>0</v>
      </c>
      <c r="AX77" s="12">
        <v>0</v>
      </c>
      <c r="AY77" s="12">
        <v>0</v>
      </c>
      <c r="AZ77" s="12">
        <v>0</v>
      </c>
      <c r="BA77" s="12">
        <v>0</v>
      </c>
      <c r="BB77" s="12">
        <v>0</v>
      </c>
      <c r="BC77" s="12">
        <v>0</v>
      </c>
      <c r="BD77" s="12">
        <v>0</v>
      </c>
      <c r="BE77" s="12">
        <v>0</v>
      </c>
      <c r="BF77" s="12">
        <v>0</v>
      </c>
      <c r="BG77" s="12">
        <v>0</v>
      </c>
      <c r="BH77" s="12">
        <v>0</v>
      </c>
      <c r="BI77" s="12">
        <v>0</v>
      </c>
      <c r="BJ77" s="12">
        <v>0</v>
      </c>
      <c r="BK77" s="12">
        <v>0</v>
      </c>
      <c r="BL77" s="12">
        <v>0</v>
      </c>
      <c r="BM77" s="12">
        <v>0</v>
      </c>
      <c r="BN77" s="12">
        <v>0</v>
      </c>
      <c r="BO77" s="12">
        <v>11</v>
      </c>
      <c r="BP77" s="12">
        <v>29</v>
      </c>
      <c r="BQ77" s="12">
        <v>18</v>
      </c>
      <c r="BR77" s="12">
        <v>11</v>
      </c>
      <c r="BS77" s="12">
        <v>11</v>
      </c>
      <c r="BT77" s="12">
        <v>23</v>
      </c>
      <c r="BU77" s="12">
        <v>23</v>
      </c>
      <c r="BV77" s="12">
        <v>20</v>
      </c>
      <c r="BW77" s="12">
        <v>36</v>
      </c>
      <c r="BX77" s="12">
        <v>23</v>
      </c>
      <c r="BY77" s="12">
        <v>26</v>
      </c>
      <c r="BZ77" s="12">
        <v>34</v>
      </c>
      <c r="CA77" s="12">
        <v>34</v>
      </c>
      <c r="CB77" s="12">
        <v>31</v>
      </c>
      <c r="CC77" s="12">
        <v>32</v>
      </c>
      <c r="CD77" s="12">
        <v>27</v>
      </c>
      <c r="CE77" s="12">
        <v>24</v>
      </c>
      <c r="CF77" s="12">
        <v>15</v>
      </c>
      <c r="CG77" s="12">
        <v>20</v>
      </c>
      <c r="CH77" s="12">
        <v>25</v>
      </c>
      <c r="CI77" s="12">
        <v>23</v>
      </c>
      <c r="CJ77" s="12">
        <v>27</v>
      </c>
      <c r="CK77" s="12">
        <v>20</v>
      </c>
      <c r="CL77" s="12">
        <v>26</v>
      </c>
      <c r="CM77" s="12">
        <v>28</v>
      </c>
      <c r="CN77" s="12">
        <v>26</v>
      </c>
      <c r="CO77" s="12">
        <v>24</v>
      </c>
      <c r="CP77" s="12">
        <v>26</v>
      </c>
      <c r="CQ77" s="12">
        <v>25</v>
      </c>
      <c r="CR77" s="12">
        <v>20</v>
      </c>
      <c r="CS77" s="12">
        <v>20</v>
      </c>
      <c r="CT77" s="12">
        <v>20</v>
      </c>
      <c r="CU77" s="12">
        <v>28</v>
      </c>
      <c r="CV77" s="12">
        <v>25</v>
      </c>
      <c r="CW77" s="12">
        <v>27</v>
      </c>
      <c r="CX77" s="12">
        <v>31</v>
      </c>
      <c r="CY77" s="12">
        <v>23</v>
      </c>
      <c r="CZ77" s="12">
        <v>13</v>
      </c>
      <c r="DA77" s="12">
        <v>28</v>
      </c>
      <c r="DB77" s="12">
        <v>19</v>
      </c>
      <c r="DC77" s="12">
        <v>20</v>
      </c>
      <c r="DD77" s="12">
        <v>7</v>
      </c>
      <c r="DE77" s="12">
        <v>10</v>
      </c>
      <c r="DF77" s="12">
        <v>16</v>
      </c>
      <c r="DG77" s="12">
        <v>11</v>
      </c>
      <c r="DH77" s="12">
        <v>10</v>
      </c>
      <c r="DI77" s="12">
        <v>18</v>
      </c>
      <c r="DJ77" s="12">
        <v>16</v>
      </c>
      <c r="DK77" s="12">
        <v>13</v>
      </c>
      <c r="DL77" s="12">
        <v>9</v>
      </c>
      <c r="DM77" s="12">
        <v>9</v>
      </c>
      <c r="DN77" s="12">
        <v>9</v>
      </c>
      <c r="DO77" s="12">
        <v>12</v>
      </c>
      <c r="DP77" s="12">
        <v>7</v>
      </c>
      <c r="DQ77" s="12">
        <v>4</v>
      </c>
      <c r="DR77" s="12">
        <v>5</v>
      </c>
      <c r="DS77" s="12">
        <v>5</v>
      </c>
      <c r="DT77" s="12">
        <v>3</v>
      </c>
      <c r="DU77" s="12">
        <v>2</v>
      </c>
      <c r="DV77" s="12">
        <v>1</v>
      </c>
      <c r="DW77" s="12">
        <v>5</v>
      </c>
      <c r="DX77" s="12">
        <v>1</v>
      </c>
      <c r="DY77" s="12">
        <v>1</v>
      </c>
      <c r="DZ77" s="12">
        <v>3</v>
      </c>
      <c r="EA77" s="12">
        <v>3</v>
      </c>
      <c r="EB77" s="12">
        <v>1</v>
      </c>
      <c r="EC77" s="12">
        <v>1</v>
      </c>
      <c r="ED77" s="12">
        <v>1</v>
      </c>
      <c r="EE77" s="12">
        <v>1</v>
      </c>
      <c r="EF77" s="12">
        <v>3</v>
      </c>
      <c r="EG77" s="12">
        <v>3</v>
      </c>
      <c r="EH77" s="12">
        <v>0</v>
      </c>
      <c r="EI77" s="12">
        <v>2</v>
      </c>
      <c r="EJ77" s="12">
        <v>1</v>
      </c>
      <c r="EK77" s="12">
        <v>2</v>
      </c>
      <c r="EL77" s="12">
        <v>1</v>
      </c>
      <c r="EM77" s="12">
        <v>1</v>
      </c>
      <c r="EN77" s="12">
        <v>2</v>
      </c>
      <c r="EO77" s="12">
        <v>0</v>
      </c>
      <c r="EP77" s="12" t="str">
        <f t="shared" si="18"/>
        <v>🟢 Bien</v>
      </c>
      <c r="EQ77" s="23">
        <f t="shared" si="22"/>
        <v>2.375</v>
      </c>
      <c r="ER77" s="19">
        <f t="shared" si="21"/>
        <v>15233.21</v>
      </c>
      <c r="ES77" s="12">
        <f t="shared" si="20"/>
        <v>59</v>
      </c>
      <c r="ET77" s="23">
        <f t="shared" si="19"/>
        <v>62</v>
      </c>
      <c r="EU77" s="23">
        <f t="shared" si="17"/>
        <v>48</v>
      </c>
      <c r="EV77" s="23">
        <f t="shared" si="23"/>
        <v>11.11</v>
      </c>
      <c r="EW77" s="23"/>
      <c r="EX77" s="12">
        <v>47</v>
      </c>
      <c r="EY77" s="19" cm="1">
        <f t="array" ref="EY77:FC77">VLOOKUP(_xlfn.SINGLE(B:B),'[1]Price List'!$B:$N,{8,4,5,6,7},0)</f>
        <v>258.19</v>
      </c>
      <c r="EZ77" s="9" t="str">
        <v>Nomad Modern Leather Case - Airpods Pro (2nd gen) | Brown | Nomad Leather</v>
      </c>
      <c r="FA77" s="12" t="str">
        <v>Cases Airpods</v>
      </c>
      <c r="FB77" s="12" t="str">
        <v>Airpods</v>
      </c>
      <c r="FC77" s="12" t="str">
        <v>Pro 2</v>
      </c>
      <c r="FD77" s="23" t="str">
        <f>_xlfn.XLOOKUP(B:B,'[1]Price List'!$B:$B,'[1]Price List'!$A:$A)</f>
        <v>Nomad</v>
      </c>
    </row>
    <row r="78" spans="1:160" s="9" customFormat="1" x14ac:dyDescent="0.2">
      <c r="A78" s="23" t="s">
        <v>598</v>
      </c>
      <c r="B78" s="25">
        <v>856504011291</v>
      </c>
      <c r="C78" s="20" t="s">
        <v>601</v>
      </c>
      <c r="D78" s="9" t="s">
        <v>644</v>
      </c>
      <c r="E78" s="9" t="s">
        <v>459</v>
      </c>
      <c r="F78" s="9" t="s">
        <v>618</v>
      </c>
      <c r="G78" s="9" t="s">
        <v>680</v>
      </c>
      <c r="H78" s="10" t="s">
        <v>603</v>
      </c>
      <c r="I78" s="21">
        <v>799</v>
      </c>
      <c r="J78" s="21">
        <v>344.4</v>
      </c>
      <c r="K78" s="62">
        <v>0</v>
      </c>
      <c r="L78" s="12">
        <v>0</v>
      </c>
      <c r="M78" s="13" t="s">
        <v>466</v>
      </c>
      <c r="N78" s="13" t="s">
        <v>383</v>
      </c>
      <c r="O78" s="14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  <c r="DM78" s="12"/>
      <c r="DN78" s="12"/>
      <c r="DO78" s="12"/>
      <c r="DP78" s="12"/>
      <c r="DQ78" s="12"/>
      <c r="DR78" s="12"/>
      <c r="DS78" s="12"/>
      <c r="DT78" s="12">
        <v>40</v>
      </c>
      <c r="DU78" s="12">
        <v>31</v>
      </c>
      <c r="DV78" s="12">
        <v>26</v>
      </c>
      <c r="DW78" s="12">
        <v>31</v>
      </c>
      <c r="DX78" s="12">
        <v>29</v>
      </c>
      <c r="DY78" s="12">
        <v>25</v>
      </c>
      <c r="DZ78" s="12">
        <v>31</v>
      </c>
      <c r="EA78" s="12">
        <v>24</v>
      </c>
      <c r="EB78" s="12">
        <v>20</v>
      </c>
      <c r="EC78" s="12">
        <v>29</v>
      </c>
      <c r="ED78" s="12">
        <v>16</v>
      </c>
      <c r="EE78" s="12">
        <v>31</v>
      </c>
      <c r="EF78" s="12">
        <v>19</v>
      </c>
      <c r="EG78" s="12">
        <v>33</v>
      </c>
      <c r="EH78" s="12">
        <v>26</v>
      </c>
      <c r="EI78" s="12">
        <v>19</v>
      </c>
      <c r="EJ78" s="12">
        <v>16</v>
      </c>
      <c r="EK78" s="12">
        <v>24</v>
      </c>
      <c r="EL78" s="12">
        <v>23</v>
      </c>
      <c r="EM78" s="12">
        <v>19</v>
      </c>
      <c r="EN78" s="12">
        <v>19</v>
      </c>
      <c r="EO78" s="12">
        <v>16</v>
      </c>
      <c r="EP78" s="12" t="str">
        <f t="shared" si="18"/>
        <v>🟢 Bien</v>
      </c>
      <c r="EQ78" s="23">
        <f t="shared" si="22"/>
        <v>25.6</v>
      </c>
      <c r="ER78" s="19">
        <f t="shared" si="21"/>
        <v>188386.8</v>
      </c>
      <c r="ES78" s="12">
        <f t="shared" si="20"/>
        <v>547</v>
      </c>
      <c r="ET78" s="23" t="e">
        <f t="shared" si="19"/>
        <v>#DIV/0!</v>
      </c>
      <c r="EU78" s="23" t="e">
        <f t="shared" si="17"/>
        <v>#DIV/0!</v>
      </c>
      <c r="EV78" s="23">
        <f t="shared" si="23"/>
        <v>110</v>
      </c>
      <c r="EW78" s="23"/>
      <c r="EX78" s="12">
        <v>277</v>
      </c>
      <c r="EY78" s="19" cm="1">
        <f t="array" ref="EY78:FC78">VLOOKUP(_xlfn.SINGLE(B:B),'[1]Price List'!$B:$N,{8,4,5,6,7},0)</f>
        <v>344.4</v>
      </c>
      <c r="EZ78" s="9" t="str">
        <v>Modern Leather Case - Airpods Pro 3 | Black | Horween</v>
      </c>
      <c r="FA78" s="12" t="str">
        <v>Cases Airpods</v>
      </c>
      <c r="FB78" s="12" t="str">
        <v>Airpods</v>
      </c>
      <c r="FC78" s="12" t="str">
        <v>Airpods Pro 3</v>
      </c>
      <c r="FD78" s="23" t="str">
        <f>_xlfn.XLOOKUP(B:B,'[1]Price List'!$B:$B,'[1]Price List'!$A:$A)</f>
        <v>Nomad</v>
      </c>
    </row>
    <row r="79" spans="1:160" s="9" customFormat="1" x14ac:dyDescent="0.2">
      <c r="A79" s="23" t="s">
        <v>598</v>
      </c>
      <c r="B79" s="23">
        <v>856504011284</v>
      </c>
      <c r="C79" s="20" t="s">
        <v>602</v>
      </c>
      <c r="D79" s="9" t="s">
        <v>644</v>
      </c>
      <c r="E79" s="9" t="s">
        <v>459</v>
      </c>
      <c r="F79" s="9" t="s">
        <v>618</v>
      </c>
      <c r="G79" s="9" t="s">
        <v>680</v>
      </c>
      <c r="H79" s="10" t="s">
        <v>604</v>
      </c>
      <c r="I79" s="21">
        <v>799</v>
      </c>
      <c r="J79" s="21">
        <v>344.4</v>
      </c>
      <c r="K79" s="62">
        <v>0</v>
      </c>
      <c r="L79" s="12">
        <v>0</v>
      </c>
      <c r="M79" s="13" t="s">
        <v>466</v>
      </c>
      <c r="N79" s="13" t="s">
        <v>383</v>
      </c>
      <c r="O79" s="14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  <c r="DM79" s="12"/>
      <c r="DN79" s="12"/>
      <c r="DO79" s="12"/>
      <c r="DP79" s="12"/>
      <c r="DQ79" s="12"/>
      <c r="DR79" s="12"/>
      <c r="DS79" s="12"/>
      <c r="DT79" s="12">
        <v>29</v>
      </c>
      <c r="DU79" s="12">
        <v>23</v>
      </c>
      <c r="DV79" s="12">
        <v>15</v>
      </c>
      <c r="DW79" s="12">
        <v>19</v>
      </c>
      <c r="DX79" s="12">
        <v>16</v>
      </c>
      <c r="DY79" s="12">
        <v>15</v>
      </c>
      <c r="DZ79" s="12">
        <v>30</v>
      </c>
      <c r="EA79" s="12">
        <v>16</v>
      </c>
      <c r="EB79" s="12">
        <v>21</v>
      </c>
      <c r="EC79" s="12">
        <v>13</v>
      </c>
      <c r="ED79" s="12">
        <v>22</v>
      </c>
      <c r="EE79" s="12">
        <v>15</v>
      </c>
      <c r="EF79" s="12">
        <v>21</v>
      </c>
      <c r="EG79" s="12">
        <v>27</v>
      </c>
      <c r="EH79" s="12">
        <v>23</v>
      </c>
      <c r="EI79" s="12">
        <v>19</v>
      </c>
      <c r="EJ79" s="12">
        <v>13</v>
      </c>
      <c r="EK79" s="12">
        <v>22</v>
      </c>
      <c r="EL79" s="12">
        <v>16</v>
      </c>
      <c r="EM79" s="12">
        <v>12</v>
      </c>
      <c r="EN79" s="12">
        <v>22</v>
      </c>
      <c r="EO79" s="12">
        <v>6</v>
      </c>
      <c r="EP79" s="12" t="str">
        <f t="shared" si="18"/>
        <v>🟢 Bien</v>
      </c>
      <c r="EQ79" s="23">
        <f t="shared" si="22"/>
        <v>19.350000000000001</v>
      </c>
      <c r="ER79" s="19">
        <f t="shared" si="21"/>
        <v>142926</v>
      </c>
      <c r="ES79" s="12">
        <f t="shared" si="20"/>
        <v>415</v>
      </c>
      <c r="ET79" s="23" t="e">
        <f t="shared" si="19"/>
        <v>#DIV/0!</v>
      </c>
      <c r="EU79" s="23" t="e">
        <f t="shared" si="17"/>
        <v>#DIV/0!</v>
      </c>
      <c r="EV79" s="23">
        <f t="shared" si="23"/>
        <v>80.569999999999993</v>
      </c>
      <c r="EW79" s="23"/>
      <c r="EX79" s="12">
        <v>240</v>
      </c>
      <c r="EY79" s="19" cm="1">
        <f t="array" ref="EY79:FC79">VLOOKUP(_xlfn.SINGLE(B:B),'[1]Price List'!$B:$N,{8,4,5,6,7},0)</f>
        <v>344.4</v>
      </c>
      <c r="EZ79" s="9" t="str">
        <v>Modern Leather Case - Airpods Pro 3 | Rustic Brown | Horween</v>
      </c>
      <c r="FA79" s="12" t="str">
        <v>Cases Airpods</v>
      </c>
      <c r="FB79" s="12" t="str">
        <v>Airpods</v>
      </c>
      <c r="FC79" s="12" t="str">
        <v>Airpods Pro 3</v>
      </c>
      <c r="FD79" s="23" t="str">
        <f>_xlfn.XLOOKUP(B:B,'[1]Price List'!$B:$B,'[1]Price List'!$A:$A)</f>
        <v>Nomad</v>
      </c>
    </row>
    <row r="80" spans="1:160" s="9" customFormat="1" x14ac:dyDescent="0.2">
      <c r="A80" s="23" t="s">
        <v>600</v>
      </c>
      <c r="B80" s="23">
        <v>5056586746745</v>
      </c>
      <c r="C80" s="9" t="s">
        <v>523</v>
      </c>
      <c r="D80" s="9" t="s">
        <v>644</v>
      </c>
      <c r="E80" s="9" t="s">
        <v>459</v>
      </c>
      <c r="F80" s="9" t="s">
        <v>619</v>
      </c>
      <c r="G80" s="9" t="s">
        <v>681</v>
      </c>
      <c r="H80" s="10" t="s">
        <v>464</v>
      </c>
      <c r="I80" s="11">
        <v>449</v>
      </c>
      <c r="J80" s="21">
        <v>174.18</v>
      </c>
      <c r="K80" s="62">
        <v>0</v>
      </c>
      <c r="L80" s="12">
        <v>0</v>
      </c>
      <c r="M80" s="13" t="s">
        <v>466</v>
      </c>
      <c r="N80" s="13" t="s">
        <v>655</v>
      </c>
      <c r="O80" s="14"/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12">
        <v>0</v>
      </c>
      <c r="X80" s="12">
        <v>0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0</v>
      </c>
      <c r="AE80" s="12">
        <v>0</v>
      </c>
      <c r="AF80" s="12">
        <v>0</v>
      </c>
      <c r="AG80" s="12">
        <v>0</v>
      </c>
      <c r="AH80" s="12">
        <v>0</v>
      </c>
      <c r="AI80" s="12">
        <v>0</v>
      </c>
      <c r="AJ80" s="12">
        <v>0</v>
      </c>
      <c r="AK80" s="12">
        <v>0</v>
      </c>
      <c r="AL80" s="12">
        <v>0</v>
      </c>
      <c r="AM80" s="12">
        <v>0</v>
      </c>
      <c r="AN80" s="12">
        <v>0</v>
      </c>
      <c r="AO80" s="12">
        <v>0</v>
      </c>
      <c r="AP80" s="12">
        <v>0</v>
      </c>
      <c r="AQ80" s="12">
        <v>0</v>
      </c>
      <c r="AR80" s="12">
        <v>0</v>
      </c>
      <c r="AS80" s="12">
        <v>0</v>
      </c>
      <c r="AT80" s="12">
        <v>0</v>
      </c>
      <c r="AU80" s="12">
        <v>0</v>
      </c>
      <c r="AV80" s="12">
        <v>0</v>
      </c>
      <c r="AW80" s="12">
        <v>0</v>
      </c>
      <c r="AX80" s="12">
        <v>0</v>
      </c>
      <c r="AY80" s="12">
        <v>0</v>
      </c>
      <c r="AZ80" s="12">
        <v>0</v>
      </c>
      <c r="BA80" s="12">
        <v>0</v>
      </c>
      <c r="BB80" s="12">
        <v>0</v>
      </c>
      <c r="BC80" s="12">
        <v>0</v>
      </c>
      <c r="BD80" s="12">
        <v>0</v>
      </c>
      <c r="BE80" s="12">
        <v>0</v>
      </c>
      <c r="BF80" s="12">
        <v>0</v>
      </c>
      <c r="BG80" s="12">
        <v>0</v>
      </c>
      <c r="BH80" s="12">
        <v>0</v>
      </c>
      <c r="BI80" s="12">
        <v>0</v>
      </c>
      <c r="BJ80" s="12">
        <v>0</v>
      </c>
      <c r="BK80" s="12">
        <v>0</v>
      </c>
      <c r="BL80" s="12">
        <v>0</v>
      </c>
      <c r="BM80" s="12">
        <v>0</v>
      </c>
      <c r="BN80" s="12">
        <v>0</v>
      </c>
      <c r="BO80" s="12">
        <v>0</v>
      </c>
      <c r="BP80" s="12">
        <v>0</v>
      </c>
      <c r="BQ80" s="12">
        <v>0</v>
      </c>
      <c r="BR80" s="12">
        <v>0</v>
      </c>
      <c r="BS80" s="12">
        <v>0</v>
      </c>
      <c r="BT80" s="12">
        <v>0</v>
      </c>
      <c r="BU80" s="12">
        <v>0</v>
      </c>
      <c r="BV80" s="12">
        <v>0</v>
      </c>
      <c r="BW80" s="12">
        <v>0</v>
      </c>
      <c r="BX80" s="12">
        <v>0</v>
      </c>
      <c r="BY80" s="12">
        <v>0</v>
      </c>
      <c r="BZ80" s="12">
        <v>0</v>
      </c>
      <c r="CA80" s="12">
        <v>0</v>
      </c>
      <c r="CB80" s="12">
        <v>0</v>
      </c>
      <c r="CC80" s="12">
        <v>0</v>
      </c>
      <c r="CD80" s="12">
        <v>0</v>
      </c>
      <c r="CE80" s="12">
        <v>0</v>
      </c>
      <c r="CF80" s="12">
        <v>0</v>
      </c>
      <c r="CG80" s="12">
        <v>0</v>
      </c>
      <c r="CH80" s="12">
        <v>0</v>
      </c>
      <c r="CI80" s="12">
        <v>0</v>
      </c>
      <c r="CJ80" s="12">
        <v>0</v>
      </c>
      <c r="CK80" s="12">
        <v>5</v>
      </c>
      <c r="CL80" s="12">
        <v>5</v>
      </c>
      <c r="CM80" s="12">
        <v>8</v>
      </c>
      <c r="CN80" s="12">
        <v>3</v>
      </c>
      <c r="CO80" s="12">
        <v>4</v>
      </c>
      <c r="CP80" s="12">
        <v>3</v>
      </c>
      <c r="CQ80" s="12">
        <v>0</v>
      </c>
      <c r="CR80" s="12">
        <v>3</v>
      </c>
      <c r="CS80" s="12">
        <v>2</v>
      </c>
      <c r="CT80" s="12">
        <v>4</v>
      </c>
      <c r="CU80" s="12">
        <v>5</v>
      </c>
      <c r="CV80" s="12">
        <v>3</v>
      </c>
      <c r="CW80" s="12">
        <v>4</v>
      </c>
      <c r="CX80" s="12">
        <v>2</v>
      </c>
      <c r="CY80" s="12">
        <v>1</v>
      </c>
      <c r="CZ80" s="12">
        <v>1</v>
      </c>
      <c r="DA80" s="12">
        <v>1</v>
      </c>
      <c r="DB80" s="12">
        <v>4</v>
      </c>
      <c r="DC80" s="12">
        <v>2</v>
      </c>
      <c r="DD80" s="12">
        <v>1</v>
      </c>
      <c r="DE80" s="12">
        <v>2</v>
      </c>
      <c r="DF80" s="12">
        <v>3</v>
      </c>
      <c r="DG80" s="12">
        <v>3</v>
      </c>
      <c r="DH80" s="12">
        <v>1</v>
      </c>
      <c r="DI80" s="12">
        <v>3</v>
      </c>
      <c r="DJ80" s="12">
        <v>2</v>
      </c>
      <c r="DK80" s="12">
        <v>1</v>
      </c>
      <c r="DL80" s="12">
        <v>1</v>
      </c>
      <c r="DM80" s="12">
        <v>2</v>
      </c>
      <c r="DN80" s="12">
        <v>2</v>
      </c>
      <c r="DO80" s="12">
        <v>9</v>
      </c>
      <c r="DP80" s="12">
        <v>3</v>
      </c>
      <c r="DQ80" s="12">
        <v>6</v>
      </c>
      <c r="DR80" s="12">
        <v>1</v>
      </c>
      <c r="DS80" s="12">
        <v>1</v>
      </c>
      <c r="DT80" s="12">
        <v>0</v>
      </c>
      <c r="DU80" s="12">
        <v>1</v>
      </c>
      <c r="DV80" s="12">
        <v>1</v>
      </c>
      <c r="DW80" s="12">
        <v>0</v>
      </c>
      <c r="DX80" s="12">
        <v>0</v>
      </c>
      <c r="DY80" s="12">
        <v>0</v>
      </c>
      <c r="DZ80" s="12">
        <v>0</v>
      </c>
      <c r="EA80" s="12">
        <v>0</v>
      </c>
      <c r="EB80" s="12">
        <v>1</v>
      </c>
      <c r="EC80" s="12">
        <v>1</v>
      </c>
      <c r="ED80" s="12">
        <v>1</v>
      </c>
      <c r="EE80" s="12">
        <v>2</v>
      </c>
      <c r="EF80" s="12">
        <v>1</v>
      </c>
      <c r="EG80" s="12">
        <v>3</v>
      </c>
      <c r="EH80" s="12">
        <v>7</v>
      </c>
      <c r="EI80" s="12">
        <v>11</v>
      </c>
      <c r="EJ80" s="12">
        <v>3</v>
      </c>
      <c r="EK80" s="12">
        <v>1</v>
      </c>
      <c r="EL80" s="12">
        <v>5</v>
      </c>
      <c r="EM80" s="12">
        <v>3</v>
      </c>
      <c r="EN80" s="12">
        <v>5</v>
      </c>
      <c r="EO80" s="12">
        <v>3</v>
      </c>
      <c r="EP80" s="12" t="str">
        <f t="shared" si="18"/>
        <v>🟢 Bien</v>
      </c>
      <c r="EQ80" s="23">
        <f t="shared" si="22"/>
        <v>2.1666666666666665</v>
      </c>
      <c r="ER80" s="19">
        <f t="shared" si="21"/>
        <v>10450.800000000001</v>
      </c>
      <c r="ES80" s="12">
        <f t="shared" si="20"/>
        <v>60</v>
      </c>
      <c r="ET80" s="23">
        <f t="shared" si="19"/>
        <v>8.5</v>
      </c>
      <c r="EU80" s="23">
        <f t="shared" si="17"/>
        <v>10.5</v>
      </c>
      <c r="EV80" s="23">
        <f t="shared" si="23"/>
        <v>4.8899999999999997</v>
      </c>
      <c r="EW80" s="23"/>
      <c r="EX80" s="12">
        <v>138</v>
      </c>
      <c r="EY80" s="19" cm="1">
        <f t="array" ref="EY80:FC80">VLOOKUP(_xlfn.SINGLE(B:B),'[1]Price List'!$B:$N,{8,4,5,6,7},0)</f>
        <v>174.18</v>
      </c>
      <c r="EZ80" s="9" t="str">
        <v>Tech21 EvoLite for AirPods 4 - Clear</v>
      </c>
      <c r="FA80" s="12" t="str">
        <v>Cases Airpods</v>
      </c>
      <c r="FB80" s="12" t="str">
        <v>Airpods</v>
      </c>
      <c r="FC80" s="12" t="str">
        <v>Airpods 4</v>
      </c>
      <c r="FD80" s="23" t="str">
        <f>_xlfn.XLOOKUP(B:B,'[1]Price List'!$B:$B,'[1]Price List'!$A:$A)</f>
        <v>Tech21</v>
      </c>
    </row>
    <row r="81" spans="1:160" s="9" customFormat="1" x14ac:dyDescent="0.2">
      <c r="A81" s="23" t="s">
        <v>599</v>
      </c>
      <c r="B81" s="23">
        <v>840168536245</v>
      </c>
      <c r="C81" s="9" t="s">
        <v>526</v>
      </c>
      <c r="D81" s="9" t="s">
        <v>644</v>
      </c>
      <c r="E81" s="20" t="s">
        <v>320</v>
      </c>
      <c r="F81" s="20" t="s">
        <v>620</v>
      </c>
      <c r="G81" s="9" t="s">
        <v>682</v>
      </c>
      <c r="H81" s="10" t="s">
        <v>396</v>
      </c>
      <c r="I81" s="11">
        <v>1199</v>
      </c>
      <c r="J81" s="11">
        <v>516.80999999999995</v>
      </c>
      <c r="K81" s="62">
        <v>0</v>
      </c>
      <c r="L81" s="12">
        <v>0</v>
      </c>
      <c r="M81" s="31" t="s">
        <v>474</v>
      </c>
      <c r="N81" s="31" t="s">
        <v>655</v>
      </c>
      <c r="O81" s="14"/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0</v>
      </c>
      <c r="X81" s="12">
        <v>0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0</v>
      </c>
      <c r="AE81" s="12">
        <v>0</v>
      </c>
      <c r="AF81" s="12">
        <v>0</v>
      </c>
      <c r="AG81" s="12">
        <v>0</v>
      </c>
      <c r="AH81" s="12">
        <v>0</v>
      </c>
      <c r="AI81" s="12">
        <v>0</v>
      </c>
      <c r="AJ81" s="12">
        <v>0</v>
      </c>
      <c r="AK81" s="12">
        <v>0</v>
      </c>
      <c r="AL81" s="12">
        <v>0</v>
      </c>
      <c r="AM81" s="12">
        <v>0</v>
      </c>
      <c r="AN81" s="12">
        <v>0</v>
      </c>
      <c r="AO81" s="12">
        <v>0</v>
      </c>
      <c r="AP81" s="12">
        <v>0</v>
      </c>
      <c r="AQ81" s="12">
        <v>0</v>
      </c>
      <c r="AR81" s="12">
        <v>0</v>
      </c>
      <c r="AS81" s="12">
        <v>0</v>
      </c>
      <c r="AT81" s="12">
        <v>0</v>
      </c>
      <c r="AU81" s="12">
        <v>0</v>
      </c>
      <c r="AV81" s="12">
        <v>0</v>
      </c>
      <c r="AW81" s="12">
        <v>0</v>
      </c>
      <c r="AX81" s="12">
        <v>0</v>
      </c>
      <c r="AY81" s="12">
        <v>0</v>
      </c>
      <c r="AZ81" s="12">
        <v>0</v>
      </c>
      <c r="BA81" s="12">
        <v>0</v>
      </c>
      <c r="BB81" s="12">
        <v>83</v>
      </c>
      <c r="BC81" s="12">
        <v>80</v>
      </c>
      <c r="BD81" s="12">
        <v>68</v>
      </c>
      <c r="BE81" s="12">
        <v>58</v>
      </c>
      <c r="BF81" s="12">
        <v>31</v>
      </c>
      <c r="BG81" s="12">
        <v>13</v>
      </c>
      <c r="BH81" s="12">
        <v>12</v>
      </c>
      <c r="BI81" s="12">
        <v>14</v>
      </c>
      <c r="BJ81" s="12">
        <v>24</v>
      </c>
      <c r="BK81" s="12">
        <v>20</v>
      </c>
      <c r="BL81" s="12">
        <v>11</v>
      </c>
      <c r="BM81" s="12">
        <v>14</v>
      </c>
      <c r="BN81" s="12">
        <v>15</v>
      </c>
      <c r="BO81" s="12">
        <v>14</v>
      </c>
      <c r="BP81" s="12">
        <v>33</v>
      </c>
      <c r="BQ81" s="12">
        <v>32</v>
      </c>
      <c r="BR81" s="12">
        <v>27</v>
      </c>
      <c r="BS81" s="12">
        <v>15</v>
      </c>
      <c r="BT81" s="12">
        <v>19</v>
      </c>
      <c r="BU81" s="12">
        <v>10</v>
      </c>
      <c r="BV81" s="12">
        <v>8</v>
      </c>
      <c r="BW81" s="12">
        <v>13</v>
      </c>
      <c r="BX81" s="12">
        <v>14</v>
      </c>
      <c r="BY81" s="12">
        <v>10</v>
      </c>
      <c r="BZ81" s="12">
        <v>8</v>
      </c>
      <c r="CA81" s="12">
        <v>10</v>
      </c>
      <c r="CB81" s="12">
        <v>12</v>
      </c>
      <c r="CC81" s="12">
        <v>10</v>
      </c>
      <c r="CD81" s="12">
        <v>16</v>
      </c>
      <c r="CE81" s="12">
        <v>9</v>
      </c>
      <c r="CF81" s="12">
        <v>4</v>
      </c>
      <c r="CG81" s="12">
        <v>12</v>
      </c>
      <c r="CH81" s="12">
        <v>4</v>
      </c>
      <c r="CI81" s="12">
        <v>7</v>
      </c>
      <c r="CJ81" s="12">
        <v>13</v>
      </c>
      <c r="CK81" s="12">
        <v>11</v>
      </c>
      <c r="CL81" s="12">
        <v>12</v>
      </c>
      <c r="CM81" s="12">
        <v>9</v>
      </c>
      <c r="CN81" s="12">
        <v>4</v>
      </c>
      <c r="CO81" s="12">
        <v>5</v>
      </c>
      <c r="CP81" s="12">
        <v>7</v>
      </c>
      <c r="CQ81" s="12">
        <v>9</v>
      </c>
      <c r="CR81" s="12">
        <v>9</v>
      </c>
      <c r="CS81" s="12">
        <v>4</v>
      </c>
      <c r="CT81" s="12">
        <v>18</v>
      </c>
      <c r="CU81" s="12">
        <v>18</v>
      </c>
      <c r="CV81" s="12">
        <v>13</v>
      </c>
      <c r="CW81" s="12">
        <v>19</v>
      </c>
      <c r="CX81" s="12">
        <v>13</v>
      </c>
      <c r="CY81" s="12">
        <v>10</v>
      </c>
      <c r="CZ81" s="12">
        <v>4</v>
      </c>
      <c r="DA81" s="12">
        <v>8</v>
      </c>
      <c r="DB81" s="12">
        <v>3</v>
      </c>
      <c r="DC81" s="12">
        <v>9</v>
      </c>
      <c r="DD81" s="12">
        <v>11</v>
      </c>
      <c r="DE81" s="12">
        <v>9</v>
      </c>
      <c r="DF81" s="12">
        <v>6</v>
      </c>
      <c r="DG81" s="12">
        <v>1</v>
      </c>
      <c r="DH81" s="12">
        <v>5</v>
      </c>
      <c r="DI81" s="12">
        <v>17</v>
      </c>
      <c r="DJ81" s="12">
        <v>7</v>
      </c>
      <c r="DK81" s="12">
        <v>8</v>
      </c>
      <c r="DL81" s="12">
        <v>5</v>
      </c>
      <c r="DM81" s="12">
        <v>10</v>
      </c>
      <c r="DN81" s="12">
        <v>8</v>
      </c>
      <c r="DO81" s="12">
        <v>8</v>
      </c>
      <c r="DP81" s="12">
        <v>4</v>
      </c>
      <c r="DQ81" s="12">
        <v>4</v>
      </c>
      <c r="DR81" s="12">
        <v>4</v>
      </c>
      <c r="DS81" s="12">
        <v>3</v>
      </c>
      <c r="DT81" s="12">
        <v>2</v>
      </c>
      <c r="DU81" s="12">
        <v>3</v>
      </c>
      <c r="DV81" s="12">
        <v>0</v>
      </c>
      <c r="DW81" s="12">
        <v>2</v>
      </c>
      <c r="DX81" s="12">
        <v>1</v>
      </c>
      <c r="DY81" s="12">
        <v>0</v>
      </c>
      <c r="DZ81" s="12">
        <v>1</v>
      </c>
      <c r="EA81" s="12">
        <v>1</v>
      </c>
      <c r="EB81" s="12">
        <v>0</v>
      </c>
      <c r="EC81" s="12">
        <v>2</v>
      </c>
      <c r="ED81" s="12">
        <v>2</v>
      </c>
      <c r="EE81" s="12">
        <v>2</v>
      </c>
      <c r="EF81" s="12">
        <v>0</v>
      </c>
      <c r="EG81" s="12">
        <v>0</v>
      </c>
      <c r="EH81" s="12">
        <v>0</v>
      </c>
      <c r="EI81" s="12">
        <v>2</v>
      </c>
      <c r="EJ81" s="12">
        <v>0</v>
      </c>
      <c r="EK81" s="12">
        <v>0</v>
      </c>
      <c r="EL81" s="12">
        <v>1</v>
      </c>
      <c r="EM81" s="12">
        <v>2</v>
      </c>
      <c r="EN81" s="12">
        <v>0</v>
      </c>
      <c r="EO81" s="12">
        <v>2</v>
      </c>
      <c r="EP81" s="12" t="str">
        <f t="shared" si="18"/>
        <v>🟠 Bajo</v>
      </c>
      <c r="EQ81" s="23">
        <f t="shared" si="22"/>
        <v>1.5</v>
      </c>
      <c r="ER81" s="19">
        <f t="shared" si="21"/>
        <v>19638.78</v>
      </c>
      <c r="ES81" s="12">
        <f t="shared" si="20"/>
        <v>38</v>
      </c>
      <c r="ET81" s="23">
        <f t="shared" si="19"/>
        <v>25.5</v>
      </c>
      <c r="EU81" s="23">
        <f t="shared" si="17"/>
        <v>34</v>
      </c>
      <c r="EV81" s="23">
        <f t="shared" si="23"/>
        <v>6.89</v>
      </c>
      <c r="EW81" s="23"/>
      <c r="EX81" s="12">
        <v>50</v>
      </c>
      <c r="EY81" s="19" cm="1">
        <f t="array" ref="EY81:FC81">VLOOKUP(_xlfn.SINGLE(B:B),'[1]Price List'!$B:$N,{8,4,5,6,7},0)</f>
        <v>516.80999999999995</v>
      </c>
      <c r="EZ81" s="9" t="str">
        <v>Speck BALANCE FOLIO APPLE 13" IPAD AIR CASES - Black</v>
      </c>
      <c r="FA81" s="12" t="str">
        <v>Cases iPad</v>
      </c>
      <c r="FB81" s="12" t="str">
        <v>iPad</v>
      </c>
      <c r="FC81" s="12" t="str">
        <v>iPad Air 13" M2</v>
      </c>
      <c r="FD81" s="23" t="str">
        <f>_xlfn.XLOOKUP(B:B,'[1]Price List'!$B:$B,'[1]Price List'!$A:$A)</f>
        <v>Speck</v>
      </c>
    </row>
    <row r="82" spans="1:160" s="9" customFormat="1" x14ac:dyDescent="0.2">
      <c r="A82" s="23" t="s">
        <v>599</v>
      </c>
      <c r="B82" s="23">
        <v>840168536795</v>
      </c>
      <c r="C82" s="9" t="s">
        <v>400</v>
      </c>
      <c r="D82" s="9" t="s">
        <v>408</v>
      </c>
      <c r="E82" s="20" t="s">
        <v>638</v>
      </c>
      <c r="F82" s="20" t="s">
        <v>621</v>
      </c>
      <c r="G82" s="9" t="s">
        <v>683</v>
      </c>
      <c r="H82" s="10" t="s">
        <v>403</v>
      </c>
      <c r="I82" s="11">
        <v>999</v>
      </c>
      <c r="J82" s="21">
        <v>516.72</v>
      </c>
      <c r="K82" s="62">
        <v>0.25</v>
      </c>
      <c r="L82" s="19">
        <f>I82*(1-K82)</f>
        <v>749.25</v>
      </c>
      <c r="M82" s="13" t="s">
        <v>467</v>
      </c>
      <c r="N82" s="13" t="s">
        <v>475</v>
      </c>
      <c r="O82" s="14"/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  <c r="X82" s="12">
        <v>0</v>
      </c>
      <c r="Y82" s="12">
        <v>0</v>
      </c>
      <c r="Z82" s="12">
        <v>0</v>
      </c>
      <c r="AA82" s="12">
        <v>0</v>
      </c>
      <c r="AB82" s="12">
        <v>0</v>
      </c>
      <c r="AC82" s="12">
        <v>0</v>
      </c>
      <c r="AD82" s="12">
        <v>0</v>
      </c>
      <c r="AE82" s="12">
        <v>0</v>
      </c>
      <c r="AF82" s="12">
        <v>0</v>
      </c>
      <c r="AG82" s="12">
        <v>0</v>
      </c>
      <c r="AH82" s="12">
        <v>0</v>
      </c>
      <c r="AI82" s="12">
        <v>0</v>
      </c>
      <c r="AJ82" s="12">
        <v>0</v>
      </c>
      <c r="AK82" s="12">
        <v>0</v>
      </c>
      <c r="AL82" s="12">
        <v>0</v>
      </c>
      <c r="AM82" s="12">
        <v>0</v>
      </c>
      <c r="AN82" s="12">
        <v>0</v>
      </c>
      <c r="AO82" s="12">
        <v>0</v>
      </c>
      <c r="AP82" s="12">
        <v>0</v>
      </c>
      <c r="AQ82" s="12">
        <v>0</v>
      </c>
      <c r="AR82" s="12">
        <v>0</v>
      </c>
      <c r="AS82" s="12">
        <v>0</v>
      </c>
      <c r="AT82" s="12">
        <v>0</v>
      </c>
      <c r="AU82" s="12">
        <v>0</v>
      </c>
      <c r="AV82" s="12">
        <v>0</v>
      </c>
      <c r="AW82" s="12">
        <v>0</v>
      </c>
      <c r="AX82" s="12">
        <v>0</v>
      </c>
      <c r="AY82" s="12">
        <v>0</v>
      </c>
      <c r="AZ82" s="12">
        <v>0</v>
      </c>
      <c r="BA82" s="12">
        <v>0</v>
      </c>
      <c r="BB82" s="12">
        <v>0</v>
      </c>
      <c r="BC82" s="12">
        <v>0</v>
      </c>
      <c r="BD82" s="12">
        <v>5</v>
      </c>
      <c r="BE82" s="12">
        <v>6</v>
      </c>
      <c r="BF82" s="12">
        <v>4</v>
      </c>
      <c r="BG82" s="12">
        <v>0</v>
      </c>
      <c r="BH82" s="12">
        <v>2</v>
      </c>
      <c r="BI82" s="12">
        <v>1</v>
      </c>
      <c r="BJ82" s="12">
        <v>5</v>
      </c>
      <c r="BK82" s="12">
        <v>2</v>
      </c>
      <c r="BL82" s="12">
        <v>2</v>
      </c>
      <c r="BM82" s="12">
        <v>2</v>
      </c>
      <c r="BN82" s="12">
        <v>4</v>
      </c>
      <c r="BO82" s="12">
        <v>8</v>
      </c>
      <c r="BP82" s="12">
        <v>7</v>
      </c>
      <c r="BQ82" s="12">
        <v>2</v>
      </c>
      <c r="BR82" s="12">
        <v>0</v>
      </c>
      <c r="BS82" s="12">
        <v>5</v>
      </c>
      <c r="BT82" s="12">
        <v>1</v>
      </c>
      <c r="BU82" s="12">
        <v>2</v>
      </c>
      <c r="BV82" s="12">
        <v>0</v>
      </c>
      <c r="BW82" s="12">
        <v>1</v>
      </c>
      <c r="BX82" s="12">
        <v>0</v>
      </c>
      <c r="BY82" s="12">
        <v>2</v>
      </c>
      <c r="BZ82" s="12">
        <v>1</v>
      </c>
      <c r="CA82" s="12">
        <v>0</v>
      </c>
      <c r="CB82" s="12">
        <v>0</v>
      </c>
      <c r="CC82" s="12">
        <v>2</v>
      </c>
      <c r="CD82" s="12">
        <v>3</v>
      </c>
      <c r="CE82" s="12">
        <v>1</v>
      </c>
      <c r="CF82" s="12">
        <v>1</v>
      </c>
      <c r="CG82" s="12">
        <v>0</v>
      </c>
      <c r="CH82" s="12">
        <v>1</v>
      </c>
      <c r="CI82" s="12">
        <v>1</v>
      </c>
      <c r="CJ82" s="12">
        <v>3</v>
      </c>
      <c r="CK82" s="12">
        <v>2</v>
      </c>
      <c r="CL82" s="12">
        <v>0</v>
      </c>
      <c r="CM82" s="12">
        <v>1</v>
      </c>
      <c r="CN82" s="12">
        <v>0</v>
      </c>
      <c r="CO82" s="12">
        <v>1</v>
      </c>
      <c r="CP82" s="12">
        <v>0</v>
      </c>
      <c r="CQ82" s="12">
        <v>0</v>
      </c>
      <c r="CR82" s="12">
        <v>0</v>
      </c>
      <c r="CS82" s="12">
        <v>0</v>
      </c>
      <c r="CT82" s="12">
        <v>0</v>
      </c>
      <c r="CU82" s="12">
        <v>1</v>
      </c>
      <c r="CV82" s="12">
        <v>0</v>
      </c>
      <c r="CW82" s="12">
        <v>2</v>
      </c>
      <c r="CX82" s="12">
        <v>0</v>
      </c>
      <c r="CY82" s="12">
        <v>1</v>
      </c>
      <c r="CZ82" s="12">
        <v>0</v>
      </c>
      <c r="DA82" s="12">
        <v>1</v>
      </c>
      <c r="DB82" s="12">
        <v>0</v>
      </c>
      <c r="DC82" s="12">
        <v>0</v>
      </c>
      <c r="DD82" s="12">
        <v>0</v>
      </c>
      <c r="DE82" s="12">
        <v>0</v>
      </c>
      <c r="DF82" s="12">
        <v>1</v>
      </c>
      <c r="DG82" s="12">
        <v>0</v>
      </c>
      <c r="DH82" s="12">
        <v>0</v>
      </c>
      <c r="DI82" s="12">
        <v>1</v>
      </c>
      <c r="DJ82" s="12">
        <v>0</v>
      </c>
      <c r="DK82" s="12">
        <v>1</v>
      </c>
      <c r="DL82" s="12">
        <v>0</v>
      </c>
      <c r="DM82" s="12">
        <v>1</v>
      </c>
      <c r="DN82" s="12">
        <v>0</v>
      </c>
      <c r="DO82" s="12">
        <v>0</v>
      </c>
      <c r="DP82" s="12">
        <v>0</v>
      </c>
      <c r="DQ82" s="12">
        <v>0</v>
      </c>
      <c r="DR82" s="12">
        <v>0</v>
      </c>
      <c r="DS82" s="12">
        <v>0</v>
      </c>
      <c r="DT82" s="12">
        <v>0</v>
      </c>
      <c r="DU82" s="12">
        <v>0</v>
      </c>
      <c r="DV82" s="12">
        <v>0</v>
      </c>
      <c r="DW82" s="12">
        <v>-1</v>
      </c>
      <c r="DX82" s="12">
        <v>0</v>
      </c>
      <c r="DY82" s="12">
        <v>0</v>
      </c>
      <c r="DZ82" s="12">
        <v>1</v>
      </c>
      <c r="EA82" s="12">
        <v>1</v>
      </c>
      <c r="EB82" s="12">
        <v>0</v>
      </c>
      <c r="EC82" s="12">
        <v>0</v>
      </c>
      <c r="ED82" s="12">
        <v>0</v>
      </c>
      <c r="EE82" s="12">
        <v>0</v>
      </c>
      <c r="EF82" s="12">
        <v>1</v>
      </c>
      <c r="EG82" s="12">
        <v>0</v>
      </c>
      <c r="EH82" s="12">
        <v>0</v>
      </c>
      <c r="EI82" s="12">
        <v>0</v>
      </c>
      <c r="EJ82" s="12">
        <v>1</v>
      </c>
      <c r="EK82" s="12">
        <v>1</v>
      </c>
      <c r="EL82" s="12">
        <v>0</v>
      </c>
      <c r="EM82" s="12">
        <v>0</v>
      </c>
      <c r="EN82" s="12">
        <v>0</v>
      </c>
      <c r="EO82" s="12">
        <v>0</v>
      </c>
      <c r="EP82" s="12" t="str">
        <f t="shared" si="18"/>
        <v>🔴 Sin venta</v>
      </c>
      <c r="EQ82" s="23">
        <f t="shared" si="22"/>
        <v>0.16666666666666666</v>
      </c>
      <c r="ER82" s="19">
        <f t="shared" si="21"/>
        <v>2066.88</v>
      </c>
      <c r="ES82" s="12">
        <f t="shared" si="20"/>
        <v>4</v>
      </c>
      <c r="ET82" s="23">
        <f t="shared" si="19"/>
        <v>1</v>
      </c>
      <c r="EU82" s="23">
        <f t="shared" si="17"/>
        <v>1.5</v>
      </c>
      <c r="EV82" s="23">
        <f t="shared" si="23"/>
        <v>0.44</v>
      </c>
      <c r="EW82" s="23"/>
      <c r="EX82" s="12">
        <v>3</v>
      </c>
      <c r="EY82" s="19" cm="1">
        <f t="array" ref="EY82:FC82">VLOOKUP(_xlfn.SINGLE(B:B),'[1]Price List'!$B:$N,{8,4,5,6,7},0)</f>
        <v>516.72</v>
      </c>
      <c r="EZ82" s="9" t="str">
        <v>Speck Gemtones Play True Wireless Earbuds - Black</v>
      </c>
      <c r="FA82" s="12" t="str">
        <v>Audio</v>
      </c>
      <c r="FB82" s="12" t="str">
        <v>Headphones Wireless</v>
      </c>
      <c r="FC82" s="12" t="str">
        <v>Gemtones</v>
      </c>
      <c r="FD82" s="23" t="str">
        <f>_xlfn.XLOOKUP(B:B,'[1]Price List'!$B:$B,'[1]Price List'!$A:$A)</f>
        <v>Speck</v>
      </c>
    </row>
    <row r="83" spans="1:160" s="9" customFormat="1" x14ac:dyDescent="0.2">
      <c r="A83" s="23" t="s">
        <v>599</v>
      </c>
      <c r="B83" s="23">
        <v>840168536610</v>
      </c>
      <c r="C83" s="9" t="s">
        <v>401</v>
      </c>
      <c r="D83" s="9" t="s">
        <v>408</v>
      </c>
      <c r="E83" s="20" t="s">
        <v>638</v>
      </c>
      <c r="F83" s="20" t="s">
        <v>621</v>
      </c>
      <c r="G83" s="9" t="s">
        <v>683</v>
      </c>
      <c r="H83" s="10" t="s">
        <v>404</v>
      </c>
      <c r="I83" s="11">
        <v>999</v>
      </c>
      <c r="J83" s="21">
        <v>516.72</v>
      </c>
      <c r="K83" s="62">
        <v>0.25</v>
      </c>
      <c r="L83" s="19">
        <f t="shared" ref="L83:L86" si="24">I83*(1-K83)</f>
        <v>749.25</v>
      </c>
      <c r="M83" s="13" t="s">
        <v>467</v>
      </c>
      <c r="N83" s="13" t="s">
        <v>475</v>
      </c>
      <c r="O83" s="14"/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>
        <v>0</v>
      </c>
      <c r="V83" s="12">
        <v>0</v>
      </c>
      <c r="W83" s="12">
        <v>0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2">
        <v>0</v>
      </c>
      <c r="AD83" s="12">
        <v>0</v>
      </c>
      <c r="AE83" s="12">
        <v>0</v>
      </c>
      <c r="AF83" s="12">
        <v>0</v>
      </c>
      <c r="AG83" s="12">
        <v>0</v>
      </c>
      <c r="AH83" s="12">
        <v>0</v>
      </c>
      <c r="AI83" s="12">
        <v>0</v>
      </c>
      <c r="AJ83" s="12">
        <v>0</v>
      </c>
      <c r="AK83" s="12">
        <v>0</v>
      </c>
      <c r="AL83" s="12">
        <v>0</v>
      </c>
      <c r="AM83" s="12">
        <v>0</v>
      </c>
      <c r="AN83" s="12">
        <v>0</v>
      </c>
      <c r="AO83" s="12">
        <v>0</v>
      </c>
      <c r="AP83" s="12">
        <v>0</v>
      </c>
      <c r="AQ83" s="12">
        <v>0</v>
      </c>
      <c r="AR83" s="12">
        <v>0</v>
      </c>
      <c r="AS83" s="12">
        <v>0</v>
      </c>
      <c r="AT83" s="12">
        <v>0</v>
      </c>
      <c r="AU83" s="12">
        <v>0</v>
      </c>
      <c r="AV83" s="12">
        <v>0</v>
      </c>
      <c r="AW83" s="12">
        <v>0</v>
      </c>
      <c r="AX83" s="12">
        <v>0</v>
      </c>
      <c r="AY83" s="12">
        <v>0</v>
      </c>
      <c r="AZ83" s="12">
        <v>0</v>
      </c>
      <c r="BA83" s="12">
        <v>0</v>
      </c>
      <c r="BB83" s="12">
        <v>0</v>
      </c>
      <c r="BC83" s="12">
        <v>0</v>
      </c>
      <c r="BD83" s="12">
        <v>6</v>
      </c>
      <c r="BE83" s="12">
        <v>3</v>
      </c>
      <c r="BF83" s="12">
        <v>7</v>
      </c>
      <c r="BG83" s="12">
        <v>0</v>
      </c>
      <c r="BH83" s="12">
        <v>1</v>
      </c>
      <c r="BI83" s="12">
        <v>0</v>
      </c>
      <c r="BJ83" s="12">
        <v>4</v>
      </c>
      <c r="BK83" s="12">
        <v>1</v>
      </c>
      <c r="BL83" s="12">
        <v>3</v>
      </c>
      <c r="BM83" s="12">
        <v>1</v>
      </c>
      <c r="BN83" s="12">
        <v>2</v>
      </c>
      <c r="BO83" s="12">
        <v>5</v>
      </c>
      <c r="BP83" s="12">
        <v>12</v>
      </c>
      <c r="BQ83" s="12">
        <v>7</v>
      </c>
      <c r="BR83" s="12">
        <v>1</v>
      </c>
      <c r="BS83" s="12">
        <v>0</v>
      </c>
      <c r="BT83" s="12">
        <v>1</v>
      </c>
      <c r="BU83" s="12">
        <v>1</v>
      </c>
      <c r="BV83" s="12">
        <v>1</v>
      </c>
      <c r="BW83" s="12">
        <v>1</v>
      </c>
      <c r="BX83" s="12">
        <v>0</v>
      </c>
      <c r="BY83" s="12">
        <v>0</v>
      </c>
      <c r="BZ83" s="12">
        <v>0</v>
      </c>
      <c r="CA83" s="12">
        <v>1</v>
      </c>
      <c r="CB83" s="12">
        <v>1</v>
      </c>
      <c r="CC83" s="12">
        <v>1</v>
      </c>
      <c r="CD83" s="12">
        <v>0</v>
      </c>
      <c r="CE83" s="12">
        <v>0</v>
      </c>
      <c r="CF83" s="12">
        <v>1</v>
      </c>
      <c r="CG83" s="12">
        <v>1</v>
      </c>
      <c r="CH83" s="12">
        <v>3</v>
      </c>
      <c r="CI83" s="12">
        <v>1</v>
      </c>
      <c r="CJ83" s="12">
        <v>1</v>
      </c>
      <c r="CK83" s="12">
        <v>0</v>
      </c>
      <c r="CL83" s="12">
        <v>1</v>
      </c>
      <c r="CM83" s="12">
        <v>0</v>
      </c>
      <c r="CN83" s="12">
        <v>0</v>
      </c>
      <c r="CO83" s="12">
        <v>0</v>
      </c>
      <c r="CP83" s="12">
        <v>0</v>
      </c>
      <c r="CQ83" s="12">
        <v>0</v>
      </c>
      <c r="CR83" s="12">
        <v>0</v>
      </c>
      <c r="CS83" s="12">
        <v>0</v>
      </c>
      <c r="CT83" s="12">
        <v>2</v>
      </c>
      <c r="CU83" s="12">
        <v>1</v>
      </c>
      <c r="CV83" s="12">
        <v>0</v>
      </c>
      <c r="CW83" s="12">
        <v>0</v>
      </c>
      <c r="CX83" s="12">
        <v>1</v>
      </c>
      <c r="CY83" s="12">
        <v>0</v>
      </c>
      <c r="CZ83" s="12">
        <v>0</v>
      </c>
      <c r="DA83" s="12">
        <v>0</v>
      </c>
      <c r="DB83" s="12">
        <v>1</v>
      </c>
      <c r="DC83" s="12">
        <v>0</v>
      </c>
      <c r="DD83" s="12">
        <v>0</v>
      </c>
      <c r="DE83" s="12">
        <v>1</v>
      </c>
      <c r="DF83" s="12">
        <v>1</v>
      </c>
      <c r="DG83" s="12">
        <v>1</v>
      </c>
      <c r="DH83" s="12">
        <v>1</v>
      </c>
      <c r="DI83" s="12">
        <v>2</v>
      </c>
      <c r="DJ83" s="12">
        <v>1</v>
      </c>
      <c r="DK83" s="12">
        <v>0</v>
      </c>
      <c r="DL83" s="12">
        <v>0</v>
      </c>
      <c r="DM83" s="12">
        <v>0</v>
      </c>
      <c r="DN83" s="12">
        <v>1</v>
      </c>
      <c r="DO83" s="12">
        <v>1</v>
      </c>
      <c r="DP83" s="12">
        <v>1</v>
      </c>
      <c r="DQ83" s="12">
        <v>1</v>
      </c>
      <c r="DR83" s="12">
        <v>2</v>
      </c>
      <c r="DS83" s="12">
        <v>0</v>
      </c>
      <c r="DT83" s="12">
        <v>0</v>
      </c>
      <c r="DU83" s="12">
        <v>1</v>
      </c>
      <c r="DV83" s="12">
        <v>0</v>
      </c>
      <c r="DW83" s="12">
        <v>1</v>
      </c>
      <c r="DX83" s="12">
        <v>0</v>
      </c>
      <c r="DY83" s="12">
        <v>1</v>
      </c>
      <c r="DZ83" s="12">
        <v>0</v>
      </c>
      <c r="EA83" s="12">
        <v>0</v>
      </c>
      <c r="EB83" s="12">
        <v>0</v>
      </c>
      <c r="EC83" s="12">
        <v>0</v>
      </c>
      <c r="ED83" s="12">
        <v>1</v>
      </c>
      <c r="EE83" s="12">
        <v>0</v>
      </c>
      <c r="EF83" s="12">
        <v>0</v>
      </c>
      <c r="EG83" s="12">
        <v>0</v>
      </c>
      <c r="EH83" s="12">
        <v>0</v>
      </c>
      <c r="EI83" s="12">
        <v>0</v>
      </c>
      <c r="EJ83" s="12">
        <v>1</v>
      </c>
      <c r="EK83" s="12">
        <v>0</v>
      </c>
      <c r="EL83" s="12">
        <v>1</v>
      </c>
      <c r="EM83" s="12">
        <v>0</v>
      </c>
      <c r="EN83" s="12">
        <v>1</v>
      </c>
      <c r="EO83" s="12">
        <v>0</v>
      </c>
      <c r="EP83" s="12" t="str">
        <f t="shared" si="18"/>
        <v>🟠 Bajo</v>
      </c>
      <c r="EQ83" s="23">
        <f t="shared" si="22"/>
        <v>0.41666666666666669</v>
      </c>
      <c r="ER83" s="19">
        <f t="shared" si="21"/>
        <v>5683.92</v>
      </c>
      <c r="ES83" s="12">
        <f t="shared" si="20"/>
        <v>11</v>
      </c>
      <c r="ET83" s="23">
        <f t="shared" si="19"/>
        <v>2</v>
      </c>
      <c r="EU83" s="23">
        <f t="shared" si="17"/>
        <v>3</v>
      </c>
      <c r="EV83" s="23">
        <f t="shared" si="23"/>
        <v>1.78</v>
      </c>
      <c r="EW83" s="23"/>
      <c r="EX83" s="12">
        <v>4</v>
      </c>
      <c r="EY83" s="19" cm="1">
        <f t="array" ref="EY83:FC83">VLOOKUP(_xlfn.SINGLE(B:B),'[1]Price List'!$B:$N,{8,4,5,6,7},0)</f>
        <v>516.72</v>
      </c>
      <c r="EZ83" s="9" t="str">
        <v>Speck Gemtones Play True Wireless Earbuds - Pop Purple</v>
      </c>
      <c r="FA83" s="12" t="str">
        <v>Audio</v>
      </c>
      <c r="FB83" s="12" t="str">
        <v>Headphones Wireless</v>
      </c>
      <c r="FC83" s="12" t="str">
        <v>Gemtones</v>
      </c>
      <c r="FD83" s="23" t="str">
        <f>_xlfn.XLOOKUP(B:B,'[1]Price List'!$B:$B,'[1]Price List'!$A:$A)</f>
        <v>Speck</v>
      </c>
    </row>
    <row r="84" spans="1:160" s="9" customFormat="1" x14ac:dyDescent="0.2">
      <c r="A84" s="23" t="s">
        <v>599</v>
      </c>
      <c r="B84" s="23">
        <v>840168536641</v>
      </c>
      <c r="C84" s="9" t="s">
        <v>402</v>
      </c>
      <c r="D84" s="9" t="s">
        <v>408</v>
      </c>
      <c r="E84" s="20" t="s">
        <v>638</v>
      </c>
      <c r="F84" s="20" t="s">
        <v>621</v>
      </c>
      <c r="G84" s="9" t="s">
        <v>683</v>
      </c>
      <c r="H84" s="10" t="s">
        <v>405</v>
      </c>
      <c r="I84" s="11">
        <v>999</v>
      </c>
      <c r="J84" s="21">
        <v>516.72</v>
      </c>
      <c r="K84" s="62">
        <v>0.25</v>
      </c>
      <c r="L84" s="19">
        <f t="shared" si="24"/>
        <v>749.25</v>
      </c>
      <c r="M84" s="13" t="s">
        <v>467</v>
      </c>
      <c r="N84" s="13" t="s">
        <v>475</v>
      </c>
      <c r="O84" s="14"/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0</v>
      </c>
      <c r="W84" s="12">
        <v>0</v>
      </c>
      <c r="X84" s="12">
        <v>0</v>
      </c>
      <c r="Y84" s="12">
        <v>0</v>
      </c>
      <c r="Z84" s="12">
        <v>0</v>
      </c>
      <c r="AA84" s="12">
        <v>0</v>
      </c>
      <c r="AB84" s="12">
        <v>0</v>
      </c>
      <c r="AC84" s="12">
        <v>0</v>
      </c>
      <c r="AD84" s="12">
        <v>0</v>
      </c>
      <c r="AE84" s="12">
        <v>0</v>
      </c>
      <c r="AF84" s="12">
        <v>0</v>
      </c>
      <c r="AG84" s="12">
        <v>0</v>
      </c>
      <c r="AH84" s="12">
        <v>0</v>
      </c>
      <c r="AI84" s="12">
        <v>0</v>
      </c>
      <c r="AJ84" s="12">
        <v>0</v>
      </c>
      <c r="AK84" s="12">
        <v>0</v>
      </c>
      <c r="AL84" s="12">
        <v>0</v>
      </c>
      <c r="AM84" s="12">
        <v>0</v>
      </c>
      <c r="AN84" s="12">
        <v>0</v>
      </c>
      <c r="AO84" s="12">
        <v>0</v>
      </c>
      <c r="AP84" s="12">
        <v>0</v>
      </c>
      <c r="AQ84" s="12">
        <v>0</v>
      </c>
      <c r="AR84" s="12">
        <v>0</v>
      </c>
      <c r="AS84" s="12">
        <v>0</v>
      </c>
      <c r="AT84" s="12">
        <v>0</v>
      </c>
      <c r="AU84" s="12">
        <v>0</v>
      </c>
      <c r="AV84" s="12">
        <v>0</v>
      </c>
      <c r="AW84" s="12">
        <v>0</v>
      </c>
      <c r="AX84" s="12">
        <v>0</v>
      </c>
      <c r="AY84" s="12">
        <v>0</v>
      </c>
      <c r="AZ84" s="12">
        <v>0</v>
      </c>
      <c r="BA84" s="12">
        <v>0</v>
      </c>
      <c r="BB84" s="12">
        <v>0</v>
      </c>
      <c r="BC84" s="12">
        <v>0</v>
      </c>
      <c r="BD84" s="12">
        <v>1</v>
      </c>
      <c r="BE84" s="12">
        <v>4</v>
      </c>
      <c r="BF84" s="12">
        <v>3</v>
      </c>
      <c r="BG84" s="12">
        <v>1</v>
      </c>
      <c r="BH84" s="12">
        <v>0</v>
      </c>
      <c r="BI84" s="12">
        <v>1</v>
      </c>
      <c r="BJ84" s="12">
        <v>2</v>
      </c>
      <c r="BK84" s="12">
        <v>0</v>
      </c>
      <c r="BL84" s="12">
        <v>3</v>
      </c>
      <c r="BM84" s="12">
        <v>2</v>
      </c>
      <c r="BN84" s="12">
        <v>1</v>
      </c>
      <c r="BO84" s="12">
        <v>6</v>
      </c>
      <c r="BP84" s="12">
        <v>6</v>
      </c>
      <c r="BQ84" s="12">
        <v>6</v>
      </c>
      <c r="BR84" s="12">
        <v>1</v>
      </c>
      <c r="BS84" s="12">
        <v>2</v>
      </c>
      <c r="BT84" s="12">
        <v>0</v>
      </c>
      <c r="BU84" s="12">
        <v>1</v>
      </c>
      <c r="BV84" s="12">
        <v>3</v>
      </c>
      <c r="BW84" s="12">
        <v>1</v>
      </c>
      <c r="BX84" s="12">
        <v>0</v>
      </c>
      <c r="BY84" s="12">
        <v>0</v>
      </c>
      <c r="BZ84" s="12">
        <v>2</v>
      </c>
      <c r="CA84" s="12">
        <v>0</v>
      </c>
      <c r="CB84" s="12">
        <v>2</v>
      </c>
      <c r="CC84" s="12">
        <v>0</v>
      </c>
      <c r="CD84" s="12">
        <v>3</v>
      </c>
      <c r="CE84" s="12">
        <v>0</v>
      </c>
      <c r="CF84" s="12">
        <v>1</v>
      </c>
      <c r="CG84" s="12">
        <v>0</v>
      </c>
      <c r="CH84" s="12">
        <v>1</v>
      </c>
      <c r="CI84" s="12">
        <v>2</v>
      </c>
      <c r="CJ84" s="12">
        <v>1</v>
      </c>
      <c r="CK84" s="12">
        <v>3</v>
      </c>
      <c r="CL84" s="12">
        <v>1</v>
      </c>
      <c r="CM84" s="12">
        <v>2</v>
      </c>
      <c r="CN84" s="12">
        <v>0</v>
      </c>
      <c r="CO84" s="12">
        <v>0</v>
      </c>
      <c r="CP84" s="12">
        <v>0</v>
      </c>
      <c r="CQ84" s="12">
        <v>1</v>
      </c>
      <c r="CR84" s="12">
        <v>1</v>
      </c>
      <c r="CS84" s="12">
        <v>0</v>
      </c>
      <c r="CT84" s="12">
        <v>1</v>
      </c>
      <c r="CU84" s="12">
        <v>0</v>
      </c>
      <c r="CV84" s="12">
        <v>0</v>
      </c>
      <c r="CW84" s="12">
        <v>0</v>
      </c>
      <c r="CX84" s="12">
        <v>0</v>
      </c>
      <c r="CY84" s="12">
        <v>0</v>
      </c>
      <c r="CZ84" s="12">
        <v>0</v>
      </c>
      <c r="DA84" s="12">
        <v>2</v>
      </c>
      <c r="DB84" s="12">
        <v>0</v>
      </c>
      <c r="DC84" s="12">
        <v>0</v>
      </c>
      <c r="DD84" s="12">
        <v>0</v>
      </c>
      <c r="DE84" s="12">
        <v>0</v>
      </c>
      <c r="DF84" s="12">
        <v>0</v>
      </c>
      <c r="DG84" s="12">
        <v>0</v>
      </c>
      <c r="DH84" s="12">
        <v>0</v>
      </c>
      <c r="DI84" s="12">
        <v>0</v>
      </c>
      <c r="DJ84" s="12">
        <v>0</v>
      </c>
      <c r="DK84" s="12">
        <v>0</v>
      </c>
      <c r="DL84" s="12">
        <v>0</v>
      </c>
      <c r="DM84" s="12">
        <v>0</v>
      </c>
      <c r="DN84" s="12">
        <v>1</v>
      </c>
      <c r="DO84" s="12">
        <v>1</v>
      </c>
      <c r="DP84" s="12">
        <v>0</v>
      </c>
      <c r="DQ84" s="12">
        <v>0</v>
      </c>
      <c r="DR84" s="12">
        <v>0</v>
      </c>
      <c r="DS84" s="12">
        <v>1</v>
      </c>
      <c r="DT84" s="12">
        <v>0</v>
      </c>
      <c r="DU84" s="12">
        <v>0</v>
      </c>
      <c r="DV84" s="12">
        <v>1</v>
      </c>
      <c r="DW84" s="12">
        <v>1</v>
      </c>
      <c r="DX84" s="12">
        <v>0</v>
      </c>
      <c r="DY84" s="12">
        <v>1</v>
      </c>
      <c r="DZ84" s="12">
        <v>0</v>
      </c>
      <c r="EA84" s="12">
        <v>1</v>
      </c>
      <c r="EB84" s="12">
        <v>0</v>
      </c>
      <c r="EC84" s="12">
        <v>0</v>
      </c>
      <c r="ED84" s="12">
        <v>0</v>
      </c>
      <c r="EE84" s="12">
        <v>1</v>
      </c>
      <c r="EF84" s="12">
        <v>0</v>
      </c>
      <c r="EG84" s="12">
        <v>0</v>
      </c>
      <c r="EH84" s="12">
        <v>0</v>
      </c>
      <c r="EI84" s="12">
        <v>0</v>
      </c>
      <c r="EJ84" s="12">
        <v>1</v>
      </c>
      <c r="EK84" s="12">
        <v>1</v>
      </c>
      <c r="EL84" s="12">
        <v>0</v>
      </c>
      <c r="EM84" s="12">
        <v>1</v>
      </c>
      <c r="EN84" s="12">
        <v>0</v>
      </c>
      <c r="EO84" s="12">
        <v>0</v>
      </c>
      <c r="EP84" s="12" t="str">
        <f t="shared" si="18"/>
        <v>🔴 Sin venta</v>
      </c>
      <c r="EQ84" s="23">
        <f t="shared" si="22"/>
        <v>0.375</v>
      </c>
      <c r="ER84" s="19">
        <f t="shared" si="21"/>
        <v>4650.4800000000005</v>
      </c>
      <c r="ES84" s="12">
        <f t="shared" si="20"/>
        <v>9</v>
      </c>
      <c r="ET84" s="23">
        <f t="shared" si="19"/>
        <v>1</v>
      </c>
      <c r="EU84" s="23">
        <f t="shared" si="17"/>
        <v>1</v>
      </c>
      <c r="EV84" s="23">
        <f t="shared" si="23"/>
        <v>1.33</v>
      </c>
      <c r="EW84" s="23"/>
      <c r="EX84" s="12">
        <v>5</v>
      </c>
      <c r="EY84" s="19" cm="1">
        <f t="array" ref="EY84:FC84">VLOOKUP(_xlfn.SINGLE(B:B),'[1]Price List'!$B:$N,{8,4,5,6,7},0)</f>
        <v>516.72</v>
      </c>
      <c r="EZ84" s="9" t="str">
        <v>Speck Gemtones Play True Wireless Earbuds - Bob Blue</v>
      </c>
      <c r="FA84" s="12" t="str">
        <v>Audio</v>
      </c>
      <c r="FB84" s="12" t="str">
        <v>Headphones Wireless</v>
      </c>
      <c r="FC84" s="12" t="str">
        <v>Gemtones</v>
      </c>
      <c r="FD84" s="23" t="str">
        <f>_xlfn.XLOOKUP(B:B,'[1]Price List'!$B:$B,'[1]Price List'!$A:$A)</f>
        <v>Speck</v>
      </c>
    </row>
    <row r="85" spans="1:160" s="9" customFormat="1" x14ac:dyDescent="0.2">
      <c r="A85" s="23" t="s">
        <v>599</v>
      </c>
      <c r="B85" s="23">
        <v>840168539796</v>
      </c>
      <c r="C85" s="9" t="s">
        <v>453</v>
      </c>
      <c r="D85" s="9" t="s">
        <v>408</v>
      </c>
      <c r="E85" s="20" t="s">
        <v>639</v>
      </c>
      <c r="F85" s="20" t="s">
        <v>622</v>
      </c>
      <c r="G85" s="9" t="s">
        <v>684</v>
      </c>
      <c r="H85" s="10" t="s">
        <v>451</v>
      </c>
      <c r="I85" s="11">
        <v>1799</v>
      </c>
      <c r="J85" s="21">
        <v>1008.06</v>
      </c>
      <c r="K85" s="62">
        <v>0.25</v>
      </c>
      <c r="L85" s="19">
        <f t="shared" si="24"/>
        <v>1349.25</v>
      </c>
      <c r="M85" s="13" t="s">
        <v>467</v>
      </c>
      <c r="N85" s="13" t="s">
        <v>475</v>
      </c>
      <c r="O85" s="14"/>
      <c r="P85" s="12">
        <v>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2">
        <v>0</v>
      </c>
      <c r="AD85" s="12">
        <v>0</v>
      </c>
      <c r="AE85" s="12">
        <v>0</v>
      </c>
      <c r="AF85" s="12">
        <v>0</v>
      </c>
      <c r="AG85" s="12">
        <v>0</v>
      </c>
      <c r="AH85" s="12">
        <v>0</v>
      </c>
      <c r="AI85" s="12">
        <v>0</v>
      </c>
      <c r="AJ85" s="12">
        <v>0</v>
      </c>
      <c r="AK85" s="12">
        <v>0</v>
      </c>
      <c r="AL85" s="12">
        <v>0</v>
      </c>
      <c r="AM85" s="12">
        <v>0</v>
      </c>
      <c r="AN85" s="12">
        <v>0</v>
      </c>
      <c r="AO85" s="12">
        <v>0</v>
      </c>
      <c r="AP85" s="12">
        <v>0</v>
      </c>
      <c r="AQ85" s="12">
        <v>0</v>
      </c>
      <c r="AR85" s="12">
        <v>0</v>
      </c>
      <c r="AS85" s="12">
        <v>0</v>
      </c>
      <c r="AT85" s="12">
        <v>0</v>
      </c>
      <c r="AU85" s="12">
        <v>0</v>
      </c>
      <c r="AV85" s="12">
        <v>0</v>
      </c>
      <c r="AW85" s="12">
        <v>0</v>
      </c>
      <c r="AX85" s="12">
        <v>0</v>
      </c>
      <c r="AY85" s="12">
        <v>0</v>
      </c>
      <c r="AZ85" s="12">
        <v>0</v>
      </c>
      <c r="BA85" s="12">
        <v>0</v>
      </c>
      <c r="BB85" s="12">
        <v>0</v>
      </c>
      <c r="BC85" s="12">
        <v>0</v>
      </c>
      <c r="BD85" s="12">
        <v>0</v>
      </c>
      <c r="BE85" s="12">
        <v>0</v>
      </c>
      <c r="BF85" s="12">
        <v>0</v>
      </c>
      <c r="BG85" s="12">
        <v>0</v>
      </c>
      <c r="BH85" s="12">
        <v>0</v>
      </c>
      <c r="BI85" s="12">
        <v>0</v>
      </c>
      <c r="BJ85" s="12">
        <v>0</v>
      </c>
      <c r="BK85" s="12">
        <v>0</v>
      </c>
      <c r="BL85" s="12">
        <v>0</v>
      </c>
      <c r="BM85" s="12">
        <v>0</v>
      </c>
      <c r="BN85" s="12">
        <v>0</v>
      </c>
      <c r="BO85" s="12">
        <v>2</v>
      </c>
      <c r="BP85" s="12">
        <v>2</v>
      </c>
      <c r="BQ85" s="12">
        <v>0</v>
      </c>
      <c r="BR85" s="12">
        <v>2</v>
      </c>
      <c r="BS85" s="12">
        <v>0</v>
      </c>
      <c r="BT85" s="12">
        <v>1</v>
      </c>
      <c r="BU85" s="12">
        <v>2</v>
      </c>
      <c r="BV85" s="12">
        <v>0</v>
      </c>
      <c r="BW85" s="12">
        <v>3</v>
      </c>
      <c r="BX85" s="12">
        <v>0</v>
      </c>
      <c r="BY85" s="12">
        <v>0</v>
      </c>
      <c r="BZ85" s="12">
        <v>0</v>
      </c>
      <c r="CA85" s="12">
        <v>0</v>
      </c>
      <c r="CB85" s="12">
        <v>0</v>
      </c>
      <c r="CC85" s="12">
        <v>1</v>
      </c>
      <c r="CD85" s="12">
        <v>0</v>
      </c>
      <c r="CE85" s="12">
        <v>0</v>
      </c>
      <c r="CF85" s="12">
        <v>0</v>
      </c>
      <c r="CG85" s="12">
        <v>1</v>
      </c>
      <c r="CH85" s="12">
        <v>1</v>
      </c>
      <c r="CI85" s="12">
        <v>0</v>
      </c>
      <c r="CJ85" s="12">
        <v>1</v>
      </c>
      <c r="CK85" s="12">
        <v>0</v>
      </c>
      <c r="CL85" s="12">
        <v>0</v>
      </c>
      <c r="CM85" s="12">
        <v>0</v>
      </c>
      <c r="CN85" s="12">
        <v>0</v>
      </c>
      <c r="CO85" s="12">
        <v>1</v>
      </c>
      <c r="CP85" s="12">
        <v>0</v>
      </c>
      <c r="CQ85" s="12">
        <v>0</v>
      </c>
      <c r="CR85" s="12">
        <v>0</v>
      </c>
      <c r="CS85" s="12">
        <v>0</v>
      </c>
      <c r="CT85" s="12">
        <v>0</v>
      </c>
      <c r="CU85" s="12">
        <v>0</v>
      </c>
      <c r="CV85" s="12">
        <v>0</v>
      </c>
      <c r="CW85" s="12">
        <v>0</v>
      </c>
      <c r="CX85" s="12">
        <v>1</v>
      </c>
      <c r="CY85" s="12">
        <v>0</v>
      </c>
      <c r="CZ85" s="12">
        <v>1</v>
      </c>
      <c r="DA85" s="12">
        <v>0</v>
      </c>
      <c r="DB85" s="12">
        <v>0</v>
      </c>
      <c r="DC85" s="12">
        <v>0</v>
      </c>
      <c r="DD85" s="12">
        <v>2</v>
      </c>
      <c r="DE85" s="12">
        <v>0</v>
      </c>
      <c r="DF85" s="12">
        <v>2</v>
      </c>
      <c r="DG85" s="12">
        <v>2</v>
      </c>
      <c r="DH85" s="12">
        <v>0</v>
      </c>
      <c r="DI85" s="12">
        <v>0</v>
      </c>
      <c r="DJ85" s="12">
        <v>1</v>
      </c>
      <c r="DK85" s="12">
        <v>1</v>
      </c>
      <c r="DL85" s="12">
        <v>1</v>
      </c>
      <c r="DM85" s="12">
        <v>0</v>
      </c>
      <c r="DN85" s="12">
        <v>0</v>
      </c>
      <c r="DO85" s="12">
        <v>0</v>
      </c>
      <c r="DP85" s="12">
        <v>1</v>
      </c>
      <c r="DQ85" s="12">
        <v>1</v>
      </c>
      <c r="DR85" s="12">
        <v>0</v>
      </c>
      <c r="DS85" s="12">
        <v>0</v>
      </c>
      <c r="DT85" s="12">
        <v>0</v>
      </c>
      <c r="DU85" s="12">
        <v>0</v>
      </c>
      <c r="DV85" s="12">
        <v>0</v>
      </c>
      <c r="DW85" s="12">
        <v>0</v>
      </c>
      <c r="DX85" s="12">
        <v>0</v>
      </c>
      <c r="DY85" s="12">
        <v>0</v>
      </c>
      <c r="DZ85" s="12">
        <v>1</v>
      </c>
      <c r="EA85" s="12">
        <v>0</v>
      </c>
      <c r="EB85" s="12">
        <v>0</v>
      </c>
      <c r="EC85" s="12">
        <v>1</v>
      </c>
      <c r="ED85" s="12">
        <v>0</v>
      </c>
      <c r="EE85" s="12">
        <v>0</v>
      </c>
      <c r="EF85" s="12">
        <v>0</v>
      </c>
      <c r="EG85" s="12">
        <v>0</v>
      </c>
      <c r="EH85" s="12">
        <v>0</v>
      </c>
      <c r="EI85" s="12">
        <v>0</v>
      </c>
      <c r="EJ85" s="12">
        <v>0</v>
      </c>
      <c r="EK85" s="12">
        <v>0</v>
      </c>
      <c r="EL85" s="12">
        <v>0</v>
      </c>
      <c r="EM85" s="12">
        <v>0</v>
      </c>
      <c r="EN85" s="12">
        <v>0</v>
      </c>
      <c r="EO85" s="12">
        <v>1</v>
      </c>
      <c r="EP85" s="12" t="str">
        <f t="shared" si="18"/>
        <v>🔴 Sin venta</v>
      </c>
      <c r="EQ85" s="23">
        <f t="shared" si="22"/>
        <v>0.16666666666666666</v>
      </c>
      <c r="ER85" s="19">
        <f t="shared" si="21"/>
        <v>5040.2999999999993</v>
      </c>
      <c r="ES85" s="12">
        <f t="shared" si="20"/>
        <v>5</v>
      </c>
      <c r="ET85" s="23">
        <f t="shared" si="19"/>
        <v>3.5</v>
      </c>
      <c r="EU85" s="23">
        <f t="shared" si="17"/>
        <v>1.5</v>
      </c>
      <c r="EV85" s="23">
        <f t="shared" si="23"/>
        <v>0.89</v>
      </c>
      <c r="EW85" s="23"/>
      <c r="EX85" s="12">
        <v>9</v>
      </c>
      <c r="EY85" s="19" cm="1">
        <f t="array" ref="EY85:FC85">VLOOKUP(_xlfn.SINGLE(B:B),'[1]Price List'!$B:$N,{8,4,5,6,7},0)</f>
        <v>1008.06</v>
      </c>
      <c r="EZ85" s="9" t="str">
        <v>Speck Speaker Gemtones Infinity Speaker Mini -DARK GREY/CHROME/TAN</v>
      </c>
      <c r="FA85" s="12" t="str">
        <v>Audio</v>
      </c>
      <c r="FB85" s="12" t="str">
        <v>Speakers</v>
      </c>
      <c r="FC85" s="12" t="str">
        <v>Infinity</v>
      </c>
      <c r="FD85" s="23" t="str">
        <f>_xlfn.XLOOKUP(B:B,'[1]Price List'!$B:$B,'[1]Price List'!$A:$A)</f>
        <v>Speck</v>
      </c>
    </row>
    <row r="86" spans="1:160" s="9" customFormat="1" x14ac:dyDescent="0.2">
      <c r="A86" s="23" t="s">
        <v>599</v>
      </c>
      <c r="B86" s="23">
        <v>840168539819</v>
      </c>
      <c r="C86" s="9" t="s">
        <v>454</v>
      </c>
      <c r="D86" s="9" t="s">
        <v>408</v>
      </c>
      <c r="E86" s="20" t="s">
        <v>639</v>
      </c>
      <c r="F86" s="20" t="s">
        <v>622</v>
      </c>
      <c r="G86" s="9" t="s">
        <v>684</v>
      </c>
      <c r="H86" s="10" t="s">
        <v>452</v>
      </c>
      <c r="I86" s="11">
        <v>2999</v>
      </c>
      <c r="J86" s="21">
        <v>1680.47</v>
      </c>
      <c r="K86" s="62">
        <v>0.25</v>
      </c>
      <c r="L86" s="19">
        <f t="shared" si="24"/>
        <v>2249.25</v>
      </c>
      <c r="M86" s="13" t="s">
        <v>467</v>
      </c>
      <c r="N86" s="13" t="s">
        <v>475</v>
      </c>
      <c r="O86" s="14"/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0</v>
      </c>
      <c r="X86" s="12">
        <v>0</v>
      </c>
      <c r="Y86" s="12">
        <v>0</v>
      </c>
      <c r="Z86" s="12">
        <v>0</v>
      </c>
      <c r="AA86" s="12">
        <v>0</v>
      </c>
      <c r="AB86" s="12">
        <v>0</v>
      </c>
      <c r="AC86" s="12">
        <v>0</v>
      </c>
      <c r="AD86" s="12">
        <v>0</v>
      </c>
      <c r="AE86" s="12">
        <v>0</v>
      </c>
      <c r="AF86" s="12">
        <v>0</v>
      </c>
      <c r="AG86" s="12">
        <v>0</v>
      </c>
      <c r="AH86" s="12">
        <v>0</v>
      </c>
      <c r="AI86" s="12">
        <v>0</v>
      </c>
      <c r="AJ86" s="12">
        <v>0</v>
      </c>
      <c r="AK86" s="12">
        <v>0</v>
      </c>
      <c r="AL86" s="12">
        <v>0</v>
      </c>
      <c r="AM86" s="12">
        <v>0</v>
      </c>
      <c r="AN86" s="12">
        <v>0</v>
      </c>
      <c r="AO86" s="12">
        <v>0</v>
      </c>
      <c r="AP86" s="12">
        <v>0</v>
      </c>
      <c r="AQ86" s="12">
        <v>0</v>
      </c>
      <c r="AR86" s="12">
        <v>0</v>
      </c>
      <c r="AS86" s="12">
        <v>0</v>
      </c>
      <c r="AT86" s="12">
        <v>0</v>
      </c>
      <c r="AU86" s="12">
        <v>0</v>
      </c>
      <c r="AV86" s="12">
        <v>0</v>
      </c>
      <c r="AW86" s="12">
        <v>0</v>
      </c>
      <c r="AX86" s="12">
        <v>0</v>
      </c>
      <c r="AY86" s="12">
        <v>0</v>
      </c>
      <c r="AZ86" s="12">
        <v>0</v>
      </c>
      <c r="BA86" s="12">
        <v>0</v>
      </c>
      <c r="BB86" s="12">
        <v>0</v>
      </c>
      <c r="BC86" s="12">
        <v>0</v>
      </c>
      <c r="BD86" s="12">
        <v>0</v>
      </c>
      <c r="BE86" s="12">
        <v>0</v>
      </c>
      <c r="BF86" s="12">
        <v>0</v>
      </c>
      <c r="BG86" s="12">
        <v>0</v>
      </c>
      <c r="BH86" s="12">
        <v>0</v>
      </c>
      <c r="BI86" s="12">
        <v>0</v>
      </c>
      <c r="BJ86" s="12">
        <v>4</v>
      </c>
      <c r="BK86" s="12">
        <v>0</v>
      </c>
      <c r="BL86" s="12">
        <v>2</v>
      </c>
      <c r="BM86" s="12">
        <v>1</v>
      </c>
      <c r="BN86" s="12">
        <v>4</v>
      </c>
      <c r="BO86" s="12">
        <v>5</v>
      </c>
      <c r="BP86" s="12">
        <v>5</v>
      </c>
      <c r="BQ86" s="12">
        <v>5</v>
      </c>
      <c r="BR86" s="12">
        <v>2</v>
      </c>
      <c r="BS86" s="12">
        <v>1</v>
      </c>
      <c r="BT86" s="12">
        <v>1</v>
      </c>
      <c r="BU86" s="12">
        <v>2</v>
      </c>
      <c r="BV86" s="12">
        <v>1</v>
      </c>
      <c r="BW86" s="12">
        <v>3</v>
      </c>
      <c r="BX86" s="12">
        <v>2</v>
      </c>
      <c r="BY86" s="12">
        <v>3</v>
      </c>
      <c r="BZ86" s="12">
        <v>0</v>
      </c>
      <c r="CA86" s="12">
        <v>0</v>
      </c>
      <c r="CB86" s="12">
        <v>1</v>
      </c>
      <c r="CC86" s="12">
        <v>3</v>
      </c>
      <c r="CD86" s="12">
        <v>0</v>
      </c>
      <c r="CE86" s="12">
        <v>1</v>
      </c>
      <c r="CF86" s="12">
        <v>0</v>
      </c>
      <c r="CG86" s="12">
        <v>2</v>
      </c>
      <c r="CH86" s="12">
        <v>2</v>
      </c>
      <c r="CI86" s="12">
        <v>0</v>
      </c>
      <c r="CJ86" s="12">
        <v>2</v>
      </c>
      <c r="CK86" s="12">
        <v>1</v>
      </c>
      <c r="CL86" s="12">
        <v>2</v>
      </c>
      <c r="CM86" s="12">
        <v>2</v>
      </c>
      <c r="CN86" s="12">
        <v>1</v>
      </c>
      <c r="CO86" s="12">
        <v>1</v>
      </c>
      <c r="CP86" s="12">
        <v>0</v>
      </c>
      <c r="CQ86" s="12">
        <v>3</v>
      </c>
      <c r="CR86" s="12">
        <v>0</v>
      </c>
      <c r="CS86" s="12">
        <v>2</v>
      </c>
      <c r="CT86" s="12">
        <v>0</v>
      </c>
      <c r="CU86" s="12">
        <v>0</v>
      </c>
      <c r="CV86" s="12">
        <v>2</v>
      </c>
      <c r="CW86" s="12">
        <v>0</v>
      </c>
      <c r="CX86" s="12">
        <v>1</v>
      </c>
      <c r="CY86" s="12">
        <v>2</v>
      </c>
      <c r="CZ86" s="12">
        <v>0</v>
      </c>
      <c r="DA86" s="12">
        <v>1</v>
      </c>
      <c r="DB86" s="12">
        <v>2</v>
      </c>
      <c r="DC86" s="12">
        <v>2</v>
      </c>
      <c r="DD86" s="12">
        <v>1</v>
      </c>
      <c r="DE86" s="12">
        <v>0</v>
      </c>
      <c r="DF86" s="12">
        <v>1</v>
      </c>
      <c r="DG86" s="12">
        <v>1</v>
      </c>
      <c r="DH86" s="12">
        <v>0</v>
      </c>
      <c r="DI86" s="12">
        <v>3</v>
      </c>
      <c r="DJ86" s="12">
        <v>1</v>
      </c>
      <c r="DK86" s="12">
        <v>1</v>
      </c>
      <c r="DL86" s="12">
        <v>2</v>
      </c>
      <c r="DM86" s="12">
        <v>5</v>
      </c>
      <c r="DN86" s="12">
        <v>4</v>
      </c>
      <c r="DO86" s="12">
        <v>2</v>
      </c>
      <c r="DP86" s="12">
        <v>1</v>
      </c>
      <c r="DQ86" s="12">
        <v>2</v>
      </c>
      <c r="DR86" s="12">
        <v>2</v>
      </c>
      <c r="DS86" s="12">
        <v>3</v>
      </c>
      <c r="DT86" s="12">
        <v>0</v>
      </c>
      <c r="DU86" s="12">
        <v>0</v>
      </c>
      <c r="DV86" s="12">
        <v>2</v>
      </c>
      <c r="DW86" s="12">
        <v>0</v>
      </c>
      <c r="DX86" s="12">
        <v>0</v>
      </c>
      <c r="DY86" s="12">
        <v>0</v>
      </c>
      <c r="DZ86" s="12">
        <v>1</v>
      </c>
      <c r="EA86" s="12">
        <v>0</v>
      </c>
      <c r="EB86" s="12">
        <v>0</v>
      </c>
      <c r="EC86" s="12">
        <v>1</v>
      </c>
      <c r="ED86" s="12">
        <v>1</v>
      </c>
      <c r="EE86" s="12">
        <v>0</v>
      </c>
      <c r="EF86" s="12">
        <v>0</v>
      </c>
      <c r="EG86" s="12">
        <v>1</v>
      </c>
      <c r="EH86" s="12">
        <v>0</v>
      </c>
      <c r="EI86" s="12">
        <v>0</v>
      </c>
      <c r="EJ86" s="12">
        <v>0</v>
      </c>
      <c r="EK86" s="12">
        <v>0</v>
      </c>
      <c r="EL86" s="12">
        <v>0</v>
      </c>
      <c r="EM86" s="12">
        <v>1</v>
      </c>
      <c r="EN86" s="12">
        <v>0</v>
      </c>
      <c r="EO86" s="12">
        <v>0</v>
      </c>
      <c r="EP86" s="12" t="str">
        <f t="shared" si="18"/>
        <v>🔴 Sin venta</v>
      </c>
      <c r="EQ86" s="23">
        <f t="shared" si="22"/>
        <v>0.625</v>
      </c>
      <c r="ER86" s="19">
        <f t="shared" si="21"/>
        <v>25207.05</v>
      </c>
      <c r="ES86" s="12">
        <f t="shared" si="20"/>
        <v>15</v>
      </c>
      <c r="ET86" s="23">
        <f t="shared" si="19"/>
        <v>4</v>
      </c>
      <c r="EU86" s="23">
        <f t="shared" ref="EU86:EU115" si="25">ROUND((AVERAGE(DH86:DO86)*4),2)</f>
        <v>9</v>
      </c>
      <c r="EV86" s="23">
        <f t="shared" si="23"/>
        <v>3.11</v>
      </c>
      <c r="EW86" s="23"/>
      <c r="EX86" s="12">
        <v>42</v>
      </c>
      <c r="EY86" s="19" cm="1">
        <f t="array" ref="EY86:FC86">VLOOKUP(_xlfn.SINGLE(B:B),'[1]Price List'!$B:$N,{8,4,5,6,7},0)</f>
        <v>1680.47</v>
      </c>
      <c r="EZ86" s="9" t="str">
        <v>Speck Speaker Gemtones Infinity Speaker Max -DARK GREY/CHROME/TAN</v>
      </c>
      <c r="FA86" s="12" t="str">
        <v>Audio</v>
      </c>
      <c r="FB86" s="12" t="str">
        <v>Speakers</v>
      </c>
      <c r="FC86" s="12" t="str">
        <v>Infinity</v>
      </c>
      <c r="FD86" s="23" t="str">
        <f>_xlfn.XLOOKUP(B:B,'[1]Price List'!$B:$B,'[1]Price List'!$A:$A)</f>
        <v>Speck</v>
      </c>
    </row>
    <row r="87" spans="1:160" s="9" customFormat="1" x14ac:dyDescent="0.2">
      <c r="A87" s="23" t="s">
        <v>599</v>
      </c>
      <c r="B87" s="23">
        <v>840168538652</v>
      </c>
      <c r="C87" s="9" t="s">
        <v>411</v>
      </c>
      <c r="D87" s="9" t="s">
        <v>644</v>
      </c>
      <c r="E87" s="26" t="s">
        <v>636</v>
      </c>
      <c r="F87" s="26" t="s">
        <v>613</v>
      </c>
      <c r="G87" s="9" t="s">
        <v>677</v>
      </c>
      <c r="H87" s="10" t="s">
        <v>399</v>
      </c>
      <c r="I87" s="11">
        <v>1249</v>
      </c>
      <c r="J87" s="11">
        <v>538.36</v>
      </c>
      <c r="K87" s="62">
        <v>0</v>
      </c>
      <c r="L87" s="12">
        <v>0</v>
      </c>
      <c r="M87" s="13" t="s">
        <v>467</v>
      </c>
      <c r="N87" s="13" t="s">
        <v>475</v>
      </c>
      <c r="O87" s="27"/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0</v>
      </c>
      <c r="W87" s="12">
        <v>0</v>
      </c>
      <c r="X87" s="12">
        <v>0</v>
      </c>
      <c r="Y87" s="12">
        <v>0</v>
      </c>
      <c r="Z87" s="12">
        <v>0</v>
      </c>
      <c r="AA87" s="12">
        <v>0</v>
      </c>
      <c r="AB87" s="12">
        <v>0</v>
      </c>
      <c r="AC87" s="12">
        <v>0</v>
      </c>
      <c r="AD87" s="12">
        <v>0</v>
      </c>
      <c r="AE87" s="12">
        <v>0</v>
      </c>
      <c r="AF87" s="12">
        <v>0</v>
      </c>
      <c r="AG87" s="12">
        <v>0</v>
      </c>
      <c r="AH87" s="12">
        <v>0</v>
      </c>
      <c r="AI87" s="12">
        <v>0</v>
      </c>
      <c r="AJ87" s="12">
        <v>0</v>
      </c>
      <c r="AK87" s="12">
        <v>0</v>
      </c>
      <c r="AL87" s="12">
        <v>0</v>
      </c>
      <c r="AM87" s="12">
        <v>0</v>
      </c>
      <c r="AN87" s="12">
        <v>0</v>
      </c>
      <c r="AO87" s="12">
        <v>0</v>
      </c>
      <c r="AP87" s="12">
        <v>0</v>
      </c>
      <c r="AQ87" s="12">
        <v>0</v>
      </c>
      <c r="AR87" s="12">
        <v>0</v>
      </c>
      <c r="AS87" s="12">
        <v>0</v>
      </c>
      <c r="AT87" s="12">
        <v>0</v>
      </c>
      <c r="AU87" s="12">
        <v>0</v>
      </c>
      <c r="AV87" s="12">
        <v>0</v>
      </c>
      <c r="AW87" s="12">
        <v>0</v>
      </c>
      <c r="AX87" s="12">
        <v>0</v>
      </c>
      <c r="AY87" s="12">
        <v>0</v>
      </c>
      <c r="AZ87" s="12">
        <v>0</v>
      </c>
      <c r="BA87" s="12">
        <v>0</v>
      </c>
      <c r="BB87" s="12">
        <v>6</v>
      </c>
      <c r="BC87" s="12">
        <v>3</v>
      </c>
      <c r="BD87" s="12">
        <v>2</v>
      </c>
      <c r="BE87" s="12">
        <v>4</v>
      </c>
      <c r="BF87" s="12">
        <v>5</v>
      </c>
      <c r="BG87" s="12">
        <v>2</v>
      </c>
      <c r="BH87" s="12">
        <v>1</v>
      </c>
      <c r="BI87" s="12">
        <v>1</v>
      </c>
      <c r="BJ87" s="12">
        <v>2</v>
      </c>
      <c r="BK87" s="12">
        <v>1</v>
      </c>
      <c r="BL87" s="12">
        <v>1</v>
      </c>
      <c r="BM87" s="12">
        <v>2</v>
      </c>
      <c r="BN87" s="12">
        <v>2</v>
      </c>
      <c r="BO87" s="12">
        <v>2</v>
      </c>
      <c r="BP87" s="12">
        <v>3</v>
      </c>
      <c r="BQ87" s="12">
        <v>5</v>
      </c>
      <c r="BR87" s="12">
        <v>2</v>
      </c>
      <c r="BS87" s="12">
        <v>2</v>
      </c>
      <c r="BT87" s="12">
        <v>2</v>
      </c>
      <c r="BU87" s="12">
        <v>0</v>
      </c>
      <c r="BV87" s="12">
        <v>1</v>
      </c>
      <c r="BW87" s="12">
        <v>0</v>
      </c>
      <c r="BX87" s="12">
        <v>2</v>
      </c>
      <c r="BY87" s="12">
        <v>2</v>
      </c>
      <c r="BZ87" s="12">
        <v>3</v>
      </c>
      <c r="CA87" s="12">
        <v>2</v>
      </c>
      <c r="CB87" s="12">
        <v>0</v>
      </c>
      <c r="CC87" s="12">
        <v>1</v>
      </c>
      <c r="CD87" s="12">
        <v>0</v>
      </c>
      <c r="CE87" s="12">
        <v>1</v>
      </c>
      <c r="CF87" s="12">
        <v>0</v>
      </c>
      <c r="CG87" s="12">
        <v>0</v>
      </c>
      <c r="CH87" s="12">
        <v>1</v>
      </c>
      <c r="CI87" s="12">
        <v>2</v>
      </c>
      <c r="CJ87" s="12">
        <v>3</v>
      </c>
      <c r="CK87" s="12">
        <v>4</v>
      </c>
      <c r="CL87" s="12">
        <v>0</v>
      </c>
      <c r="CM87" s="12">
        <v>2</v>
      </c>
      <c r="CN87" s="12">
        <v>0</v>
      </c>
      <c r="CO87" s="12">
        <v>3</v>
      </c>
      <c r="CP87" s="12">
        <v>0</v>
      </c>
      <c r="CQ87" s="12">
        <v>1</v>
      </c>
      <c r="CR87" s="12">
        <v>1</v>
      </c>
      <c r="CS87" s="12">
        <v>2</v>
      </c>
      <c r="CT87" s="12">
        <v>1</v>
      </c>
      <c r="CU87" s="12">
        <v>0</v>
      </c>
      <c r="CV87" s="12">
        <v>4</v>
      </c>
      <c r="CW87" s="12">
        <v>0</v>
      </c>
      <c r="CX87" s="12">
        <v>1</v>
      </c>
      <c r="CY87" s="12">
        <v>1</v>
      </c>
      <c r="CZ87" s="12">
        <v>0</v>
      </c>
      <c r="DA87" s="12">
        <v>1</v>
      </c>
      <c r="DB87" s="12">
        <v>1</v>
      </c>
      <c r="DC87" s="12">
        <v>0</v>
      </c>
      <c r="DD87" s="12">
        <v>2</v>
      </c>
      <c r="DE87" s="12">
        <v>1</v>
      </c>
      <c r="DF87" s="12">
        <v>0</v>
      </c>
      <c r="DG87" s="12">
        <v>0</v>
      </c>
      <c r="DH87" s="12">
        <v>1</v>
      </c>
      <c r="DI87" s="12">
        <v>1</v>
      </c>
      <c r="DJ87" s="12">
        <v>0</v>
      </c>
      <c r="DK87" s="12">
        <v>1</v>
      </c>
      <c r="DL87" s="12">
        <v>1</v>
      </c>
      <c r="DM87" s="12">
        <v>1</v>
      </c>
      <c r="DN87" s="12">
        <v>0</v>
      </c>
      <c r="DO87" s="12">
        <v>0</v>
      </c>
      <c r="DP87" s="12">
        <v>0</v>
      </c>
      <c r="DQ87" s="12">
        <v>0</v>
      </c>
      <c r="DR87" s="12">
        <v>0</v>
      </c>
      <c r="DS87" s="12">
        <v>1</v>
      </c>
      <c r="DT87" s="12">
        <v>0</v>
      </c>
      <c r="DU87" s="12">
        <v>0</v>
      </c>
      <c r="DV87" s="12">
        <v>0</v>
      </c>
      <c r="DW87" s="12">
        <v>1</v>
      </c>
      <c r="DX87" s="12">
        <v>0</v>
      </c>
      <c r="DY87" s="12">
        <v>0</v>
      </c>
      <c r="DZ87" s="12">
        <v>0</v>
      </c>
      <c r="EA87" s="12">
        <v>0</v>
      </c>
      <c r="EB87" s="12">
        <v>1</v>
      </c>
      <c r="EC87" s="12">
        <v>0</v>
      </c>
      <c r="ED87" s="12">
        <v>1</v>
      </c>
      <c r="EE87" s="12">
        <v>1</v>
      </c>
      <c r="EF87" s="12">
        <v>0</v>
      </c>
      <c r="EG87" s="12">
        <v>0</v>
      </c>
      <c r="EH87" s="12">
        <v>1</v>
      </c>
      <c r="EI87" s="12">
        <v>0</v>
      </c>
      <c r="EJ87" s="12">
        <v>0</v>
      </c>
      <c r="EK87" s="12">
        <v>0</v>
      </c>
      <c r="EL87" s="12">
        <v>1</v>
      </c>
      <c r="EM87" s="12">
        <v>0</v>
      </c>
      <c r="EN87" s="12">
        <v>0</v>
      </c>
      <c r="EO87" s="12">
        <v>0</v>
      </c>
      <c r="EP87" s="12" t="str">
        <f t="shared" si="18"/>
        <v>🔵 Sobre promedio</v>
      </c>
      <c r="EQ87" s="23">
        <f t="shared" si="22"/>
        <v>0.29166666666666669</v>
      </c>
      <c r="ER87" s="19">
        <f t="shared" si="21"/>
        <v>3768.52</v>
      </c>
      <c r="ES87" s="12">
        <f t="shared" si="20"/>
        <v>7</v>
      </c>
      <c r="ET87" s="23">
        <f t="shared" si="19"/>
        <v>2.5</v>
      </c>
      <c r="EU87" s="23">
        <f t="shared" si="25"/>
        <v>2.5</v>
      </c>
      <c r="EV87" s="23">
        <f t="shared" si="23"/>
        <v>1.1100000000000001</v>
      </c>
      <c r="EW87" s="23"/>
      <c r="EX87" s="12">
        <v>28</v>
      </c>
      <c r="EY87" s="19" cm="1">
        <f t="array" ref="EY87:FC87">VLOOKUP(_xlfn.SINGLE(B:B),'[1]Price List'!$B:$N,{8,4,5,6,7},0)</f>
        <v>538.36</v>
      </c>
      <c r="EZ87" s="9" t="str">
        <v>Speck Smartshell for Mackbook Air 15" - Cozy Pink/Sweater Grey</v>
      </c>
      <c r="FA87" s="12" t="str">
        <v>Cases Macbook</v>
      </c>
      <c r="FB87" s="12" t="str">
        <v>Macbook</v>
      </c>
      <c r="FC87" s="12" t="str">
        <v>MacBook Air 15" M2/M3</v>
      </c>
      <c r="FD87" s="23" t="str">
        <f>_xlfn.XLOOKUP(B:B,'[1]Price List'!$B:$B,'[1]Price List'!$A:$A)</f>
        <v>Speck</v>
      </c>
    </row>
    <row r="88" spans="1:160" s="9" customFormat="1" x14ac:dyDescent="0.2">
      <c r="A88" s="23" t="s">
        <v>600</v>
      </c>
      <c r="B88" s="23">
        <v>840459607159</v>
      </c>
      <c r="C88" s="50" t="s">
        <v>560</v>
      </c>
      <c r="D88" s="9" t="s">
        <v>644</v>
      </c>
      <c r="E88" s="9" t="s">
        <v>477</v>
      </c>
      <c r="F88" s="9" t="s">
        <v>513</v>
      </c>
      <c r="G88" s="9" t="s">
        <v>513</v>
      </c>
      <c r="H88" s="12" t="s">
        <v>481</v>
      </c>
      <c r="I88" s="12">
        <v>999</v>
      </c>
      <c r="J88" s="11">
        <v>430.6</v>
      </c>
      <c r="K88" s="62">
        <v>0</v>
      </c>
      <c r="L88" s="12">
        <v>0</v>
      </c>
      <c r="M88" s="13" t="s">
        <v>467</v>
      </c>
      <c r="N88" s="13" t="s">
        <v>475</v>
      </c>
      <c r="O88" s="27">
        <v>46631</v>
      </c>
      <c r="P88" s="12">
        <v>0</v>
      </c>
      <c r="Q88" s="12">
        <v>0</v>
      </c>
      <c r="R88" s="12">
        <v>0</v>
      </c>
      <c r="S88" s="12">
        <v>0</v>
      </c>
      <c r="T88" s="12">
        <v>0</v>
      </c>
      <c r="U88" s="12">
        <v>0</v>
      </c>
      <c r="V88" s="12">
        <v>0</v>
      </c>
      <c r="W88" s="12">
        <v>0</v>
      </c>
      <c r="X88" s="12">
        <v>0</v>
      </c>
      <c r="Y88" s="12">
        <v>0</v>
      </c>
      <c r="Z88" s="12">
        <v>0</v>
      </c>
      <c r="AA88" s="12">
        <v>0</v>
      </c>
      <c r="AB88" s="12">
        <v>0</v>
      </c>
      <c r="AC88" s="12">
        <v>0</v>
      </c>
      <c r="AD88" s="12">
        <v>0</v>
      </c>
      <c r="AE88" s="12">
        <v>0</v>
      </c>
      <c r="AF88" s="12">
        <v>0</v>
      </c>
      <c r="AG88" s="12">
        <v>0</v>
      </c>
      <c r="AH88" s="12">
        <v>0</v>
      </c>
      <c r="AI88" s="12">
        <v>0</v>
      </c>
      <c r="AJ88" s="12">
        <v>0</v>
      </c>
      <c r="AK88" s="12">
        <v>0</v>
      </c>
      <c r="AL88" s="12">
        <v>0</v>
      </c>
      <c r="AM88" s="12">
        <v>0</v>
      </c>
      <c r="AN88" s="12">
        <v>0</v>
      </c>
      <c r="AO88" s="12">
        <v>0</v>
      </c>
      <c r="AP88" s="12">
        <v>0</v>
      </c>
      <c r="AQ88" s="12">
        <v>0</v>
      </c>
      <c r="AR88" s="12">
        <v>0</v>
      </c>
      <c r="AS88" s="12">
        <v>0</v>
      </c>
      <c r="AT88" s="12">
        <v>0</v>
      </c>
      <c r="AU88" s="12">
        <v>0</v>
      </c>
      <c r="AV88" s="12">
        <v>0</v>
      </c>
      <c r="AW88" s="12">
        <v>0</v>
      </c>
      <c r="AX88" s="12">
        <v>0</v>
      </c>
      <c r="AY88" s="12">
        <v>0</v>
      </c>
      <c r="AZ88" s="12">
        <v>0</v>
      </c>
      <c r="BA88" s="12">
        <v>0</v>
      </c>
      <c r="BB88" s="12">
        <v>0</v>
      </c>
      <c r="BC88" s="12">
        <v>0</v>
      </c>
      <c r="BD88" s="12">
        <v>0</v>
      </c>
      <c r="BE88" s="12">
        <v>0</v>
      </c>
      <c r="BF88" s="12">
        <v>0</v>
      </c>
      <c r="BG88" s="12">
        <v>0</v>
      </c>
      <c r="BH88" s="12">
        <v>0</v>
      </c>
      <c r="BI88" s="12">
        <v>0</v>
      </c>
      <c r="BJ88" s="12">
        <v>0</v>
      </c>
      <c r="BK88" s="12">
        <v>0</v>
      </c>
      <c r="BL88" s="12">
        <v>0</v>
      </c>
      <c r="BM88" s="12">
        <v>0</v>
      </c>
      <c r="BN88" s="12">
        <v>0</v>
      </c>
      <c r="BO88" s="12">
        <v>0</v>
      </c>
      <c r="BP88" s="12">
        <v>0</v>
      </c>
      <c r="BQ88" s="12">
        <v>0</v>
      </c>
      <c r="BR88" s="12">
        <v>0</v>
      </c>
      <c r="BS88" s="12">
        <v>0</v>
      </c>
      <c r="BT88" s="12">
        <v>0</v>
      </c>
      <c r="BU88" s="12">
        <v>0</v>
      </c>
      <c r="BV88" s="12">
        <v>0</v>
      </c>
      <c r="BW88" s="12">
        <v>0</v>
      </c>
      <c r="BX88" s="12">
        <v>0</v>
      </c>
      <c r="BY88" s="12">
        <v>0</v>
      </c>
      <c r="BZ88" s="12">
        <v>0</v>
      </c>
      <c r="CA88" s="12">
        <v>0</v>
      </c>
      <c r="CB88" s="12">
        <v>0</v>
      </c>
      <c r="CC88" s="12">
        <v>0</v>
      </c>
      <c r="CD88" s="12">
        <v>0</v>
      </c>
      <c r="CE88" s="12">
        <v>0</v>
      </c>
      <c r="CF88" s="12">
        <v>0</v>
      </c>
      <c r="CG88" s="12">
        <v>0</v>
      </c>
      <c r="CH88" s="12">
        <v>0</v>
      </c>
      <c r="CI88" s="12">
        <v>0</v>
      </c>
      <c r="CJ88" s="12">
        <v>0</v>
      </c>
      <c r="CK88" s="12">
        <v>0</v>
      </c>
      <c r="CL88" s="12">
        <v>0</v>
      </c>
      <c r="CM88" s="12">
        <v>0</v>
      </c>
      <c r="CN88" s="12">
        <v>0</v>
      </c>
      <c r="CO88" s="12">
        <v>0</v>
      </c>
      <c r="CP88" s="12">
        <v>0</v>
      </c>
      <c r="CQ88" s="12">
        <v>0</v>
      </c>
      <c r="CR88" s="12">
        <v>0</v>
      </c>
      <c r="CS88" s="12">
        <v>0</v>
      </c>
      <c r="CT88" s="12">
        <v>0</v>
      </c>
      <c r="CU88" s="12">
        <v>0</v>
      </c>
      <c r="CV88" s="12">
        <v>0</v>
      </c>
      <c r="CW88" s="12">
        <v>0</v>
      </c>
      <c r="CX88" s="12">
        <v>0</v>
      </c>
      <c r="CY88" s="12">
        <v>0</v>
      </c>
      <c r="CZ88" s="12">
        <v>0</v>
      </c>
      <c r="DA88" s="12">
        <v>16</v>
      </c>
      <c r="DB88" s="12">
        <v>13</v>
      </c>
      <c r="DC88" s="12">
        <v>9</v>
      </c>
      <c r="DD88" s="12">
        <v>4</v>
      </c>
      <c r="DE88" s="12">
        <v>2</v>
      </c>
      <c r="DF88" s="12">
        <v>3</v>
      </c>
      <c r="DG88" s="12">
        <v>2</v>
      </c>
      <c r="DH88" s="12">
        <v>7</v>
      </c>
      <c r="DI88" s="12">
        <v>2</v>
      </c>
      <c r="DJ88" s="12">
        <v>2</v>
      </c>
      <c r="DK88" s="12">
        <v>1</v>
      </c>
      <c r="DL88" s="12">
        <v>3</v>
      </c>
      <c r="DM88" s="12">
        <v>0</v>
      </c>
      <c r="DN88" s="12">
        <v>2</v>
      </c>
      <c r="DO88" s="12">
        <v>6</v>
      </c>
      <c r="DP88" s="12">
        <v>2</v>
      </c>
      <c r="DQ88" s="12">
        <v>0</v>
      </c>
      <c r="DR88" s="12">
        <v>0</v>
      </c>
      <c r="DS88" s="12">
        <v>1</v>
      </c>
      <c r="DT88" s="12">
        <v>1</v>
      </c>
      <c r="DU88" s="12">
        <v>2</v>
      </c>
      <c r="DV88" s="12">
        <v>1</v>
      </c>
      <c r="DW88" s="12">
        <v>4</v>
      </c>
      <c r="DX88" s="12">
        <v>0</v>
      </c>
      <c r="DY88" s="12">
        <v>5</v>
      </c>
      <c r="DZ88" s="12">
        <v>1</v>
      </c>
      <c r="EA88" s="12">
        <v>1</v>
      </c>
      <c r="EB88" s="12">
        <v>2</v>
      </c>
      <c r="EC88" s="12">
        <v>2</v>
      </c>
      <c r="ED88" s="12">
        <v>0</v>
      </c>
      <c r="EE88" s="12">
        <v>2</v>
      </c>
      <c r="EF88" s="12">
        <v>1</v>
      </c>
      <c r="EG88" s="12">
        <v>1</v>
      </c>
      <c r="EH88" s="12">
        <v>1</v>
      </c>
      <c r="EI88" s="12">
        <v>2</v>
      </c>
      <c r="EJ88" s="12">
        <v>2</v>
      </c>
      <c r="EK88" s="12">
        <v>4</v>
      </c>
      <c r="EL88" s="12">
        <v>1</v>
      </c>
      <c r="EM88" s="12">
        <v>5</v>
      </c>
      <c r="EN88" s="12">
        <v>9</v>
      </c>
      <c r="EO88" s="12">
        <v>2</v>
      </c>
      <c r="EP88" s="12" t="str">
        <f t="shared" si="18"/>
        <v>🟠 Bajo</v>
      </c>
      <c r="EQ88" s="23">
        <f t="shared" si="22"/>
        <v>1.7083333333333333</v>
      </c>
      <c r="ER88" s="19">
        <f t="shared" si="21"/>
        <v>22391.200000000001</v>
      </c>
      <c r="ES88" s="12">
        <f t="shared" si="20"/>
        <v>52</v>
      </c>
      <c r="ET88" s="23">
        <f t="shared" si="19"/>
        <v>24.5</v>
      </c>
      <c r="EU88" s="23">
        <f t="shared" si="25"/>
        <v>11.5</v>
      </c>
      <c r="EV88" s="23">
        <f t="shared" si="23"/>
        <v>5.78</v>
      </c>
      <c r="EW88" s="23">
        <f>SUM(DA88:EF88)</f>
        <v>97</v>
      </c>
      <c r="EX88" s="12">
        <v>197</v>
      </c>
      <c r="EY88" s="19" cm="1">
        <f t="array" ref="EY88:FC88">VLOOKUP(_xlfn.SINGLE(B:B),'[1]Price List'!$B:$N,{8,4,5,6,7},0)</f>
        <v>430.6</v>
      </c>
      <c r="EZ88" s="9" t="str">
        <v>Tech21 EvoClear + MS iPhone 17 iPhone 17 Air Clear</v>
      </c>
      <c r="FA88" s="12" t="str">
        <v>Cases iPhone</v>
      </c>
      <c r="FB88" s="12" t="str">
        <v>iPhone 17</v>
      </c>
      <c r="FC88" s="12" t="str">
        <v>iPhone 17 Air</v>
      </c>
      <c r="FD88" s="23" t="str">
        <f>_xlfn.XLOOKUP(B:B,'[1]Price List'!$B:$B,'[1]Price List'!$A:$A)</f>
        <v>Tech21</v>
      </c>
    </row>
    <row r="89" spans="1:160" s="9" customFormat="1" x14ac:dyDescent="0.2">
      <c r="A89" s="23" t="s">
        <v>600</v>
      </c>
      <c r="B89" s="23">
        <v>840459607524</v>
      </c>
      <c r="C89" s="50" t="s">
        <v>564</v>
      </c>
      <c r="D89" s="9" t="s">
        <v>644</v>
      </c>
      <c r="E89" s="9" t="s">
        <v>477</v>
      </c>
      <c r="F89" s="9" t="s">
        <v>513</v>
      </c>
      <c r="G89" s="9" t="s">
        <v>513</v>
      </c>
      <c r="H89" s="12" t="s">
        <v>485</v>
      </c>
      <c r="I89" s="12">
        <v>999</v>
      </c>
      <c r="J89" s="11">
        <v>430.6</v>
      </c>
      <c r="K89" s="62">
        <v>0</v>
      </c>
      <c r="L89" s="12">
        <v>0</v>
      </c>
      <c r="M89" s="13" t="s">
        <v>467</v>
      </c>
      <c r="N89" s="13" t="s">
        <v>475</v>
      </c>
      <c r="O89" s="27">
        <v>46631</v>
      </c>
      <c r="P89" s="12">
        <v>0</v>
      </c>
      <c r="Q89" s="12">
        <v>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  <c r="X89" s="12">
        <v>0</v>
      </c>
      <c r="Y89" s="12">
        <v>0</v>
      </c>
      <c r="Z89" s="12">
        <v>0</v>
      </c>
      <c r="AA89" s="12">
        <v>0</v>
      </c>
      <c r="AB89" s="12">
        <v>0</v>
      </c>
      <c r="AC89" s="12">
        <v>0</v>
      </c>
      <c r="AD89" s="12">
        <v>0</v>
      </c>
      <c r="AE89" s="12">
        <v>0</v>
      </c>
      <c r="AF89" s="12">
        <v>0</v>
      </c>
      <c r="AG89" s="12">
        <v>0</v>
      </c>
      <c r="AH89" s="12">
        <v>0</v>
      </c>
      <c r="AI89" s="12">
        <v>0</v>
      </c>
      <c r="AJ89" s="12">
        <v>0</v>
      </c>
      <c r="AK89" s="12">
        <v>0</v>
      </c>
      <c r="AL89" s="12">
        <v>0</v>
      </c>
      <c r="AM89" s="12">
        <v>0</v>
      </c>
      <c r="AN89" s="12">
        <v>0</v>
      </c>
      <c r="AO89" s="12">
        <v>0</v>
      </c>
      <c r="AP89" s="12">
        <v>0</v>
      </c>
      <c r="AQ89" s="12">
        <v>0</v>
      </c>
      <c r="AR89" s="12">
        <v>0</v>
      </c>
      <c r="AS89" s="12">
        <v>0</v>
      </c>
      <c r="AT89" s="12">
        <v>0</v>
      </c>
      <c r="AU89" s="12">
        <v>0</v>
      </c>
      <c r="AV89" s="12">
        <v>0</v>
      </c>
      <c r="AW89" s="12">
        <v>0</v>
      </c>
      <c r="AX89" s="12">
        <v>0</v>
      </c>
      <c r="AY89" s="12">
        <v>0</v>
      </c>
      <c r="AZ89" s="12">
        <v>0</v>
      </c>
      <c r="BA89" s="12">
        <v>0</v>
      </c>
      <c r="BB89" s="12">
        <v>0</v>
      </c>
      <c r="BC89" s="12">
        <v>0</v>
      </c>
      <c r="BD89" s="12">
        <v>0</v>
      </c>
      <c r="BE89" s="12">
        <v>0</v>
      </c>
      <c r="BF89" s="12">
        <v>0</v>
      </c>
      <c r="BG89" s="12">
        <v>0</v>
      </c>
      <c r="BH89" s="12">
        <v>0</v>
      </c>
      <c r="BI89" s="12">
        <v>0</v>
      </c>
      <c r="BJ89" s="12">
        <v>0</v>
      </c>
      <c r="BK89" s="12">
        <v>0</v>
      </c>
      <c r="BL89" s="12">
        <v>0</v>
      </c>
      <c r="BM89" s="12">
        <v>0</v>
      </c>
      <c r="BN89" s="12">
        <v>0</v>
      </c>
      <c r="BO89" s="12">
        <v>0</v>
      </c>
      <c r="BP89" s="12">
        <v>0</v>
      </c>
      <c r="BQ89" s="12">
        <v>0</v>
      </c>
      <c r="BR89" s="12">
        <v>0</v>
      </c>
      <c r="BS89" s="12">
        <v>0</v>
      </c>
      <c r="BT89" s="12">
        <v>0</v>
      </c>
      <c r="BU89" s="12">
        <v>0</v>
      </c>
      <c r="BV89" s="12">
        <v>0</v>
      </c>
      <c r="BW89" s="12">
        <v>0</v>
      </c>
      <c r="BX89" s="12">
        <v>0</v>
      </c>
      <c r="BY89" s="12">
        <v>0</v>
      </c>
      <c r="BZ89" s="12">
        <v>0</v>
      </c>
      <c r="CA89" s="12">
        <v>0</v>
      </c>
      <c r="CB89" s="12">
        <v>0</v>
      </c>
      <c r="CC89" s="12">
        <v>0</v>
      </c>
      <c r="CD89" s="12">
        <v>0</v>
      </c>
      <c r="CE89" s="12">
        <v>0</v>
      </c>
      <c r="CF89" s="12">
        <v>0</v>
      </c>
      <c r="CG89" s="12">
        <v>0</v>
      </c>
      <c r="CH89" s="12">
        <v>0</v>
      </c>
      <c r="CI89" s="12">
        <v>0</v>
      </c>
      <c r="CJ89" s="12">
        <v>0</v>
      </c>
      <c r="CK89" s="12">
        <v>0</v>
      </c>
      <c r="CL89" s="12">
        <v>0</v>
      </c>
      <c r="CM89" s="12">
        <v>0</v>
      </c>
      <c r="CN89" s="12">
        <v>0</v>
      </c>
      <c r="CO89" s="12">
        <v>0</v>
      </c>
      <c r="CP89" s="12">
        <v>0</v>
      </c>
      <c r="CQ89" s="12">
        <v>0</v>
      </c>
      <c r="CR89" s="12">
        <v>0</v>
      </c>
      <c r="CS89" s="12">
        <v>0</v>
      </c>
      <c r="CT89" s="12">
        <v>0</v>
      </c>
      <c r="CU89" s="12">
        <v>0</v>
      </c>
      <c r="CV89" s="12">
        <v>0</v>
      </c>
      <c r="CW89" s="12">
        <v>0</v>
      </c>
      <c r="CX89" s="12">
        <v>0</v>
      </c>
      <c r="CY89" s="12">
        <v>0</v>
      </c>
      <c r="CZ89" s="12">
        <v>0</v>
      </c>
      <c r="DA89" s="12">
        <v>6</v>
      </c>
      <c r="DB89" s="12">
        <v>9</v>
      </c>
      <c r="DC89" s="12">
        <v>4</v>
      </c>
      <c r="DD89" s="12">
        <v>0</v>
      </c>
      <c r="DE89" s="12">
        <v>3</v>
      </c>
      <c r="DF89" s="12">
        <v>2</v>
      </c>
      <c r="DG89" s="12">
        <v>2</v>
      </c>
      <c r="DH89" s="12">
        <v>1</v>
      </c>
      <c r="DI89" s="12">
        <v>1</v>
      </c>
      <c r="DJ89" s="12">
        <v>2</v>
      </c>
      <c r="DK89" s="12">
        <v>0</v>
      </c>
      <c r="DL89" s="12">
        <v>0</v>
      </c>
      <c r="DM89" s="12">
        <v>0</v>
      </c>
      <c r="DN89" s="12">
        <v>1</v>
      </c>
      <c r="DO89" s="12">
        <v>1</v>
      </c>
      <c r="DP89" s="12">
        <v>1</v>
      </c>
      <c r="DQ89" s="12">
        <v>0</v>
      </c>
      <c r="DR89" s="12">
        <v>0</v>
      </c>
      <c r="DS89" s="12">
        <v>2</v>
      </c>
      <c r="DT89" s="12">
        <v>2</v>
      </c>
      <c r="DU89" s="12">
        <v>2</v>
      </c>
      <c r="DV89" s="12">
        <v>1</v>
      </c>
      <c r="DW89" s="12">
        <v>1</v>
      </c>
      <c r="DX89" s="12">
        <v>2</v>
      </c>
      <c r="DY89" s="12">
        <v>0</v>
      </c>
      <c r="DZ89" s="12">
        <v>2</v>
      </c>
      <c r="EA89" s="12">
        <v>1</v>
      </c>
      <c r="EB89" s="12">
        <v>0</v>
      </c>
      <c r="EC89" s="12">
        <v>1</v>
      </c>
      <c r="ED89" s="12">
        <v>1</v>
      </c>
      <c r="EE89" s="12">
        <v>1</v>
      </c>
      <c r="EF89" s="12">
        <v>0</v>
      </c>
      <c r="EG89" s="12">
        <v>0</v>
      </c>
      <c r="EH89" s="12">
        <v>0</v>
      </c>
      <c r="EI89" s="12">
        <v>2</v>
      </c>
      <c r="EJ89" s="12">
        <v>1</v>
      </c>
      <c r="EK89" s="12">
        <v>2</v>
      </c>
      <c r="EL89" s="12">
        <v>1</v>
      </c>
      <c r="EM89" s="12">
        <v>0</v>
      </c>
      <c r="EN89" s="12">
        <v>2</v>
      </c>
      <c r="EO89" s="12">
        <v>0</v>
      </c>
      <c r="EP89" s="12" t="str">
        <f t="shared" si="18"/>
        <v>🟢 Bien</v>
      </c>
      <c r="EQ89" s="23">
        <f t="shared" si="22"/>
        <v>0.95833333333333337</v>
      </c>
      <c r="ER89" s="19">
        <f t="shared" si="21"/>
        <v>10765</v>
      </c>
      <c r="ES89" s="12">
        <f t="shared" si="20"/>
        <v>25</v>
      </c>
      <c r="ET89" s="23">
        <f t="shared" si="19"/>
        <v>13</v>
      </c>
      <c r="EU89" s="23">
        <f t="shared" si="25"/>
        <v>3</v>
      </c>
      <c r="EV89" s="23">
        <f t="shared" si="23"/>
        <v>3.78</v>
      </c>
      <c r="EW89" s="23">
        <f>SUM(DA89:EF89)</f>
        <v>49</v>
      </c>
      <c r="EX89" s="12">
        <v>227</v>
      </c>
      <c r="EY89" s="19" cm="1">
        <f t="array" ref="EY89:FC89">VLOOKUP(_xlfn.SINGLE(B:B),'[1]Price List'!$B:$N,{8,4,5,6,7},0)</f>
        <v>430.6</v>
      </c>
      <c r="EZ89" s="9" t="str">
        <v>Tech21 EvoCrystal iPhone 17 iPhone 17 Air Black</v>
      </c>
      <c r="FA89" s="12" t="str">
        <v>Cases iPhone</v>
      </c>
      <c r="FB89" s="12" t="str">
        <v>iPhone 17</v>
      </c>
      <c r="FC89" s="12" t="str">
        <v>iPhone 17 Air</v>
      </c>
      <c r="FD89" s="23" t="str">
        <f>_xlfn.XLOOKUP(B:B,'[1]Price List'!$B:$B,'[1]Price List'!$A:$A)</f>
        <v>Tech21</v>
      </c>
    </row>
    <row r="90" spans="1:160" s="9" customFormat="1" x14ac:dyDescent="0.2">
      <c r="A90" s="23" t="s">
        <v>599</v>
      </c>
      <c r="B90" s="23">
        <v>840168546800</v>
      </c>
      <c r="C90" s="50" t="s">
        <v>574</v>
      </c>
      <c r="D90" s="9" t="s">
        <v>644</v>
      </c>
      <c r="E90" s="9" t="s">
        <v>477</v>
      </c>
      <c r="F90" s="9" t="s">
        <v>513</v>
      </c>
      <c r="G90" s="9" t="s">
        <v>513</v>
      </c>
      <c r="H90" s="12" t="s">
        <v>495</v>
      </c>
      <c r="I90" s="12">
        <v>799</v>
      </c>
      <c r="J90" s="11">
        <v>309.95999999999998</v>
      </c>
      <c r="K90" s="62">
        <v>0</v>
      </c>
      <c r="L90" s="12">
        <v>0</v>
      </c>
      <c r="M90" s="13" t="s">
        <v>467</v>
      </c>
      <c r="N90" s="13" t="s">
        <v>475</v>
      </c>
      <c r="O90" s="27">
        <v>46631</v>
      </c>
      <c r="P90" s="12">
        <v>0</v>
      </c>
      <c r="Q90" s="12">
        <v>0</v>
      </c>
      <c r="R90" s="12">
        <v>0</v>
      </c>
      <c r="S90" s="12">
        <v>0</v>
      </c>
      <c r="T90" s="12">
        <v>0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2">
        <v>0</v>
      </c>
      <c r="AD90" s="12">
        <v>0</v>
      </c>
      <c r="AE90" s="12">
        <v>0</v>
      </c>
      <c r="AF90" s="12">
        <v>0</v>
      </c>
      <c r="AG90" s="12">
        <v>0</v>
      </c>
      <c r="AH90" s="12">
        <v>0</v>
      </c>
      <c r="AI90" s="12">
        <v>0</v>
      </c>
      <c r="AJ90" s="12">
        <v>0</v>
      </c>
      <c r="AK90" s="12">
        <v>0</v>
      </c>
      <c r="AL90" s="12">
        <v>0</v>
      </c>
      <c r="AM90" s="12">
        <v>0</v>
      </c>
      <c r="AN90" s="12">
        <v>0</v>
      </c>
      <c r="AO90" s="12">
        <v>0</v>
      </c>
      <c r="AP90" s="12">
        <v>0</v>
      </c>
      <c r="AQ90" s="12">
        <v>0</v>
      </c>
      <c r="AR90" s="12">
        <v>0</v>
      </c>
      <c r="AS90" s="12">
        <v>0</v>
      </c>
      <c r="AT90" s="12">
        <v>0</v>
      </c>
      <c r="AU90" s="12">
        <v>0</v>
      </c>
      <c r="AV90" s="12">
        <v>0</v>
      </c>
      <c r="AW90" s="12">
        <v>0</v>
      </c>
      <c r="AX90" s="12">
        <v>0</v>
      </c>
      <c r="AY90" s="12">
        <v>0</v>
      </c>
      <c r="AZ90" s="12">
        <v>0</v>
      </c>
      <c r="BA90" s="12">
        <v>0</v>
      </c>
      <c r="BB90" s="12">
        <v>0</v>
      </c>
      <c r="BC90" s="12">
        <v>0</v>
      </c>
      <c r="BD90" s="12">
        <v>0</v>
      </c>
      <c r="BE90" s="12">
        <v>0</v>
      </c>
      <c r="BF90" s="12">
        <v>0</v>
      </c>
      <c r="BG90" s="12">
        <v>0</v>
      </c>
      <c r="BH90" s="12">
        <v>0</v>
      </c>
      <c r="BI90" s="12">
        <v>0</v>
      </c>
      <c r="BJ90" s="12">
        <v>0</v>
      </c>
      <c r="BK90" s="12">
        <v>0</v>
      </c>
      <c r="BL90" s="12">
        <v>0</v>
      </c>
      <c r="BM90" s="12">
        <v>0</v>
      </c>
      <c r="BN90" s="12">
        <v>0</v>
      </c>
      <c r="BO90" s="12">
        <v>0</v>
      </c>
      <c r="BP90" s="12">
        <v>0</v>
      </c>
      <c r="BQ90" s="12">
        <v>0</v>
      </c>
      <c r="BR90" s="12">
        <v>0</v>
      </c>
      <c r="BS90" s="12">
        <v>0</v>
      </c>
      <c r="BT90" s="12">
        <v>0</v>
      </c>
      <c r="BU90" s="12">
        <v>0</v>
      </c>
      <c r="BV90" s="12">
        <v>0</v>
      </c>
      <c r="BW90" s="12">
        <v>0</v>
      </c>
      <c r="BX90" s="12">
        <v>0</v>
      </c>
      <c r="BY90" s="12">
        <v>0</v>
      </c>
      <c r="BZ90" s="12">
        <v>0</v>
      </c>
      <c r="CA90" s="12">
        <v>0</v>
      </c>
      <c r="CB90" s="12">
        <v>0</v>
      </c>
      <c r="CC90" s="12">
        <v>0</v>
      </c>
      <c r="CD90" s="12">
        <v>0</v>
      </c>
      <c r="CE90" s="12">
        <v>0</v>
      </c>
      <c r="CF90" s="12">
        <v>0</v>
      </c>
      <c r="CG90" s="12">
        <v>0</v>
      </c>
      <c r="CH90" s="12">
        <v>0</v>
      </c>
      <c r="CI90" s="12">
        <v>0</v>
      </c>
      <c r="CJ90" s="12">
        <v>0</v>
      </c>
      <c r="CK90" s="12">
        <v>0</v>
      </c>
      <c r="CL90" s="12">
        <v>0</v>
      </c>
      <c r="CM90" s="12">
        <v>0</v>
      </c>
      <c r="CN90" s="12">
        <v>0</v>
      </c>
      <c r="CO90" s="12">
        <v>0</v>
      </c>
      <c r="CP90" s="12">
        <v>0</v>
      </c>
      <c r="CQ90" s="12">
        <v>0</v>
      </c>
      <c r="CR90" s="12">
        <v>0</v>
      </c>
      <c r="CS90" s="12">
        <v>0</v>
      </c>
      <c r="CT90" s="12">
        <v>0</v>
      </c>
      <c r="CU90" s="12">
        <v>0</v>
      </c>
      <c r="CV90" s="12">
        <v>0</v>
      </c>
      <c r="CW90" s="12">
        <v>0</v>
      </c>
      <c r="CX90" s="12">
        <v>0</v>
      </c>
      <c r="CY90" s="12">
        <v>0</v>
      </c>
      <c r="CZ90" s="12">
        <v>0</v>
      </c>
      <c r="DA90" s="12">
        <v>7</v>
      </c>
      <c r="DB90" s="12">
        <v>8</v>
      </c>
      <c r="DC90" s="12">
        <v>4</v>
      </c>
      <c r="DD90" s="12">
        <v>1</v>
      </c>
      <c r="DE90" s="12">
        <v>0</v>
      </c>
      <c r="DF90" s="12">
        <v>3</v>
      </c>
      <c r="DG90" s="12">
        <v>3</v>
      </c>
      <c r="DH90" s="12">
        <v>3</v>
      </c>
      <c r="DI90" s="12">
        <v>1</v>
      </c>
      <c r="DJ90" s="12">
        <v>1</v>
      </c>
      <c r="DK90" s="12">
        <v>2</v>
      </c>
      <c r="DL90" s="12">
        <v>0</v>
      </c>
      <c r="DM90" s="12">
        <v>0</v>
      </c>
      <c r="DN90" s="12">
        <v>1</v>
      </c>
      <c r="DO90" s="12">
        <v>1</v>
      </c>
      <c r="DP90" s="12">
        <v>0</v>
      </c>
      <c r="DQ90" s="12">
        <v>0</v>
      </c>
      <c r="DR90" s="12">
        <v>0</v>
      </c>
      <c r="DS90" s="12">
        <v>1</v>
      </c>
      <c r="DT90" s="12">
        <v>1</v>
      </c>
      <c r="DU90" s="12">
        <v>2</v>
      </c>
      <c r="DV90" s="12">
        <v>1</v>
      </c>
      <c r="DW90" s="12">
        <v>0</v>
      </c>
      <c r="DX90" s="12">
        <v>0</v>
      </c>
      <c r="DY90" s="12">
        <v>1</v>
      </c>
      <c r="DZ90" s="12">
        <v>1</v>
      </c>
      <c r="EA90" s="12">
        <v>2</v>
      </c>
      <c r="EB90" s="12">
        <v>0</v>
      </c>
      <c r="EC90" s="12">
        <v>2</v>
      </c>
      <c r="ED90" s="12">
        <v>1</v>
      </c>
      <c r="EE90" s="12">
        <v>0</v>
      </c>
      <c r="EF90" s="12">
        <v>1</v>
      </c>
      <c r="EG90" s="12">
        <v>1</v>
      </c>
      <c r="EH90" s="12">
        <v>1</v>
      </c>
      <c r="EI90" s="12">
        <v>2</v>
      </c>
      <c r="EJ90" s="12">
        <v>1</v>
      </c>
      <c r="EK90" s="12">
        <v>2</v>
      </c>
      <c r="EL90" s="12">
        <v>0</v>
      </c>
      <c r="EM90" s="12">
        <v>1</v>
      </c>
      <c r="EN90" s="12">
        <v>2</v>
      </c>
      <c r="EO90" s="12">
        <v>1</v>
      </c>
      <c r="EP90" s="12" t="str">
        <f t="shared" si="18"/>
        <v>🔴 Sin venta</v>
      </c>
      <c r="EQ90" s="23">
        <f t="shared" si="22"/>
        <v>0.875</v>
      </c>
      <c r="ER90" s="19">
        <f t="shared" si="21"/>
        <v>7439.0399999999991</v>
      </c>
      <c r="ES90" s="12">
        <f t="shared" si="20"/>
        <v>24</v>
      </c>
      <c r="ET90" s="23">
        <f t="shared" si="19"/>
        <v>13</v>
      </c>
      <c r="EU90" s="23">
        <f t="shared" si="25"/>
        <v>4.5</v>
      </c>
      <c r="EV90" s="23">
        <f t="shared" si="23"/>
        <v>3.11</v>
      </c>
      <c r="EW90" s="23">
        <f>SUM(DA90:EF90)</f>
        <v>48</v>
      </c>
      <c r="EX90" s="12">
        <v>271</v>
      </c>
      <c r="EY90" s="19" cm="1">
        <f t="array" ref="EY90:FC90">VLOOKUP(_xlfn.SINGLE(B:B),'[1]Price List'!$B:$N,{8,4,5,6,7},0)</f>
        <v>309.95999999999998</v>
      </c>
      <c r="EZ90" s="9" t="str">
        <v>Speck Gemshell Grip + MS iPhone 17 iPhone 17 Air Clear</v>
      </c>
      <c r="FA90" s="12" t="str">
        <v>Cases iPhone</v>
      </c>
      <c r="FB90" s="12" t="str">
        <v>iPhone 17</v>
      </c>
      <c r="FC90" s="12" t="str">
        <v xml:space="preserve"> iPhone 17 Air</v>
      </c>
      <c r="FD90" s="23" t="str">
        <f>_xlfn.XLOOKUP(B:B,'[1]Price List'!$B:$B,'[1]Price List'!$A:$A)</f>
        <v>Speck</v>
      </c>
    </row>
    <row r="91" spans="1:160" s="9" customFormat="1" x14ac:dyDescent="0.2">
      <c r="A91" s="23" t="s">
        <v>599</v>
      </c>
      <c r="B91" s="23">
        <v>840168546282</v>
      </c>
      <c r="C91" s="50" t="s">
        <v>579</v>
      </c>
      <c r="D91" s="9" t="s">
        <v>644</v>
      </c>
      <c r="E91" s="9" t="s">
        <v>477</v>
      </c>
      <c r="F91" s="9" t="s">
        <v>513</v>
      </c>
      <c r="G91" s="9" t="s">
        <v>513</v>
      </c>
      <c r="H91" s="12" t="s">
        <v>500</v>
      </c>
      <c r="I91" s="12">
        <v>999</v>
      </c>
      <c r="J91" s="11">
        <v>387.54</v>
      </c>
      <c r="K91" s="62">
        <v>0</v>
      </c>
      <c r="L91" s="12">
        <v>0</v>
      </c>
      <c r="M91" s="13" t="s">
        <v>467</v>
      </c>
      <c r="N91" s="13" t="s">
        <v>475</v>
      </c>
      <c r="O91" s="27">
        <v>46631</v>
      </c>
      <c r="P91" s="12">
        <v>0</v>
      </c>
      <c r="Q91" s="12">
        <v>0</v>
      </c>
      <c r="R91" s="12">
        <v>0</v>
      </c>
      <c r="S91" s="12">
        <v>0</v>
      </c>
      <c r="T91" s="12">
        <v>0</v>
      </c>
      <c r="U91" s="12">
        <v>0</v>
      </c>
      <c r="V91" s="12">
        <v>0</v>
      </c>
      <c r="W91" s="12">
        <v>0</v>
      </c>
      <c r="X91" s="12">
        <v>0</v>
      </c>
      <c r="Y91" s="12">
        <v>0</v>
      </c>
      <c r="Z91" s="12">
        <v>0</v>
      </c>
      <c r="AA91" s="12">
        <v>0</v>
      </c>
      <c r="AB91" s="12">
        <v>0</v>
      </c>
      <c r="AC91" s="12">
        <v>0</v>
      </c>
      <c r="AD91" s="12">
        <v>0</v>
      </c>
      <c r="AE91" s="12">
        <v>0</v>
      </c>
      <c r="AF91" s="12">
        <v>0</v>
      </c>
      <c r="AG91" s="12">
        <v>0</v>
      </c>
      <c r="AH91" s="12">
        <v>0</v>
      </c>
      <c r="AI91" s="12">
        <v>0</v>
      </c>
      <c r="AJ91" s="12">
        <v>0</v>
      </c>
      <c r="AK91" s="12">
        <v>0</v>
      </c>
      <c r="AL91" s="12">
        <v>0</v>
      </c>
      <c r="AM91" s="12">
        <v>0</v>
      </c>
      <c r="AN91" s="12">
        <v>0</v>
      </c>
      <c r="AO91" s="12">
        <v>0</v>
      </c>
      <c r="AP91" s="12">
        <v>0</v>
      </c>
      <c r="AQ91" s="12">
        <v>0</v>
      </c>
      <c r="AR91" s="12">
        <v>0</v>
      </c>
      <c r="AS91" s="12">
        <v>0</v>
      </c>
      <c r="AT91" s="12">
        <v>0</v>
      </c>
      <c r="AU91" s="12">
        <v>0</v>
      </c>
      <c r="AV91" s="12">
        <v>0</v>
      </c>
      <c r="AW91" s="12">
        <v>0</v>
      </c>
      <c r="AX91" s="12">
        <v>0</v>
      </c>
      <c r="AY91" s="12">
        <v>0</v>
      </c>
      <c r="AZ91" s="12">
        <v>0</v>
      </c>
      <c r="BA91" s="12">
        <v>0</v>
      </c>
      <c r="BB91" s="12">
        <v>0</v>
      </c>
      <c r="BC91" s="12">
        <v>0</v>
      </c>
      <c r="BD91" s="12">
        <v>0</v>
      </c>
      <c r="BE91" s="12">
        <v>0</v>
      </c>
      <c r="BF91" s="12">
        <v>0</v>
      </c>
      <c r="BG91" s="12">
        <v>0</v>
      </c>
      <c r="BH91" s="12">
        <v>0</v>
      </c>
      <c r="BI91" s="12">
        <v>0</v>
      </c>
      <c r="BJ91" s="12">
        <v>0</v>
      </c>
      <c r="BK91" s="12">
        <v>0</v>
      </c>
      <c r="BL91" s="12">
        <v>0</v>
      </c>
      <c r="BM91" s="12">
        <v>0</v>
      </c>
      <c r="BN91" s="12">
        <v>0</v>
      </c>
      <c r="BO91" s="12">
        <v>0</v>
      </c>
      <c r="BP91" s="12">
        <v>0</v>
      </c>
      <c r="BQ91" s="12">
        <v>0</v>
      </c>
      <c r="BR91" s="12">
        <v>0</v>
      </c>
      <c r="BS91" s="12">
        <v>0</v>
      </c>
      <c r="BT91" s="12">
        <v>0</v>
      </c>
      <c r="BU91" s="12">
        <v>0</v>
      </c>
      <c r="BV91" s="12">
        <v>0</v>
      </c>
      <c r="BW91" s="12">
        <v>0</v>
      </c>
      <c r="BX91" s="12">
        <v>0</v>
      </c>
      <c r="BY91" s="12">
        <v>0</v>
      </c>
      <c r="BZ91" s="12">
        <v>0</v>
      </c>
      <c r="CA91" s="12">
        <v>0</v>
      </c>
      <c r="CB91" s="12">
        <v>0</v>
      </c>
      <c r="CC91" s="12">
        <v>0</v>
      </c>
      <c r="CD91" s="12">
        <v>0</v>
      </c>
      <c r="CE91" s="12">
        <v>0</v>
      </c>
      <c r="CF91" s="12">
        <v>0</v>
      </c>
      <c r="CG91" s="12">
        <v>0</v>
      </c>
      <c r="CH91" s="12">
        <v>0</v>
      </c>
      <c r="CI91" s="12">
        <v>0</v>
      </c>
      <c r="CJ91" s="12">
        <v>0</v>
      </c>
      <c r="CK91" s="12">
        <v>0</v>
      </c>
      <c r="CL91" s="12">
        <v>0</v>
      </c>
      <c r="CM91" s="12">
        <v>0</v>
      </c>
      <c r="CN91" s="12">
        <v>0</v>
      </c>
      <c r="CO91" s="12">
        <v>0</v>
      </c>
      <c r="CP91" s="12">
        <v>0</v>
      </c>
      <c r="CQ91" s="12">
        <v>0</v>
      </c>
      <c r="CR91" s="12">
        <v>0</v>
      </c>
      <c r="CS91" s="12">
        <v>0</v>
      </c>
      <c r="CT91" s="12">
        <v>0</v>
      </c>
      <c r="CU91" s="12">
        <v>0</v>
      </c>
      <c r="CV91" s="12">
        <v>0</v>
      </c>
      <c r="CW91" s="12">
        <v>0</v>
      </c>
      <c r="CX91" s="12">
        <v>0</v>
      </c>
      <c r="CY91" s="12">
        <v>0</v>
      </c>
      <c r="CZ91" s="12">
        <v>0</v>
      </c>
      <c r="DA91" s="12">
        <v>5</v>
      </c>
      <c r="DB91" s="12">
        <v>8</v>
      </c>
      <c r="DC91" s="12">
        <v>5</v>
      </c>
      <c r="DD91" s="12">
        <v>4</v>
      </c>
      <c r="DE91" s="12">
        <v>4</v>
      </c>
      <c r="DF91" s="12">
        <v>4</v>
      </c>
      <c r="DG91" s="12">
        <v>4</v>
      </c>
      <c r="DH91" s="12">
        <v>3</v>
      </c>
      <c r="DI91" s="12">
        <v>3</v>
      </c>
      <c r="DJ91" s="12">
        <v>5</v>
      </c>
      <c r="DK91" s="12">
        <v>2</v>
      </c>
      <c r="DL91" s="12">
        <v>2</v>
      </c>
      <c r="DM91" s="12">
        <v>2</v>
      </c>
      <c r="DN91" s="12">
        <v>1</v>
      </c>
      <c r="DO91" s="12">
        <v>2</v>
      </c>
      <c r="DP91" s="12">
        <v>2</v>
      </c>
      <c r="DQ91" s="12">
        <v>0</v>
      </c>
      <c r="DR91" s="12">
        <v>0</v>
      </c>
      <c r="DS91" s="12">
        <v>1</v>
      </c>
      <c r="DT91" s="12">
        <v>4</v>
      </c>
      <c r="DU91" s="12">
        <v>4</v>
      </c>
      <c r="DV91" s="12">
        <v>1</v>
      </c>
      <c r="DW91" s="12">
        <v>2</v>
      </c>
      <c r="DX91" s="12">
        <v>0</v>
      </c>
      <c r="DY91" s="12">
        <v>0</v>
      </c>
      <c r="DZ91" s="12">
        <v>1</v>
      </c>
      <c r="EA91" s="12">
        <v>0</v>
      </c>
      <c r="EB91" s="12">
        <v>2</v>
      </c>
      <c r="EC91" s="12">
        <v>3</v>
      </c>
      <c r="ED91" s="12">
        <v>4</v>
      </c>
      <c r="EE91" s="12">
        <v>1</v>
      </c>
      <c r="EF91" s="12">
        <v>3</v>
      </c>
      <c r="EG91" s="12">
        <v>0</v>
      </c>
      <c r="EH91" s="12">
        <v>2</v>
      </c>
      <c r="EI91" s="12">
        <v>0</v>
      </c>
      <c r="EJ91" s="12">
        <v>3</v>
      </c>
      <c r="EK91" s="12">
        <v>1</v>
      </c>
      <c r="EL91" s="12">
        <v>2</v>
      </c>
      <c r="EM91" s="12">
        <v>6</v>
      </c>
      <c r="EN91" s="12">
        <v>0</v>
      </c>
      <c r="EO91" s="12">
        <v>0</v>
      </c>
      <c r="EP91" s="12" t="str">
        <f t="shared" si="18"/>
        <v>🟢 Bien</v>
      </c>
      <c r="EQ91" s="23">
        <f t="shared" si="22"/>
        <v>1.75</v>
      </c>
      <c r="ER91" s="19">
        <f t="shared" si="21"/>
        <v>16276.68</v>
      </c>
      <c r="ES91" s="12">
        <f t="shared" si="20"/>
        <v>42</v>
      </c>
      <c r="ET91" s="23">
        <f t="shared" si="19"/>
        <v>17</v>
      </c>
      <c r="EU91" s="23">
        <f t="shared" si="25"/>
        <v>10</v>
      </c>
      <c r="EV91" s="23">
        <f t="shared" si="23"/>
        <v>6.22</v>
      </c>
      <c r="EW91" s="23">
        <f>SUM(DA91:EF91)</f>
        <v>82</v>
      </c>
      <c r="EX91" s="12">
        <v>138</v>
      </c>
      <c r="EY91" s="19" cm="1">
        <f t="array" ref="EY91:FC91">VLOOKUP(_xlfn.SINGLE(B:B),'[1]Price List'!$B:$N,{8,4,5,6,7},0)</f>
        <v>387.54</v>
      </c>
      <c r="EZ91" s="9" t="str">
        <v>Speck Presidio2 Grip + MS iPhone 17 iPhone 17 Air Black</v>
      </c>
      <c r="FA91" s="12" t="str">
        <v>Cases iPhone</v>
      </c>
      <c r="FB91" s="12" t="str">
        <v>iPhone 17</v>
      </c>
      <c r="FC91" s="12" t="str">
        <v>iPhone 17 Air</v>
      </c>
      <c r="FD91" s="23" t="str">
        <f>_xlfn.XLOOKUP(B:B,'[1]Price List'!$B:$B,'[1]Price List'!$A:$A)</f>
        <v>Speck</v>
      </c>
    </row>
    <row r="92" spans="1:160" s="9" customFormat="1" x14ac:dyDescent="0.2">
      <c r="A92" s="23" t="s">
        <v>600</v>
      </c>
      <c r="B92" s="28">
        <v>5056586724217</v>
      </c>
      <c r="C92" s="9" t="s">
        <v>547</v>
      </c>
      <c r="D92" s="9" t="s">
        <v>644</v>
      </c>
      <c r="E92" s="9" t="s">
        <v>623</v>
      </c>
      <c r="F92" s="9" t="s">
        <v>623</v>
      </c>
      <c r="G92" s="9" t="s">
        <v>685</v>
      </c>
      <c r="H92" s="28" t="s">
        <v>461</v>
      </c>
      <c r="I92" s="29">
        <v>499</v>
      </c>
      <c r="J92" s="11">
        <v>215.09</v>
      </c>
      <c r="K92" s="62">
        <v>0</v>
      </c>
      <c r="L92" s="12">
        <v>0</v>
      </c>
      <c r="M92" s="31" t="s">
        <v>467</v>
      </c>
      <c r="N92" s="31" t="s">
        <v>475</v>
      </c>
      <c r="O92" s="27"/>
      <c r="P92" s="12">
        <v>0</v>
      </c>
      <c r="Q92" s="12">
        <v>0</v>
      </c>
      <c r="R92" s="12">
        <v>0</v>
      </c>
      <c r="S92" s="12">
        <v>0</v>
      </c>
      <c r="T92" s="12">
        <v>0</v>
      </c>
      <c r="U92" s="12">
        <v>0</v>
      </c>
      <c r="V92" s="12">
        <v>0</v>
      </c>
      <c r="W92" s="12">
        <v>0</v>
      </c>
      <c r="X92" s="12">
        <v>0</v>
      </c>
      <c r="Y92" s="12">
        <v>0</v>
      </c>
      <c r="Z92" s="12">
        <v>0</v>
      </c>
      <c r="AA92" s="12">
        <v>0</v>
      </c>
      <c r="AB92" s="12">
        <v>0</v>
      </c>
      <c r="AC92" s="12">
        <v>0</v>
      </c>
      <c r="AD92" s="12">
        <v>0</v>
      </c>
      <c r="AE92" s="12">
        <v>0</v>
      </c>
      <c r="AF92" s="12">
        <v>0</v>
      </c>
      <c r="AG92" s="12">
        <v>0</v>
      </c>
      <c r="AH92" s="12">
        <v>0</v>
      </c>
      <c r="AI92" s="12">
        <v>0</v>
      </c>
      <c r="AJ92" s="12">
        <v>0</v>
      </c>
      <c r="AK92" s="12">
        <v>0</v>
      </c>
      <c r="AL92" s="12">
        <v>0</v>
      </c>
      <c r="AM92" s="12">
        <v>0</v>
      </c>
      <c r="AN92" s="12">
        <v>0</v>
      </c>
      <c r="AO92" s="12">
        <v>0</v>
      </c>
      <c r="AP92" s="12">
        <v>0</v>
      </c>
      <c r="AQ92" s="12">
        <v>0</v>
      </c>
      <c r="AR92" s="12">
        <v>0</v>
      </c>
      <c r="AS92" s="12">
        <v>0</v>
      </c>
      <c r="AT92" s="12">
        <v>0</v>
      </c>
      <c r="AU92" s="12">
        <v>0</v>
      </c>
      <c r="AV92" s="12">
        <v>0</v>
      </c>
      <c r="AW92" s="12">
        <v>0</v>
      </c>
      <c r="AX92" s="12">
        <v>0</v>
      </c>
      <c r="AY92" s="12">
        <v>0</v>
      </c>
      <c r="AZ92" s="12">
        <v>0</v>
      </c>
      <c r="BA92" s="12">
        <v>0</v>
      </c>
      <c r="BB92" s="12">
        <v>0</v>
      </c>
      <c r="BC92" s="12">
        <v>0</v>
      </c>
      <c r="BD92" s="12">
        <v>0</v>
      </c>
      <c r="BE92" s="12">
        <v>0</v>
      </c>
      <c r="BF92" s="12">
        <v>0</v>
      </c>
      <c r="BG92" s="12">
        <v>0</v>
      </c>
      <c r="BH92" s="12">
        <v>0</v>
      </c>
      <c r="BI92" s="12">
        <v>0</v>
      </c>
      <c r="BJ92" s="12">
        <v>0</v>
      </c>
      <c r="BK92" s="12">
        <v>0</v>
      </c>
      <c r="BL92" s="12">
        <v>0</v>
      </c>
      <c r="BM92" s="12">
        <v>0</v>
      </c>
      <c r="BN92" s="12">
        <v>0</v>
      </c>
      <c r="BO92" s="12">
        <v>0</v>
      </c>
      <c r="BP92" s="12">
        <v>0</v>
      </c>
      <c r="BQ92" s="12">
        <v>0</v>
      </c>
      <c r="BR92" s="12">
        <v>0</v>
      </c>
      <c r="BS92" s="12">
        <v>0</v>
      </c>
      <c r="BT92" s="12">
        <v>0</v>
      </c>
      <c r="BU92" s="12">
        <v>0</v>
      </c>
      <c r="BV92" s="12">
        <v>0</v>
      </c>
      <c r="BW92" s="12">
        <v>0</v>
      </c>
      <c r="BX92" s="12">
        <v>0</v>
      </c>
      <c r="BY92" s="12">
        <v>0</v>
      </c>
      <c r="BZ92" s="12">
        <v>0</v>
      </c>
      <c r="CA92" s="12">
        <v>7</v>
      </c>
      <c r="CB92" s="12">
        <v>12</v>
      </c>
      <c r="CC92" s="12">
        <v>6</v>
      </c>
      <c r="CD92" s="12">
        <v>9</v>
      </c>
      <c r="CE92" s="12">
        <v>5</v>
      </c>
      <c r="CF92" s="12">
        <v>5</v>
      </c>
      <c r="CG92" s="12">
        <v>3</v>
      </c>
      <c r="CH92" s="12">
        <v>8</v>
      </c>
      <c r="CI92" s="12">
        <v>13</v>
      </c>
      <c r="CJ92" s="12">
        <v>10</v>
      </c>
      <c r="CK92" s="12">
        <v>10</v>
      </c>
      <c r="CL92" s="12">
        <v>14</v>
      </c>
      <c r="CM92" s="12">
        <v>12</v>
      </c>
      <c r="CN92" s="12">
        <v>0</v>
      </c>
      <c r="CO92" s="12">
        <v>8</v>
      </c>
      <c r="CP92" s="12">
        <v>3</v>
      </c>
      <c r="CQ92" s="12">
        <v>3</v>
      </c>
      <c r="CR92" s="12">
        <v>8</v>
      </c>
      <c r="CS92" s="12">
        <v>8</v>
      </c>
      <c r="CT92" s="12">
        <v>13</v>
      </c>
      <c r="CU92" s="12">
        <v>13</v>
      </c>
      <c r="CV92" s="12">
        <v>10</v>
      </c>
      <c r="CW92" s="12">
        <v>7</v>
      </c>
      <c r="CX92" s="12">
        <v>9</v>
      </c>
      <c r="CY92" s="12">
        <v>14</v>
      </c>
      <c r="CZ92" s="12">
        <v>3</v>
      </c>
      <c r="DA92" s="12">
        <v>4</v>
      </c>
      <c r="DB92" s="12">
        <v>6</v>
      </c>
      <c r="DC92" s="12">
        <v>9</v>
      </c>
      <c r="DD92" s="12">
        <v>3</v>
      </c>
      <c r="DE92" s="12">
        <v>8</v>
      </c>
      <c r="DF92" s="12">
        <v>9</v>
      </c>
      <c r="DG92" s="12">
        <v>9</v>
      </c>
      <c r="DH92" s="12">
        <v>11</v>
      </c>
      <c r="DI92" s="12">
        <v>9</v>
      </c>
      <c r="DJ92" s="12">
        <v>5</v>
      </c>
      <c r="DK92" s="12">
        <v>3</v>
      </c>
      <c r="DL92" s="12">
        <v>12</v>
      </c>
      <c r="DM92" s="12">
        <v>9</v>
      </c>
      <c r="DN92" s="12">
        <v>10</v>
      </c>
      <c r="DO92" s="12">
        <v>8</v>
      </c>
      <c r="DP92" s="12">
        <v>4</v>
      </c>
      <c r="DQ92" s="12">
        <v>8</v>
      </c>
      <c r="DR92" s="12">
        <v>2</v>
      </c>
      <c r="DS92" s="12">
        <v>3</v>
      </c>
      <c r="DT92" s="12">
        <v>4</v>
      </c>
      <c r="DU92" s="12">
        <v>1</v>
      </c>
      <c r="DV92" s="12">
        <v>5</v>
      </c>
      <c r="DW92" s="12">
        <v>2</v>
      </c>
      <c r="DX92" s="12">
        <v>0</v>
      </c>
      <c r="DY92" s="12">
        <v>1</v>
      </c>
      <c r="DZ92" s="12">
        <v>0</v>
      </c>
      <c r="EA92" s="12">
        <v>1</v>
      </c>
      <c r="EB92" s="12">
        <v>0</v>
      </c>
      <c r="EC92" s="12">
        <v>1</v>
      </c>
      <c r="ED92" s="12">
        <v>0</v>
      </c>
      <c r="EE92" s="12">
        <v>3</v>
      </c>
      <c r="EF92" s="12">
        <v>1</v>
      </c>
      <c r="EG92" s="12">
        <v>0</v>
      </c>
      <c r="EH92" s="12">
        <v>0</v>
      </c>
      <c r="EI92" s="12">
        <v>0</v>
      </c>
      <c r="EJ92" s="12">
        <v>1</v>
      </c>
      <c r="EK92" s="12">
        <v>0</v>
      </c>
      <c r="EL92" s="12">
        <v>3</v>
      </c>
      <c r="EM92" s="12">
        <v>0</v>
      </c>
      <c r="EN92" s="12">
        <v>3</v>
      </c>
      <c r="EO92" s="12">
        <v>0</v>
      </c>
      <c r="EP92" s="12" t="str">
        <f>IF(EL92=0,"🔴 Sin venta",IF(EL92&lt;EQ129*0.8,"🟠 Bajo",IF(EL129&lt;=EQ92*1.2,"🟢 Bien","🔵 Sobre promedio")))</f>
        <v>🟢 Bien</v>
      </c>
      <c r="EQ92" s="23">
        <f t="shared" si="22"/>
        <v>1.6666666666666667</v>
      </c>
      <c r="ER92" s="19">
        <f t="shared" si="21"/>
        <v>9248.8700000000008</v>
      </c>
      <c r="ES92" s="12">
        <f t="shared" si="20"/>
        <v>43</v>
      </c>
      <c r="ET92" s="23">
        <f t="shared" si="19"/>
        <v>25.5</v>
      </c>
      <c r="EU92" s="23">
        <f t="shared" si="25"/>
        <v>33.5</v>
      </c>
      <c r="EV92" s="23">
        <f t="shared" si="23"/>
        <v>8</v>
      </c>
      <c r="EW92" s="23"/>
      <c r="EX92" s="12">
        <v>8</v>
      </c>
      <c r="EY92" s="19" cm="1">
        <f t="array" ref="EY92:FC92">VLOOKUP(_xlfn.SINGLE(B:B),'[1]Price List'!$B:$N,{8,4,5,6,7},0)</f>
        <v>215.09</v>
      </c>
      <c r="EZ92" s="9" t="str">
        <v>Tech21 EvoLite for iPhone 15 - Soft Pink</v>
      </c>
      <c r="FA92" s="12" t="str">
        <v>Cases iPhone</v>
      </c>
      <c r="FB92" s="12" t="str">
        <v>iPhone 15</v>
      </c>
      <c r="FC92" s="12" t="str">
        <v>iPhone 16e / 15 / 14 / 13</v>
      </c>
      <c r="FD92" s="23" t="str">
        <f>_xlfn.XLOOKUP(B:B,'[1]Price List'!$B:$B,'[1]Price List'!$A:$A)</f>
        <v>Tech21</v>
      </c>
    </row>
    <row r="93" spans="1:160" s="9" customFormat="1" x14ac:dyDescent="0.2">
      <c r="A93" s="23" t="s">
        <v>600</v>
      </c>
      <c r="B93" s="28">
        <v>5056586724217</v>
      </c>
      <c r="C93" s="9" t="s">
        <v>547</v>
      </c>
      <c r="D93" s="9" t="e">
        <v>#N/A</v>
      </c>
      <c r="E93" s="30" t="e">
        <v>#N/A</v>
      </c>
      <c r="F93" s="30" t="e">
        <v>#N/A</v>
      </c>
      <c r="G93" s="9" t="e">
        <v>#N/A</v>
      </c>
      <c r="H93" s="28" t="s">
        <v>514</v>
      </c>
      <c r="I93" s="29">
        <v>499</v>
      </c>
      <c r="J93" s="11">
        <v>215.09</v>
      </c>
      <c r="K93" s="62">
        <v>0</v>
      </c>
      <c r="L93" s="12">
        <v>0</v>
      </c>
      <c r="M93" s="13" t="s">
        <v>467</v>
      </c>
      <c r="N93" s="13" t="s">
        <v>475</v>
      </c>
      <c r="O93" s="27"/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2">
        <v>0</v>
      </c>
      <c r="AD93" s="12">
        <v>0</v>
      </c>
      <c r="AE93" s="12">
        <v>0</v>
      </c>
      <c r="AF93" s="12">
        <v>0</v>
      </c>
      <c r="AG93" s="12">
        <v>0</v>
      </c>
      <c r="AH93" s="12">
        <v>0</v>
      </c>
      <c r="AI93" s="12">
        <v>0</v>
      </c>
      <c r="AJ93" s="12">
        <v>0</v>
      </c>
      <c r="AK93" s="12">
        <v>0</v>
      </c>
      <c r="AL93" s="12">
        <v>0</v>
      </c>
      <c r="AM93" s="12">
        <v>0</v>
      </c>
      <c r="AN93" s="12">
        <v>0</v>
      </c>
      <c r="AO93" s="12">
        <v>0</v>
      </c>
      <c r="AP93" s="12">
        <v>0</v>
      </c>
      <c r="AQ93" s="12">
        <v>0</v>
      </c>
      <c r="AR93" s="12">
        <v>0</v>
      </c>
      <c r="AS93" s="12">
        <v>0</v>
      </c>
      <c r="AT93" s="12">
        <v>0</v>
      </c>
      <c r="AU93" s="12">
        <v>0</v>
      </c>
      <c r="AV93" s="12">
        <v>0</v>
      </c>
      <c r="AW93" s="12">
        <v>0</v>
      </c>
      <c r="AX93" s="12">
        <v>0</v>
      </c>
      <c r="AY93" s="12">
        <v>0</v>
      </c>
      <c r="AZ93" s="12">
        <v>0</v>
      </c>
      <c r="BA93" s="12">
        <v>0</v>
      </c>
      <c r="BB93" s="12">
        <v>0</v>
      </c>
      <c r="BC93" s="12">
        <v>0</v>
      </c>
      <c r="BD93" s="12">
        <v>0</v>
      </c>
      <c r="BE93" s="12">
        <v>0</v>
      </c>
      <c r="BF93" s="12">
        <v>0</v>
      </c>
      <c r="BG93" s="12">
        <v>0</v>
      </c>
      <c r="BH93" s="12">
        <v>0</v>
      </c>
      <c r="BI93" s="12">
        <v>0</v>
      </c>
      <c r="BJ93" s="12">
        <v>0</v>
      </c>
      <c r="BK93" s="12">
        <v>0</v>
      </c>
      <c r="BL93" s="12">
        <v>0</v>
      </c>
      <c r="BM93" s="12">
        <v>0</v>
      </c>
      <c r="BN93" s="12">
        <v>0</v>
      </c>
      <c r="BO93" s="12">
        <v>0</v>
      </c>
      <c r="BP93" s="12">
        <v>0</v>
      </c>
      <c r="BQ93" s="12">
        <v>0</v>
      </c>
      <c r="BR93" s="12">
        <v>0</v>
      </c>
      <c r="BS93" s="12">
        <v>0</v>
      </c>
      <c r="BT93" s="12">
        <v>0</v>
      </c>
      <c r="BU93" s="12">
        <v>0</v>
      </c>
      <c r="BV93" s="12">
        <v>0</v>
      </c>
      <c r="BW93" s="12">
        <v>0</v>
      </c>
      <c r="BX93" s="12">
        <v>0</v>
      </c>
      <c r="BY93" s="12">
        <v>0</v>
      </c>
      <c r="BZ93" s="12">
        <v>0</v>
      </c>
      <c r="CA93" s="12">
        <v>0</v>
      </c>
      <c r="CB93" s="12">
        <v>0</v>
      </c>
      <c r="CC93" s="12">
        <v>0</v>
      </c>
      <c r="CD93" s="12">
        <v>0</v>
      </c>
      <c r="CE93" s="12">
        <v>0</v>
      </c>
      <c r="CF93" s="12">
        <v>0</v>
      </c>
      <c r="CG93" s="12">
        <v>0</v>
      </c>
      <c r="CH93" s="12">
        <v>0</v>
      </c>
      <c r="CI93" s="12">
        <v>0</v>
      </c>
      <c r="CJ93" s="12">
        <v>0</v>
      </c>
      <c r="CK93" s="12">
        <v>0</v>
      </c>
      <c r="CL93" s="12">
        <v>0</v>
      </c>
      <c r="CM93" s="12">
        <v>0</v>
      </c>
      <c r="CN93" s="12">
        <v>0</v>
      </c>
      <c r="CO93" s="12">
        <v>0</v>
      </c>
      <c r="CP93" s="12">
        <v>0</v>
      </c>
      <c r="CQ93" s="12">
        <v>0</v>
      </c>
      <c r="CR93" s="12">
        <v>0</v>
      </c>
      <c r="CS93" s="12">
        <v>0</v>
      </c>
      <c r="CT93" s="12">
        <v>6</v>
      </c>
      <c r="CU93" s="12">
        <v>3</v>
      </c>
      <c r="CV93" s="12">
        <v>3</v>
      </c>
      <c r="CW93" s="12">
        <v>9</v>
      </c>
      <c r="CX93" s="12">
        <v>9</v>
      </c>
      <c r="CY93" s="12">
        <v>3</v>
      </c>
      <c r="CZ93" s="12">
        <v>7</v>
      </c>
      <c r="DA93" s="12">
        <v>3</v>
      </c>
      <c r="DB93" s="12">
        <v>5</v>
      </c>
      <c r="DC93" s="12">
        <v>7</v>
      </c>
      <c r="DD93" s="12">
        <v>6</v>
      </c>
      <c r="DE93" s="12">
        <v>3</v>
      </c>
      <c r="DF93" s="12">
        <v>8</v>
      </c>
      <c r="DG93" s="12">
        <v>2</v>
      </c>
      <c r="DH93" s="12">
        <v>0</v>
      </c>
      <c r="DI93" s="12">
        <v>6</v>
      </c>
      <c r="DJ93" s="12">
        <v>4</v>
      </c>
      <c r="DK93" s="12">
        <v>1</v>
      </c>
      <c r="DL93" s="12">
        <v>0</v>
      </c>
      <c r="DM93" s="12">
        <v>5</v>
      </c>
      <c r="DN93" s="12">
        <v>5</v>
      </c>
      <c r="DO93" s="12">
        <v>4</v>
      </c>
      <c r="DP93" s="12">
        <v>4</v>
      </c>
      <c r="DQ93" s="12">
        <v>0</v>
      </c>
      <c r="DR93" s="12">
        <v>0</v>
      </c>
      <c r="DS93" s="12">
        <v>2</v>
      </c>
      <c r="DT93" s="12">
        <v>1</v>
      </c>
      <c r="DU93" s="12">
        <v>1</v>
      </c>
      <c r="DV93" s="12">
        <v>1</v>
      </c>
      <c r="DW93" s="12">
        <v>3</v>
      </c>
      <c r="DX93" s="12">
        <v>1</v>
      </c>
      <c r="DY93" s="12">
        <v>1</v>
      </c>
      <c r="DZ93" s="12">
        <v>1</v>
      </c>
      <c r="EA93" s="12">
        <v>0</v>
      </c>
      <c r="EB93" s="12">
        <v>0</v>
      </c>
      <c r="EC93" s="12">
        <v>2</v>
      </c>
      <c r="ED93" s="12">
        <v>1</v>
      </c>
      <c r="EE93" s="12">
        <v>0</v>
      </c>
      <c r="EF93" s="12">
        <v>0</v>
      </c>
      <c r="EG93" s="12">
        <v>0</v>
      </c>
      <c r="EH93" s="12">
        <v>0</v>
      </c>
      <c r="EI93" s="12">
        <v>1</v>
      </c>
      <c r="EJ93" s="12">
        <v>1</v>
      </c>
      <c r="EK93" s="12">
        <v>0</v>
      </c>
      <c r="EL93" s="12">
        <v>0</v>
      </c>
      <c r="EM93" s="12">
        <v>0</v>
      </c>
      <c r="EN93" s="12">
        <v>0</v>
      </c>
      <c r="EO93" s="12">
        <v>0</v>
      </c>
      <c r="EP93" s="12" t="str">
        <f>IF(EL93=0,"🔴 Sin venta",IF(EL93&lt;EQ130*0.8,"🟠 Bajo",IF(EL130&lt;=EQ93*1.2,"🟢 Bien","🔵 Sobre promedio")))</f>
        <v>🔴 Sin venta</v>
      </c>
      <c r="EQ93" s="23">
        <f t="shared" si="22"/>
        <v>0.83333333333333337</v>
      </c>
      <c r="ER93" s="19">
        <f t="shared" si="21"/>
        <v>4301.8</v>
      </c>
      <c r="ES93" s="12">
        <f t="shared" si="20"/>
        <v>20</v>
      </c>
      <c r="ET93" s="23">
        <f t="shared" si="19"/>
        <v>20.5</v>
      </c>
      <c r="EU93" s="23">
        <f t="shared" si="25"/>
        <v>12.5</v>
      </c>
      <c r="EV93" s="23">
        <f t="shared" si="23"/>
        <v>4</v>
      </c>
      <c r="EW93" s="23"/>
      <c r="EX93" s="12">
        <v>8</v>
      </c>
      <c r="EY93" s="19" cm="1">
        <f t="array" ref="EY93:FC93">VLOOKUP(_xlfn.SINGLE(B:B),'[1]Price List'!$B:$N,{8,4,5,6,7},0)</f>
        <v>215.09</v>
      </c>
      <c r="EZ93" s="9" t="str">
        <v>Tech21 EvoLite for iPhone 15 - Soft Pink</v>
      </c>
      <c r="FA93" s="12" t="str">
        <v>Cases iPhone</v>
      </c>
      <c r="FB93" s="12" t="str">
        <v>iPhone 15</v>
      </c>
      <c r="FC93" s="12" t="str">
        <v>iPhone 16e / 15 / 14 / 13</v>
      </c>
      <c r="FD93" s="23" t="str">
        <f>_xlfn.XLOOKUP(B:B,'[1]Price List'!$B:$B,'[1]Price List'!$A:$A)</f>
        <v>Tech21</v>
      </c>
    </row>
    <row r="94" spans="1:160" s="9" customFormat="1" x14ac:dyDescent="0.2">
      <c r="A94" s="23" t="s">
        <v>600</v>
      </c>
      <c r="B94" s="23">
        <v>5056586724309</v>
      </c>
      <c r="C94" s="9" t="s">
        <v>548</v>
      </c>
      <c r="D94" s="9" t="e">
        <v>#N/A</v>
      </c>
      <c r="E94" s="30" t="e">
        <v>#N/A</v>
      </c>
      <c r="F94" s="30" t="e">
        <v>#N/A</v>
      </c>
      <c r="G94" s="9" t="e">
        <v>#N/A</v>
      </c>
      <c r="H94" s="28" t="s">
        <v>515</v>
      </c>
      <c r="I94" s="29">
        <v>499</v>
      </c>
      <c r="J94" s="11">
        <v>215.09</v>
      </c>
      <c r="K94" s="62">
        <v>0</v>
      </c>
      <c r="L94" s="12">
        <v>0</v>
      </c>
      <c r="M94" s="13" t="s">
        <v>467</v>
      </c>
      <c r="N94" s="13" t="s">
        <v>475</v>
      </c>
      <c r="O94" s="27"/>
      <c r="P94" s="12">
        <v>0</v>
      </c>
      <c r="Q94" s="12">
        <v>0</v>
      </c>
      <c r="R94" s="12">
        <v>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  <c r="X94" s="12">
        <v>0</v>
      </c>
      <c r="Y94" s="12">
        <v>0</v>
      </c>
      <c r="Z94" s="12">
        <v>0</v>
      </c>
      <c r="AA94" s="12">
        <v>0</v>
      </c>
      <c r="AB94" s="12">
        <v>0</v>
      </c>
      <c r="AC94" s="12">
        <v>0</v>
      </c>
      <c r="AD94" s="12">
        <v>0</v>
      </c>
      <c r="AE94" s="12">
        <v>0</v>
      </c>
      <c r="AF94" s="12">
        <v>0</v>
      </c>
      <c r="AG94" s="12">
        <v>0</v>
      </c>
      <c r="AH94" s="12">
        <v>0</v>
      </c>
      <c r="AI94" s="12">
        <v>0</v>
      </c>
      <c r="AJ94" s="12">
        <v>0</v>
      </c>
      <c r="AK94" s="12">
        <v>0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2">
        <v>0</v>
      </c>
      <c r="AW94" s="12">
        <v>0</v>
      </c>
      <c r="AX94" s="12">
        <v>0</v>
      </c>
      <c r="AY94" s="12">
        <v>0</v>
      </c>
      <c r="AZ94" s="12">
        <v>0</v>
      </c>
      <c r="BA94" s="12">
        <v>0</v>
      </c>
      <c r="BB94" s="12">
        <v>0</v>
      </c>
      <c r="BC94" s="12">
        <v>0</v>
      </c>
      <c r="BD94" s="12">
        <v>0</v>
      </c>
      <c r="BE94" s="12">
        <v>0</v>
      </c>
      <c r="BF94" s="12">
        <v>0</v>
      </c>
      <c r="BG94" s="12">
        <v>0</v>
      </c>
      <c r="BH94" s="12">
        <v>0</v>
      </c>
      <c r="BI94" s="12">
        <v>0</v>
      </c>
      <c r="BJ94" s="12">
        <v>0</v>
      </c>
      <c r="BK94" s="12">
        <v>0</v>
      </c>
      <c r="BL94" s="12">
        <v>0</v>
      </c>
      <c r="BM94" s="12">
        <v>0</v>
      </c>
      <c r="BN94" s="12">
        <v>0</v>
      </c>
      <c r="BO94" s="12">
        <v>0</v>
      </c>
      <c r="BP94" s="12">
        <v>0</v>
      </c>
      <c r="BQ94" s="12">
        <v>0</v>
      </c>
      <c r="BR94" s="12">
        <v>0</v>
      </c>
      <c r="BS94" s="12">
        <v>0</v>
      </c>
      <c r="BT94" s="12">
        <v>0</v>
      </c>
      <c r="BU94" s="12">
        <v>0</v>
      </c>
      <c r="BV94" s="12">
        <v>0</v>
      </c>
      <c r="BW94" s="12">
        <v>0</v>
      </c>
      <c r="BX94" s="12">
        <v>0</v>
      </c>
      <c r="BY94" s="12">
        <v>0</v>
      </c>
      <c r="BZ94" s="12">
        <v>0</v>
      </c>
      <c r="CA94" s="12">
        <v>0</v>
      </c>
      <c r="CB94" s="12">
        <v>0</v>
      </c>
      <c r="CC94" s="12">
        <v>0</v>
      </c>
      <c r="CD94" s="12">
        <v>0</v>
      </c>
      <c r="CE94" s="12">
        <v>0</v>
      </c>
      <c r="CF94" s="12">
        <v>0</v>
      </c>
      <c r="CG94" s="12">
        <v>0</v>
      </c>
      <c r="CH94" s="12">
        <v>0</v>
      </c>
      <c r="CI94" s="12">
        <v>0</v>
      </c>
      <c r="CJ94" s="12">
        <v>0</v>
      </c>
      <c r="CK94" s="12">
        <v>0</v>
      </c>
      <c r="CL94" s="12">
        <v>0</v>
      </c>
      <c r="CM94" s="12">
        <v>0</v>
      </c>
      <c r="CN94" s="12">
        <v>0</v>
      </c>
      <c r="CO94" s="12">
        <v>0</v>
      </c>
      <c r="CP94" s="12">
        <v>0</v>
      </c>
      <c r="CQ94" s="12">
        <v>0</v>
      </c>
      <c r="CR94" s="12">
        <v>0</v>
      </c>
      <c r="CS94" s="12">
        <v>0</v>
      </c>
      <c r="CT94" s="12">
        <v>9</v>
      </c>
      <c r="CU94" s="12">
        <v>3</v>
      </c>
      <c r="CV94" s="12">
        <v>4</v>
      </c>
      <c r="CW94" s="12">
        <v>5</v>
      </c>
      <c r="CX94" s="12">
        <v>7</v>
      </c>
      <c r="CY94" s="12">
        <v>3</v>
      </c>
      <c r="CZ94" s="12">
        <v>4</v>
      </c>
      <c r="DA94" s="12">
        <v>2</v>
      </c>
      <c r="DB94" s="12">
        <v>4</v>
      </c>
      <c r="DC94" s="12">
        <v>3</v>
      </c>
      <c r="DD94" s="12">
        <v>3</v>
      </c>
      <c r="DE94" s="12">
        <v>6</v>
      </c>
      <c r="DF94" s="12">
        <v>3</v>
      </c>
      <c r="DG94" s="12">
        <v>2</v>
      </c>
      <c r="DH94" s="12">
        <v>3</v>
      </c>
      <c r="DI94" s="12">
        <v>5</v>
      </c>
      <c r="DJ94" s="12">
        <v>1</v>
      </c>
      <c r="DK94" s="12">
        <v>1</v>
      </c>
      <c r="DL94" s="12">
        <v>0</v>
      </c>
      <c r="DM94" s="12">
        <v>4</v>
      </c>
      <c r="DN94" s="12">
        <v>6</v>
      </c>
      <c r="DO94" s="12">
        <v>1</v>
      </c>
      <c r="DP94" s="12">
        <v>6</v>
      </c>
      <c r="DQ94" s="12">
        <v>5</v>
      </c>
      <c r="DR94" s="12">
        <v>3</v>
      </c>
      <c r="DS94" s="12">
        <v>1</v>
      </c>
      <c r="DT94" s="12">
        <v>1</v>
      </c>
      <c r="DU94" s="12">
        <v>3</v>
      </c>
      <c r="DV94" s="12">
        <v>1</v>
      </c>
      <c r="DW94" s="12">
        <v>0</v>
      </c>
      <c r="DX94" s="12">
        <v>1</v>
      </c>
      <c r="DY94" s="12">
        <v>0</v>
      </c>
      <c r="DZ94" s="12">
        <v>0</v>
      </c>
      <c r="EA94" s="12">
        <v>3</v>
      </c>
      <c r="EB94" s="12">
        <v>1</v>
      </c>
      <c r="EC94" s="12">
        <v>1</v>
      </c>
      <c r="ED94" s="12">
        <v>1</v>
      </c>
      <c r="EE94" s="12">
        <v>0</v>
      </c>
      <c r="EF94" s="12">
        <v>0</v>
      </c>
      <c r="EG94" s="12">
        <v>2</v>
      </c>
      <c r="EH94" s="12">
        <v>1</v>
      </c>
      <c r="EI94" s="12">
        <v>0</v>
      </c>
      <c r="EJ94" s="12">
        <v>0</v>
      </c>
      <c r="EK94" s="12">
        <v>1</v>
      </c>
      <c r="EL94" s="12">
        <v>0</v>
      </c>
      <c r="EM94" s="12">
        <v>0</v>
      </c>
      <c r="EN94" s="12">
        <v>0</v>
      </c>
      <c r="EO94" s="12">
        <v>0</v>
      </c>
      <c r="EP94" s="12" t="str">
        <f t="shared" ref="EP94:EP108" si="26">IF(EL94=0,"🔴 Sin venta",IF(EL94&lt;EQ132*0.8,"🟠 Bajo",IF(EL132&lt;=EQ94*1.2,"🟢 Bien","🔵 Sobre promedio")))</f>
        <v>🔴 Sin venta</v>
      </c>
      <c r="EQ94" s="23">
        <f t="shared" si="22"/>
        <v>1.2916666666666667</v>
      </c>
      <c r="ER94" s="19">
        <f t="shared" si="21"/>
        <v>6667.79</v>
      </c>
      <c r="ES94" s="12">
        <f t="shared" si="20"/>
        <v>31</v>
      </c>
      <c r="ET94" s="23">
        <f t="shared" si="19"/>
        <v>13.5</v>
      </c>
      <c r="EU94" s="23">
        <f t="shared" si="25"/>
        <v>10.5</v>
      </c>
      <c r="EV94" s="23">
        <f t="shared" si="23"/>
        <v>6.44</v>
      </c>
      <c r="EW94" s="23"/>
      <c r="EX94" s="12">
        <v>15</v>
      </c>
      <c r="EY94" s="19" cm="1">
        <f t="array" ref="EY94:FC94">VLOOKUP(_xlfn.SINGLE(B:B),'[1]Price List'!$B:$N,{8,4,5,6,7},0)</f>
        <v>215.09</v>
      </c>
      <c r="EZ94" s="9" t="str">
        <v>Tech21 EvoLite for iPhone 15 - Lavender</v>
      </c>
      <c r="FA94" s="12" t="str">
        <v>Cases iPhone</v>
      </c>
      <c r="FB94" s="12" t="str">
        <v>iPhone 15</v>
      </c>
      <c r="FC94" s="12" t="str">
        <v>iPhone 16e / 15 / 14 / 13</v>
      </c>
      <c r="FD94" s="23" t="str">
        <f>_xlfn.XLOOKUP(B:B,'[1]Price List'!$B:$B,'[1]Price List'!$A:$A)</f>
        <v>Tech21</v>
      </c>
    </row>
    <row r="95" spans="1:160" s="9" customFormat="1" x14ac:dyDescent="0.2">
      <c r="A95" s="23" t="s">
        <v>600</v>
      </c>
      <c r="B95" s="28">
        <v>5056586721032</v>
      </c>
      <c r="C95" s="9" t="s">
        <v>549</v>
      </c>
      <c r="D95" s="9" t="s">
        <v>644</v>
      </c>
      <c r="E95" s="9" t="s">
        <v>623</v>
      </c>
      <c r="F95" s="9" t="s">
        <v>623</v>
      </c>
      <c r="G95" s="9" t="s">
        <v>685</v>
      </c>
      <c r="H95" s="28" t="s">
        <v>463</v>
      </c>
      <c r="I95" s="29">
        <v>649</v>
      </c>
      <c r="J95" s="11">
        <v>279.74</v>
      </c>
      <c r="K95" s="62">
        <v>0</v>
      </c>
      <c r="L95" s="12">
        <v>0</v>
      </c>
      <c r="M95" s="31" t="s">
        <v>467</v>
      </c>
      <c r="N95" s="31" t="s">
        <v>475</v>
      </c>
      <c r="O95" s="27"/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0</v>
      </c>
      <c r="AA95" s="12">
        <v>0</v>
      </c>
      <c r="AB95" s="12">
        <v>0</v>
      </c>
      <c r="AC95" s="12">
        <v>0</v>
      </c>
      <c r="AD95" s="12">
        <v>0</v>
      </c>
      <c r="AE95" s="12">
        <v>0</v>
      </c>
      <c r="AF95" s="12">
        <v>0</v>
      </c>
      <c r="AG95" s="12">
        <v>0</v>
      </c>
      <c r="AH95" s="12">
        <v>0</v>
      </c>
      <c r="AI95" s="12">
        <v>0</v>
      </c>
      <c r="AJ95" s="12">
        <v>0</v>
      </c>
      <c r="AK95" s="12">
        <v>0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2">
        <v>0</v>
      </c>
      <c r="AW95" s="12">
        <v>0</v>
      </c>
      <c r="AX95" s="12">
        <v>0</v>
      </c>
      <c r="AY95" s="12">
        <v>0</v>
      </c>
      <c r="AZ95" s="12">
        <v>0</v>
      </c>
      <c r="BA95" s="12">
        <v>0</v>
      </c>
      <c r="BB95" s="12">
        <v>0</v>
      </c>
      <c r="BC95" s="12">
        <v>0</v>
      </c>
      <c r="BD95" s="12">
        <v>0</v>
      </c>
      <c r="BE95" s="12">
        <v>0</v>
      </c>
      <c r="BF95" s="12">
        <v>0</v>
      </c>
      <c r="BG95" s="12">
        <v>0</v>
      </c>
      <c r="BH95" s="12">
        <v>0</v>
      </c>
      <c r="BI95" s="12">
        <v>0</v>
      </c>
      <c r="BJ95" s="12">
        <v>0</v>
      </c>
      <c r="BK95" s="12">
        <v>0</v>
      </c>
      <c r="BL95" s="12">
        <v>0</v>
      </c>
      <c r="BM95" s="12">
        <v>0</v>
      </c>
      <c r="BN95" s="12">
        <v>0</v>
      </c>
      <c r="BO95" s="12">
        <v>0</v>
      </c>
      <c r="BP95" s="12">
        <v>0</v>
      </c>
      <c r="BQ95" s="12">
        <v>0</v>
      </c>
      <c r="BR95" s="12">
        <v>0</v>
      </c>
      <c r="BS95" s="12">
        <v>0</v>
      </c>
      <c r="BT95" s="12">
        <v>0</v>
      </c>
      <c r="BU95" s="12">
        <v>0</v>
      </c>
      <c r="BV95" s="12">
        <v>0</v>
      </c>
      <c r="BW95" s="12">
        <v>0</v>
      </c>
      <c r="BX95" s="12">
        <v>0</v>
      </c>
      <c r="BY95" s="12">
        <v>0</v>
      </c>
      <c r="BZ95" s="12">
        <v>0</v>
      </c>
      <c r="CA95" s="12">
        <v>18</v>
      </c>
      <c r="CB95" s="12">
        <v>15</v>
      </c>
      <c r="CC95" s="12">
        <v>1</v>
      </c>
      <c r="CD95" s="12">
        <v>2</v>
      </c>
      <c r="CE95" s="12">
        <v>5</v>
      </c>
      <c r="CF95" s="12">
        <v>5</v>
      </c>
      <c r="CG95" s="12">
        <v>6</v>
      </c>
      <c r="CH95" s="12">
        <v>2</v>
      </c>
      <c r="CI95" s="12">
        <v>6</v>
      </c>
      <c r="CJ95" s="12">
        <v>4</v>
      </c>
      <c r="CK95" s="12">
        <v>6</v>
      </c>
      <c r="CL95" s="12">
        <v>7</v>
      </c>
      <c r="CM95" s="12">
        <v>5</v>
      </c>
      <c r="CN95" s="12">
        <v>0</v>
      </c>
      <c r="CO95" s="12">
        <v>7</v>
      </c>
      <c r="CP95" s="12">
        <v>0</v>
      </c>
      <c r="CQ95" s="12">
        <v>3</v>
      </c>
      <c r="CR95" s="12">
        <v>12</v>
      </c>
      <c r="CS95" s="12">
        <v>5</v>
      </c>
      <c r="CT95" s="12">
        <v>11</v>
      </c>
      <c r="CU95" s="12">
        <v>4</v>
      </c>
      <c r="CV95" s="12">
        <v>9</v>
      </c>
      <c r="CW95" s="12">
        <v>5</v>
      </c>
      <c r="CX95" s="12">
        <v>5</v>
      </c>
      <c r="CY95" s="12">
        <v>1</v>
      </c>
      <c r="CZ95" s="12">
        <v>6</v>
      </c>
      <c r="DA95" s="12">
        <v>3</v>
      </c>
      <c r="DB95" s="12">
        <v>7</v>
      </c>
      <c r="DC95" s="12">
        <v>5</v>
      </c>
      <c r="DD95" s="12">
        <v>2</v>
      </c>
      <c r="DE95" s="12">
        <v>3</v>
      </c>
      <c r="DF95" s="12">
        <v>13</v>
      </c>
      <c r="DG95" s="12">
        <v>10</v>
      </c>
      <c r="DH95" s="12">
        <v>7</v>
      </c>
      <c r="DI95" s="12">
        <v>23</v>
      </c>
      <c r="DJ95" s="12">
        <v>14</v>
      </c>
      <c r="DK95" s="12">
        <v>12</v>
      </c>
      <c r="DL95" s="12">
        <v>7</v>
      </c>
      <c r="DM95" s="12">
        <v>7</v>
      </c>
      <c r="DN95" s="12">
        <v>10</v>
      </c>
      <c r="DO95" s="12">
        <v>10</v>
      </c>
      <c r="DP95" s="12">
        <v>9</v>
      </c>
      <c r="DQ95" s="12">
        <v>6</v>
      </c>
      <c r="DR95" s="12">
        <v>5</v>
      </c>
      <c r="DS95" s="12">
        <v>2</v>
      </c>
      <c r="DT95" s="12">
        <v>0</v>
      </c>
      <c r="DU95" s="12">
        <v>3</v>
      </c>
      <c r="DV95" s="12">
        <v>2</v>
      </c>
      <c r="DW95" s="12">
        <v>4</v>
      </c>
      <c r="DX95" s="12">
        <v>0</v>
      </c>
      <c r="DY95" s="12">
        <v>2</v>
      </c>
      <c r="DZ95" s="12">
        <v>2</v>
      </c>
      <c r="EA95" s="12">
        <v>0</v>
      </c>
      <c r="EB95" s="12">
        <v>1</v>
      </c>
      <c r="EC95" s="12">
        <v>0</v>
      </c>
      <c r="ED95" s="12">
        <v>0</v>
      </c>
      <c r="EE95" s="12">
        <v>1</v>
      </c>
      <c r="EF95" s="12">
        <v>1</v>
      </c>
      <c r="EG95" s="12">
        <v>0</v>
      </c>
      <c r="EH95" s="12">
        <v>0</v>
      </c>
      <c r="EI95" s="12">
        <v>0</v>
      </c>
      <c r="EJ95" s="12">
        <v>1</v>
      </c>
      <c r="EK95" s="12">
        <v>0</v>
      </c>
      <c r="EL95" s="12">
        <v>1</v>
      </c>
      <c r="EM95" s="12">
        <v>0</v>
      </c>
      <c r="EN95" s="12">
        <v>0</v>
      </c>
      <c r="EO95" s="12">
        <v>0</v>
      </c>
      <c r="EP95" s="12" t="str">
        <f t="shared" si="26"/>
        <v>🟢 Bien</v>
      </c>
      <c r="EQ95" s="23">
        <f t="shared" si="22"/>
        <v>1.6666666666666667</v>
      </c>
      <c r="ER95" s="19">
        <f t="shared" si="21"/>
        <v>11189.6</v>
      </c>
      <c r="ES95" s="12">
        <f t="shared" si="20"/>
        <v>40</v>
      </c>
      <c r="ET95" s="23">
        <f t="shared" si="19"/>
        <v>24.5</v>
      </c>
      <c r="EU95" s="23">
        <f t="shared" si="25"/>
        <v>45</v>
      </c>
      <c r="EV95" s="23">
        <f t="shared" si="23"/>
        <v>8.44</v>
      </c>
      <c r="EW95" s="23"/>
      <c r="EX95" s="12">
        <v>5</v>
      </c>
      <c r="EY95" s="19" cm="1">
        <f t="array" ref="EY95:FC95">VLOOKUP(_xlfn.SINGLE(B:B),'[1]Price List'!$B:$N,{8,4,5,6,7},0)</f>
        <v>279.74</v>
      </c>
      <c r="EZ95" s="9" t="str">
        <v>Tech21 EvoClear for iPhone 15 - Clear</v>
      </c>
      <c r="FA95" s="12" t="str">
        <v>Cases iPhone</v>
      </c>
      <c r="FB95" s="12" t="str">
        <v>iPhone 15</v>
      </c>
      <c r="FC95" s="12" t="str">
        <v>iPhone 16e / 15 / 14 / 13</v>
      </c>
      <c r="FD95" s="23" t="str">
        <f>_xlfn.XLOOKUP(B:B,'[1]Price List'!$B:$B,'[1]Price List'!$A:$A)</f>
        <v>Tech21</v>
      </c>
    </row>
    <row r="96" spans="1:160" s="9" customFormat="1" x14ac:dyDescent="0.2">
      <c r="A96" s="23" t="s">
        <v>599</v>
      </c>
      <c r="B96" s="28">
        <v>5056586721032</v>
      </c>
      <c r="C96" s="9" t="s">
        <v>549</v>
      </c>
      <c r="D96" s="9" t="e">
        <v>#N/A</v>
      </c>
      <c r="E96" s="30" t="e">
        <v>#N/A</v>
      </c>
      <c r="F96" s="30" t="e">
        <v>#N/A</v>
      </c>
      <c r="G96" s="9" t="e">
        <v>#N/A</v>
      </c>
      <c r="H96" s="28" t="s">
        <v>516</v>
      </c>
      <c r="I96" s="29">
        <v>649</v>
      </c>
      <c r="J96" s="11">
        <v>279.74</v>
      </c>
      <c r="K96" s="62">
        <v>0</v>
      </c>
      <c r="L96" s="12">
        <v>0</v>
      </c>
      <c r="M96" s="13" t="s">
        <v>467</v>
      </c>
      <c r="N96" s="13" t="s">
        <v>475</v>
      </c>
      <c r="O96" s="27"/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  <c r="X96" s="12">
        <v>0</v>
      </c>
      <c r="Y96" s="12">
        <v>0</v>
      </c>
      <c r="Z96" s="12">
        <v>0</v>
      </c>
      <c r="AA96" s="12">
        <v>0</v>
      </c>
      <c r="AB96" s="12">
        <v>0</v>
      </c>
      <c r="AC96" s="12">
        <v>0</v>
      </c>
      <c r="AD96" s="12">
        <v>0</v>
      </c>
      <c r="AE96" s="12">
        <v>0</v>
      </c>
      <c r="AF96" s="12">
        <v>0</v>
      </c>
      <c r="AG96" s="12">
        <v>0</v>
      </c>
      <c r="AH96" s="12">
        <v>0</v>
      </c>
      <c r="AI96" s="12">
        <v>0</v>
      </c>
      <c r="AJ96" s="12">
        <v>0</v>
      </c>
      <c r="AK96" s="12">
        <v>0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2">
        <v>0</v>
      </c>
      <c r="AW96" s="12">
        <v>0</v>
      </c>
      <c r="AX96" s="12">
        <v>0</v>
      </c>
      <c r="AY96" s="12">
        <v>0</v>
      </c>
      <c r="AZ96" s="12">
        <v>0</v>
      </c>
      <c r="BA96" s="12">
        <v>0</v>
      </c>
      <c r="BB96" s="12">
        <v>0</v>
      </c>
      <c r="BC96" s="12">
        <v>0</v>
      </c>
      <c r="BD96" s="12">
        <v>0</v>
      </c>
      <c r="BE96" s="12">
        <v>0</v>
      </c>
      <c r="BF96" s="12">
        <v>0</v>
      </c>
      <c r="BG96" s="12">
        <v>0</v>
      </c>
      <c r="BH96" s="12">
        <v>0</v>
      </c>
      <c r="BI96" s="12">
        <v>0</v>
      </c>
      <c r="BJ96" s="12">
        <v>0</v>
      </c>
      <c r="BK96" s="12">
        <v>0</v>
      </c>
      <c r="BL96" s="12">
        <v>0</v>
      </c>
      <c r="BM96" s="12">
        <v>0</v>
      </c>
      <c r="BN96" s="12">
        <v>0</v>
      </c>
      <c r="BO96" s="12">
        <v>0</v>
      </c>
      <c r="BP96" s="12">
        <v>0</v>
      </c>
      <c r="BQ96" s="12">
        <v>0</v>
      </c>
      <c r="BR96" s="12">
        <v>0</v>
      </c>
      <c r="BS96" s="12">
        <v>0</v>
      </c>
      <c r="BT96" s="12">
        <v>0</v>
      </c>
      <c r="BU96" s="12">
        <v>0</v>
      </c>
      <c r="BV96" s="12">
        <v>0</v>
      </c>
      <c r="BW96" s="12">
        <v>0</v>
      </c>
      <c r="BX96" s="12">
        <v>0</v>
      </c>
      <c r="BY96" s="12">
        <v>0</v>
      </c>
      <c r="BZ96" s="12">
        <v>0</v>
      </c>
      <c r="CA96" s="12">
        <v>0</v>
      </c>
      <c r="CB96" s="12">
        <v>0</v>
      </c>
      <c r="CC96" s="12">
        <v>0</v>
      </c>
      <c r="CD96" s="12">
        <v>0</v>
      </c>
      <c r="CE96" s="12">
        <v>0</v>
      </c>
      <c r="CF96" s="12">
        <v>0</v>
      </c>
      <c r="CG96" s="12">
        <v>0</v>
      </c>
      <c r="CH96" s="12">
        <v>0</v>
      </c>
      <c r="CI96" s="12">
        <v>0</v>
      </c>
      <c r="CJ96" s="12">
        <v>0</v>
      </c>
      <c r="CK96" s="12">
        <v>0</v>
      </c>
      <c r="CL96" s="12">
        <v>0</v>
      </c>
      <c r="CM96" s="12">
        <v>0</v>
      </c>
      <c r="CN96" s="12">
        <v>0</v>
      </c>
      <c r="CO96" s="12">
        <v>0</v>
      </c>
      <c r="CP96" s="12">
        <v>0</v>
      </c>
      <c r="CQ96" s="12">
        <v>0</v>
      </c>
      <c r="CR96" s="12">
        <v>0</v>
      </c>
      <c r="CS96" s="12">
        <v>0</v>
      </c>
      <c r="CT96" s="12">
        <v>5</v>
      </c>
      <c r="CU96" s="12">
        <v>5</v>
      </c>
      <c r="CV96" s="12">
        <v>4</v>
      </c>
      <c r="CW96" s="12">
        <v>8</v>
      </c>
      <c r="CX96" s="12">
        <v>7</v>
      </c>
      <c r="CY96" s="12">
        <v>2</v>
      </c>
      <c r="CZ96" s="12">
        <v>9</v>
      </c>
      <c r="DA96" s="12">
        <v>4</v>
      </c>
      <c r="DB96" s="12">
        <v>4</v>
      </c>
      <c r="DC96" s="12">
        <v>7</v>
      </c>
      <c r="DD96" s="12">
        <v>8</v>
      </c>
      <c r="DE96" s="12">
        <v>3</v>
      </c>
      <c r="DF96" s="12">
        <v>1</v>
      </c>
      <c r="DG96" s="12">
        <v>1</v>
      </c>
      <c r="DH96" s="12">
        <v>4</v>
      </c>
      <c r="DI96" s="12">
        <v>4</v>
      </c>
      <c r="DJ96" s="12">
        <v>2</v>
      </c>
      <c r="DK96" s="12">
        <v>2</v>
      </c>
      <c r="DL96" s="12">
        <v>1</v>
      </c>
      <c r="DM96" s="12">
        <v>5</v>
      </c>
      <c r="DN96" s="12">
        <v>6</v>
      </c>
      <c r="DO96" s="12">
        <v>5</v>
      </c>
      <c r="DP96" s="12">
        <v>4</v>
      </c>
      <c r="DQ96" s="12">
        <v>3</v>
      </c>
      <c r="DR96" s="12">
        <v>2</v>
      </c>
      <c r="DS96" s="12">
        <v>0</v>
      </c>
      <c r="DT96" s="12">
        <v>2</v>
      </c>
      <c r="DU96" s="12">
        <v>1</v>
      </c>
      <c r="DV96" s="12">
        <v>0</v>
      </c>
      <c r="DW96" s="12">
        <v>4</v>
      </c>
      <c r="DX96" s="12">
        <v>1</v>
      </c>
      <c r="DY96" s="12">
        <v>0</v>
      </c>
      <c r="DZ96" s="12">
        <v>1</v>
      </c>
      <c r="EA96" s="12">
        <v>1</v>
      </c>
      <c r="EB96" s="12">
        <v>0</v>
      </c>
      <c r="EC96" s="12">
        <v>0</v>
      </c>
      <c r="ED96" s="12">
        <v>0</v>
      </c>
      <c r="EE96" s="12">
        <v>0</v>
      </c>
      <c r="EF96" s="12">
        <v>2</v>
      </c>
      <c r="EG96" s="12">
        <v>0</v>
      </c>
      <c r="EH96" s="12">
        <v>0</v>
      </c>
      <c r="EI96" s="12">
        <v>0</v>
      </c>
      <c r="EJ96" s="12">
        <v>1</v>
      </c>
      <c r="EK96" s="12">
        <v>1</v>
      </c>
      <c r="EL96" s="12">
        <v>0</v>
      </c>
      <c r="EM96" s="12">
        <v>0</v>
      </c>
      <c r="EN96" s="12">
        <v>2</v>
      </c>
      <c r="EO96" s="12">
        <v>0</v>
      </c>
      <c r="EP96" s="12" t="str">
        <f t="shared" si="26"/>
        <v>🔴 Sin venta</v>
      </c>
      <c r="EQ96" s="23">
        <f t="shared" si="22"/>
        <v>0.95833333333333337</v>
      </c>
      <c r="ER96" s="19">
        <f t="shared" si="21"/>
        <v>6993.5</v>
      </c>
      <c r="ES96" s="12">
        <f t="shared" si="20"/>
        <v>25</v>
      </c>
      <c r="ET96" s="23">
        <f t="shared" si="19"/>
        <v>18.5</v>
      </c>
      <c r="EU96" s="23">
        <f t="shared" si="25"/>
        <v>14.5</v>
      </c>
      <c r="EV96" s="23">
        <f t="shared" si="23"/>
        <v>4.67</v>
      </c>
      <c r="EW96" s="23"/>
      <c r="EX96" s="12">
        <v>8</v>
      </c>
      <c r="EY96" s="19" cm="1">
        <f t="array" ref="EY96:FC96">VLOOKUP(_xlfn.SINGLE(B:B),'[1]Price List'!$B:$N,{8,4,5,6,7},0)</f>
        <v>279.74</v>
      </c>
      <c r="EZ96" s="9" t="str">
        <v>Tech21 EvoClear for iPhone 15 - Clear</v>
      </c>
      <c r="FA96" s="12" t="str">
        <v>Cases iPhone</v>
      </c>
      <c r="FB96" s="12" t="str">
        <v>iPhone 15</v>
      </c>
      <c r="FC96" s="12" t="str">
        <v>iPhone 16e / 15 / 14 / 13</v>
      </c>
      <c r="FD96" s="23" t="str">
        <f>_xlfn.XLOOKUP(B:B,'[1]Price List'!$B:$B,'[1]Price List'!$A:$A)</f>
        <v>Tech21</v>
      </c>
    </row>
    <row r="97" spans="1:160" s="9" customFormat="1" x14ac:dyDescent="0.2">
      <c r="A97" s="23" t="s">
        <v>599</v>
      </c>
      <c r="B97" s="23">
        <v>840168501373</v>
      </c>
      <c r="C97" s="9" t="s">
        <v>127</v>
      </c>
      <c r="D97" s="9" t="e">
        <v>#N/A</v>
      </c>
      <c r="E97" s="9" t="e">
        <v>#N/A</v>
      </c>
      <c r="F97" s="9" t="e">
        <v>#N/A</v>
      </c>
      <c r="G97" s="9" t="s">
        <v>676</v>
      </c>
      <c r="H97" s="12" t="s">
        <v>128</v>
      </c>
      <c r="I97" s="11">
        <v>1199</v>
      </c>
      <c r="J97" s="11">
        <v>516.80999999999995</v>
      </c>
      <c r="K97" s="62">
        <v>0</v>
      </c>
      <c r="L97" s="12">
        <v>0</v>
      </c>
      <c r="M97" s="13" t="s">
        <v>467</v>
      </c>
      <c r="N97" s="13" t="s">
        <v>475</v>
      </c>
      <c r="O97" s="27" t="s">
        <v>121</v>
      </c>
      <c r="P97" s="12">
        <v>30</v>
      </c>
      <c r="Q97" s="12">
        <v>24</v>
      </c>
      <c r="R97" s="12">
        <v>21</v>
      </c>
      <c r="S97" s="12">
        <v>18</v>
      </c>
      <c r="T97" s="12">
        <v>19</v>
      </c>
      <c r="U97" s="12">
        <v>22</v>
      </c>
      <c r="V97" s="12">
        <v>58</v>
      </c>
      <c r="W97" s="12">
        <v>48</v>
      </c>
      <c r="X97" s="12">
        <v>22</v>
      </c>
      <c r="Y97" s="12">
        <v>45</v>
      </c>
      <c r="Z97" s="12">
        <v>38</v>
      </c>
      <c r="AA97" s="12">
        <v>62</v>
      </c>
      <c r="AB97" s="12">
        <v>60</v>
      </c>
      <c r="AC97" s="12">
        <v>50</v>
      </c>
      <c r="AD97" s="12">
        <v>22</v>
      </c>
      <c r="AE97" s="12">
        <v>67</v>
      </c>
      <c r="AF97" s="12">
        <v>28</v>
      </c>
      <c r="AG97" s="12">
        <v>28</v>
      </c>
      <c r="AH97" s="12">
        <v>22</v>
      </c>
      <c r="AI97" s="12">
        <v>17</v>
      </c>
      <c r="AJ97" s="12">
        <v>5</v>
      </c>
      <c r="AK97" s="12">
        <v>3</v>
      </c>
      <c r="AL97" s="12">
        <v>3</v>
      </c>
      <c r="AM97" s="12">
        <v>2</v>
      </c>
      <c r="AN97" s="12">
        <v>4</v>
      </c>
      <c r="AO97" s="12">
        <v>0</v>
      </c>
      <c r="AP97" s="12">
        <v>1</v>
      </c>
      <c r="AQ97" s="12">
        <v>3</v>
      </c>
      <c r="AR97" s="12">
        <v>0</v>
      </c>
      <c r="AS97" s="12">
        <v>1</v>
      </c>
      <c r="AT97" s="12">
        <v>1</v>
      </c>
      <c r="AU97" s="12">
        <v>1</v>
      </c>
      <c r="AV97" s="12">
        <v>0</v>
      </c>
      <c r="AW97" s="12">
        <v>1</v>
      </c>
      <c r="AX97" s="12">
        <v>4</v>
      </c>
      <c r="AY97" s="12">
        <v>2</v>
      </c>
      <c r="AZ97" s="12">
        <v>1</v>
      </c>
      <c r="BA97" s="12">
        <v>3</v>
      </c>
      <c r="BB97" s="12">
        <v>2</v>
      </c>
      <c r="BC97" s="12">
        <v>0</v>
      </c>
      <c r="BD97" s="12">
        <v>0</v>
      </c>
      <c r="BE97" s="12">
        <v>0</v>
      </c>
      <c r="BF97" s="12">
        <v>0</v>
      </c>
      <c r="BG97" s="12">
        <v>0</v>
      </c>
      <c r="BH97" s="12">
        <v>0</v>
      </c>
      <c r="BI97" s="12">
        <v>0</v>
      </c>
      <c r="BJ97" s="12">
        <v>1</v>
      </c>
      <c r="BK97" s="12">
        <v>0</v>
      </c>
      <c r="BL97" s="12">
        <v>1</v>
      </c>
      <c r="BM97" s="12">
        <v>0</v>
      </c>
      <c r="BN97" s="12">
        <v>0</v>
      </c>
      <c r="BO97" s="12">
        <v>0</v>
      </c>
      <c r="BP97" s="12">
        <v>1</v>
      </c>
      <c r="BQ97" s="12">
        <v>0</v>
      </c>
      <c r="BR97" s="12">
        <v>1</v>
      </c>
      <c r="BS97" s="12">
        <v>0</v>
      </c>
      <c r="BT97" s="12">
        <v>0</v>
      </c>
      <c r="BU97" s="12">
        <v>0</v>
      </c>
      <c r="BV97" s="12">
        <v>0</v>
      </c>
      <c r="BW97" s="12">
        <v>1</v>
      </c>
      <c r="BX97" s="12">
        <v>0</v>
      </c>
      <c r="BY97" s="12">
        <v>0</v>
      </c>
      <c r="BZ97" s="12">
        <v>0</v>
      </c>
      <c r="CA97" s="12">
        <v>0</v>
      </c>
      <c r="CB97" s="12">
        <v>1</v>
      </c>
      <c r="CC97" s="12">
        <v>0</v>
      </c>
      <c r="CD97" s="12">
        <v>0</v>
      </c>
      <c r="CE97" s="12">
        <v>0</v>
      </c>
      <c r="CF97" s="12">
        <v>0</v>
      </c>
      <c r="CG97" s="12">
        <v>0</v>
      </c>
      <c r="CH97" s="12">
        <v>0</v>
      </c>
      <c r="CI97" s="12">
        <v>0</v>
      </c>
      <c r="CJ97" s="12">
        <v>0</v>
      </c>
      <c r="CK97" s="12">
        <v>0</v>
      </c>
      <c r="CL97" s="12">
        <v>0</v>
      </c>
      <c r="CM97" s="12">
        <v>0</v>
      </c>
      <c r="CN97" s="12">
        <v>0</v>
      </c>
      <c r="CO97" s="12">
        <v>0</v>
      </c>
      <c r="CP97" s="12">
        <v>0</v>
      </c>
      <c r="CQ97" s="12">
        <v>0</v>
      </c>
      <c r="CR97" s="12">
        <v>0</v>
      </c>
      <c r="CS97" s="12">
        <v>0</v>
      </c>
      <c r="CT97" s="12">
        <v>0</v>
      </c>
      <c r="CU97" s="12">
        <v>0</v>
      </c>
      <c r="CV97" s="12">
        <v>0</v>
      </c>
      <c r="CW97" s="12">
        <v>0</v>
      </c>
      <c r="CX97" s="12">
        <v>2</v>
      </c>
      <c r="CY97" s="12">
        <v>0</v>
      </c>
      <c r="CZ97" s="12">
        <v>0</v>
      </c>
      <c r="DA97" s="12">
        <v>0</v>
      </c>
      <c r="DB97" s="12">
        <v>0</v>
      </c>
      <c r="DC97" s="12">
        <v>0</v>
      </c>
      <c r="DD97" s="12">
        <v>0</v>
      </c>
      <c r="DE97" s="12">
        <v>0</v>
      </c>
      <c r="DF97" s="12">
        <v>0</v>
      </c>
      <c r="DG97" s="12">
        <v>0</v>
      </c>
      <c r="DH97" s="12">
        <v>0</v>
      </c>
      <c r="DI97" s="12">
        <v>0</v>
      </c>
      <c r="DJ97" s="12">
        <v>0</v>
      </c>
      <c r="DK97" s="12">
        <v>0</v>
      </c>
      <c r="DL97" s="12">
        <v>0</v>
      </c>
      <c r="DM97" s="12">
        <v>0</v>
      </c>
      <c r="DN97" s="12">
        <v>0</v>
      </c>
      <c r="DO97" s="12">
        <v>0</v>
      </c>
      <c r="DP97" s="12">
        <v>0</v>
      </c>
      <c r="DQ97" s="12">
        <v>0</v>
      </c>
      <c r="DR97" s="12">
        <v>0</v>
      </c>
      <c r="DS97" s="12">
        <v>0</v>
      </c>
      <c r="DT97" s="12">
        <v>0</v>
      </c>
      <c r="DU97" s="12">
        <v>0</v>
      </c>
      <c r="DV97" s="12">
        <v>0</v>
      </c>
      <c r="DW97" s="12">
        <v>0</v>
      </c>
      <c r="DX97" s="12">
        <v>0</v>
      </c>
      <c r="DY97" s="12">
        <v>0</v>
      </c>
      <c r="DZ97" s="12">
        <v>0</v>
      </c>
      <c r="EA97" s="12">
        <v>0</v>
      </c>
      <c r="EB97" s="12">
        <v>0</v>
      </c>
      <c r="EC97" s="12">
        <v>0</v>
      </c>
      <c r="ED97" s="12">
        <v>0</v>
      </c>
      <c r="EE97" s="12">
        <v>0</v>
      </c>
      <c r="EF97" s="12">
        <v>0</v>
      </c>
      <c r="EG97" s="12">
        <v>0</v>
      </c>
      <c r="EH97" s="12">
        <v>0</v>
      </c>
      <c r="EI97" s="12">
        <v>0</v>
      </c>
      <c r="EJ97" s="12">
        <v>0</v>
      </c>
      <c r="EK97" s="12">
        <v>0</v>
      </c>
      <c r="EL97" s="12">
        <v>0</v>
      </c>
      <c r="EM97" s="12">
        <v>0</v>
      </c>
      <c r="EN97" s="12">
        <v>0</v>
      </c>
      <c r="EO97" s="12">
        <v>0</v>
      </c>
      <c r="EP97" s="12" t="str">
        <f t="shared" si="26"/>
        <v>🔴 Sin venta</v>
      </c>
      <c r="EQ97" s="23">
        <f t="shared" si="22"/>
        <v>0</v>
      </c>
      <c r="ER97" s="19">
        <f t="shared" si="21"/>
        <v>0</v>
      </c>
      <c r="ES97" s="12">
        <f t="shared" si="20"/>
        <v>0</v>
      </c>
      <c r="ET97" s="23">
        <f t="shared" ref="ET97:ET128" si="27">ROUND((AVERAGE(CZ97:DG97)*4),2)</f>
        <v>0</v>
      </c>
      <c r="EU97" s="23">
        <f t="shared" si="25"/>
        <v>0</v>
      </c>
      <c r="EV97" s="23">
        <f t="shared" si="23"/>
        <v>0</v>
      </c>
      <c r="EW97" s="23"/>
      <c r="EX97" s="12">
        <v>0</v>
      </c>
      <c r="EY97" s="19" cm="1">
        <f t="array" ref="EY97:FC97">VLOOKUP(_xlfn.SINGLE(B:B),'[1]Price List'!$B:$N,{8,4,5,6,7},0)</f>
        <v>516.80999999999995</v>
      </c>
      <c r="EZ97" s="9" t="str">
        <v>Speck Presidio Pro Folio Case for iPad Pro 11" 2/M1/M2 /Air 10.9" 4/5 - Black</v>
      </c>
      <c r="FA97" s="12" t="str">
        <v>Cases iPad</v>
      </c>
      <c r="FB97" s="12" t="str">
        <v>iPad</v>
      </c>
      <c r="FC97" s="12" t="str">
        <v>iPad Pro 11" 2/3/4/Air 4/5</v>
      </c>
      <c r="FD97" s="23" t="str">
        <f>_xlfn.XLOOKUP(B:B,'[1]Price List'!$B:$B,'[1]Price List'!$A:$A)</f>
        <v>Speck</v>
      </c>
    </row>
    <row r="98" spans="1:160" s="9" customFormat="1" x14ac:dyDescent="0.2">
      <c r="A98" s="23" t="s">
        <v>599</v>
      </c>
      <c r="B98" s="23">
        <v>848709098153</v>
      </c>
      <c r="C98" s="9" t="s">
        <v>100</v>
      </c>
      <c r="D98" s="9" t="e">
        <v>#N/A</v>
      </c>
      <c r="E98" s="9" t="e">
        <v>#N/A</v>
      </c>
      <c r="F98" s="9" t="e">
        <v>#N/A</v>
      </c>
      <c r="G98" s="9" t="e">
        <v>#N/A</v>
      </c>
      <c r="H98" s="12" t="s">
        <v>101</v>
      </c>
      <c r="I98" s="11">
        <v>999</v>
      </c>
      <c r="J98" s="11">
        <v>430.6</v>
      </c>
      <c r="K98" s="62">
        <v>0</v>
      </c>
      <c r="L98" s="12">
        <v>0</v>
      </c>
      <c r="M98" s="13" t="s">
        <v>467</v>
      </c>
      <c r="N98" s="13" t="s">
        <v>475</v>
      </c>
      <c r="O98" s="27" t="s">
        <v>102</v>
      </c>
      <c r="P98" s="12">
        <v>17</v>
      </c>
      <c r="Q98" s="12">
        <v>27</v>
      </c>
      <c r="R98" s="12">
        <v>17</v>
      </c>
      <c r="S98" s="12">
        <v>16</v>
      </c>
      <c r="T98" s="12">
        <v>15</v>
      </c>
      <c r="U98" s="12">
        <v>20</v>
      </c>
      <c r="V98" s="12">
        <v>62</v>
      </c>
      <c r="W98" s="12">
        <v>34</v>
      </c>
      <c r="X98" s="12">
        <v>20</v>
      </c>
      <c r="Y98" s="12">
        <v>29</v>
      </c>
      <c r="Z98" s="12">
        <v>43</v>
      </c>
      <c r="AA98" s="12">
        <v>63</v>
      </c>
      <c r="AB98" s="12">
        <v>35</v>
      </c>
      <c r="AC98" s="12">
        <v>22</v>
      </c>
      <c r="AD98" s="12">
        <v>5</v>
      </c>
      <c r="AE98" s="12">
        <v>8</v>
      </c>
      <c r="AF98" s="12">
        <v>8</v>
      </c>
      <c r="AG98" s="12">
        <v>6</v>
      </c>
      <c r="AH98" s="12">
        <v>4</v>
      </c>
      <c r="AI98" s="12">
        <v>2</v>
      </c>
      <c r="AJ98" s="12">
        <v>3</v>
      </c>
      <c r="AK98" s="12">
        <v>0</v>
      </c>
      <c r="AL98" s="12">
        <v>3</v>
      </c>
      <c r="AM98" s="12">
        <v>2</v>
      </c>
      <c r="AN98" s="12">
        <v>1</v>
      </c>
      <c r="AO98" s="12">
        <v>0</v>
      </c>
      <c r="AP98" s="12">
        <v>0</v>
      </c>
      <c r="AQ98" s="12">
        <v>0</v>
      </c>
      <c r="AR98" s="12">
        <v>0</v>
      </c>
      <c r="AS98" s="12">
        <v>0</v>
      </c>
      <c r="AT98" s="12">
        <v>2</v>
      </c>
      <c r="AU98" s="12">
        <v>1</v>
      </c>
      <c r="AV98" s="12">
        <v>1</v>
      </c>
      <c r="AW98" s="12">
        <v>0</v>
      </c>
      <c r="AX98" s="12">
        <v>1</v>
      </c>
      <c r="AY98" s="12">
        <v>2</v>
      </c>
      <c r="AZ98" s="12">
        <v>1</v>
      </c>
      <c r="BA98" s="12">
        <v>0</v>
      </c>
      <c r="BB98" s="12">
        <v>0</v>
      </c>
      <c r="BC98" s="12">
        <v>1</v>
      </c>
      <c r="BD98" s="12">
        <v>0</v>
      </c>
      <c r="BE98" s="12">
        <v>0</v>
      </c>
      <c r="BF98" s="12">
        <v>0</v>
      </c>
      <c r="BG98" s="12">
        <v>0</v>
      </c>
      <c r="BH98" s="12">
        <v>0</v>
      </c>
      <c r="BI98" s="12">
        <v>0</v>
      </c>
      <c r="BJ98" s="12">
        <v>1</v>
      </c>
      <c r="BK98" s="12">
        <v>0</v>
      </c>
      <c r="BL98" s="12">
        <v>0</v>
      </c>
      <c r="BM98" s="12">
        <v>0</v>
      </c>
      <c r="BN98" s="12">
        <v>0</v>
      </c>
      <c r="BO98" s="12">
        <v>0</v>
      </c>
      <c r="BP98" s="12">
        <v>0</v>
      </c>
      <c r="BQ98" s="12">
        <v>0</v>
      </c>
      <c r="BR98" s="12">
        <v>0</v>
      </c>
      <c r="BS98" s="12">
        <v>0</v>
      </c>
      <c r="BT98" s="12">
        <v>0</v>
      </c>
      <c r="BU98" s="12">
        <v>0</v>
      </c>
      <c r="BV98" s="12">
        <v>0</v>
      </c>
      <c r="BW98" s="12">
        <v>0</v>
      </c>
      <c r="BX98" s="12">
        <v>0</v>
      </c>
      <c r="BY98" s="12">
        <v>0</v>
      </c>
      <c r="BZ98" s="12">
        <v>0</v>
      </c>
      <c r="CA98" s="12">
        <v>0</v>
      </c>
      <c r="CB98" s="12">
        <v>0</v>
      </c>
      <c r="CC98" s="12">
        <v>0</v>
      </c>
      <c r="CD98" s="12">
        <v>0</v>
      </c>
      <c r="CE98" s="12">
        <v>0</v>
      </c>
      <c r="CF98" s="12">
        <v>0</v>
      </c>
      <c r="CG98" s="12">
        <v>0</v>
      </c>
      <c r="CH98" s="12">
        <v>0</v>
      </c>
      <c r="CI98" s="12">
        <v>0</v>
      </c>
      <c r="CJ98" s="12">
        <v>0</v>
      </c>
      <c r="CK98" s="12">
        <v>0</v>
      </c>
      <c r="CL98" s="12">
        <v>0</v>
      </c>
      <c r="CM98" s="12">
        <v>0</v>
      </c>
      <c r="CN98" s="12">
        <v>0</v>
      </c>
      <c r="CO98" s="12">
        <v>0</v>
      </c>
      <c r="CP98" s="12">
        <v>0</v>
      </c>
      <c r="CQ98" s="12">
        <v>0</v>
      </c>
      <c r="CR98" s="12">
        <v>0</v>
      </c>
      <c r="CS98" s="12">
        <v>0</v>
      </c>
      <c r="CT98" s="12">
        <v>0</v>
      </c>
      <c r="CU98" s="12">
        <v>0</v>
      </c>
      <c r="CV98" s="12">
        <v>0</v>
      </c>
      <c r="CW98" s="12">
        <v>0</v>
      </c>
      <c r="CX98" s="12">
        <v>0</v>
      </c>
      <c r="CY98" s="12">
        <v>0</v>
      </c>
      <c r="CZ98" s="12">
        <v>0</v>
      </c>
      <c r="DA98" s="12">
        <v>0</v>
      </c>
      <c r="DB98" s="12">
        <v>0</v>
      </c>
      <c r="DC98" s="12">
        <v>0</v>
      </c>
      <c r="DD98" s="12">
        <v>0</v>
      </c>
      <c r="DE98" s="12">
        <v>0</v>
      </c>
      <c r="DF98" s="12">
        <v>0</v>
      </c>
      <c r="DG98" s="12">
        <v>0</v>
      </c>
      <c r="DH98" s="12">
        <v>0</v>
      </c>
      <c r="DI98" s="12">
        <v>0</v>
      </c>
      <c r="DJ98" s="12">
        <v>0</v>
      </c>
      <c r="DK98" s="12">
        <v>0</v>
      </c>
      <c r="DL98" s="12">
        <v>0</v>
      </c>
      <c r="DM98" s="12">
        <v>0</v>
      </c>
      <c r="DN98" s="12">
        <v>0</v>
      </c>
      <c r="DO98" s="12">
        <v>0</v>
      </c>
      <c r="DP98" s="12">
        <v>0</v>
      </c>
      <c r="DQ98" s="12">
        <v>0</v>
      </c>
      <c r="DR98" s="12">
        <v>0</v>
      </c>
      <c r="DS98" s="12">
        <v>0</v>
      </c>
      <c r="DT98" s="12">
        <v>0</v>
      </c>
      <c r="DU98" s="12">
        <v>0</v>
      </c>
      <c r="DV98" s="12">
        <v>0</v>
      </c>
      <c r="DW98" s="12">
        <v>0</v>
      </c>
      <c r="DX98" s="12">
        <v>0</v>
      </c>
      <c r="DY98" s="12">
        <v>0</v>
      </c>
      <c r="DZ98" s="12">
        <v>0</v>
      </c>
      <c r="EA98" s="12">
        <v>0</v>
      </c>
      <c r="EB98" s="12">
        <v>0</v>
      </c>
      <c r="EC98" s="12">
        <v>0</v>
      </c>
      <c r="ED98" s="12">
        <v>0</v>
      </c>
      <c r="EE98" s="12">
        <v>0</v>
      </c>
      <c r="EF98" s="12">
        <v>0</v>
      </c>
      <c r="EG98" s="12">
        <v>0</v>
      </c>
      <c r="EH98" s="12">
        <v>0</v>
      </c>
      <c r="EI98" s="12">
        <v>0</v>
      </c>
      <c r="EJ98" s="12">
        <v>0</v>
      </c>
      <c r="EK98" s="12">
        <v>0</v>
      </c>
      <c r="EL98" s="12">
        <v>0</v>
      </c>
      <c r="EM98" s="12">
        <v>0</v>
      </c>
      <c r="EN98" s="12">
        <v>0</v>
      </c>
      <c r="EO98" s="12">
        <v>0</v>
      </c>
      <c r="EP98" s="12" t="str">
        <f t="shared" si="26"/>
        <v>🔴 Sin venta</v>
      </c>
      <c r="EQ98" s="23">
        <f t="shared" si="22"/>
        <v>0</v>
      </c>
      <c r="ER98" s="19">
        <f t="shared" si="21"/>
        <v>0</v>
      </c>
      <c r="ES98" s="12">
        <f t="shared" si="20"/>
        <v>0</v>
      </c>
      <c r="ET98" s="23">
        <f t="shared" si="27"/>
        <v>0</v>
      </c>
      <c r="EU98" s="23">
        <f t="shared" si="25"/>
        <v>0</v>
      </c>
      <c r="EV98" s="23">
        <f t="shared" si="23"/>
        <v>0</v>
      </c>
      <c r="EW98" s="23"/>
      <c r="EX98" s="12">
        <v>4</v>
      </c>
      <c r="EY98" s="19" cm="1">
        <f t="array" ref="EY98:FC98">VLOOKUP(_xlfn.SINGLE(B:B),'[1]Price List'!$B:$N,{8,4,5,6,7},0)</f>
        <v>430.6</v>
      </c>
      <c r="EZ98" s="9" t="str">
        <v>Speck Balance Folio Clear Case for iPad 10.2" 7/8/9 Gen - Rose Gold Woven Metallic</v>
      </c>
      <c r="FA98" s="12" t="str">
        <v>Cases iPad</v>
      </c>
      <c r="FB98" s="12" t="str">
        <v>iPad</v>
      </c>
      <c r="FC98" s="12" t="str">
        <v>iPad 10.2"</v>
      </c>
      <c r="FD98" s="23" t="str">
        <f>_xlfn.XLOOKUP(B:B,'[1]Price List'!$B:$B,'[1]Price List'!$A:$A)</f>
        <v>Speck</v>
      </c>
    </row>
    <row r="99" spans="1:160" s="9" customFormat="1" x14ac:dyDescent="0.2">
      <c r="A99" s="23" t="s">
        <v>599</v>
      </c>
      <c r="B99" s="23">
        <v>840168501328</v>
      </c>
      <c r="C99" s="9" t="s">
        <v>125</v>
      </c>
      <c r="D99" s="9" t="s">
        <v>644</v>
      </c>
      <c r="E99" s="9" t="s">
        <v>320</v>
      </c>
      <c r="F99" s="9" t="s">
        <v>612</v>
      </c>
      <c r="G99" s="9" t="s">
        <v>676</v>
      </c>
      <c r="H99" s="12" t="s">
        <v>126</v>
      </c>
      <c r="I99" s="11">
        <v>999</v>
      </c>
      <c r="J99" s="11">
        <v>430.6</v>
      </c>
      <c r="K99" s="62">
        <v>0</v>
      </c>
      <c r="L99" s="12">
        <v>0</v>
      </c>
      <c r="M99" s="13" t="s">
        <v>467</v>
      </c>
      <c r="N99" s="13" t="s">
        <v>475</v>
      </c>
      <c r="O99" s="27">
        <v>45146</v>
      </c>
      <c r="P99" s="12">
        <v>12</v>
      </c>
      <c r="Q99" s="12">
        <v>11</v>
      </c>
      <c r="R99" s="12">
        <v>10</v>
      </c>
      <c r="S99" s="12">
        <v>10</v>
      </c>
      <c r="T99" s="12">
        <v>19</v>
      </c>
      <c r="U99" s="12">
        <v>9</v>
      </c>
      <c r="V99" s="12">
        <v>30</v>
      </c>
      <c r="W99" s="12">
        <v>28</v>
      </c>
      <c r="X99" s="12">
        <v>19</v>
      </c>
      <c r="Y99" s="12">
        <v>22</v>
      </c>
      <c r="Z99" s="12">
        <v>28</v>
      </c>
      <c r="AA99" s="12">
        <v>48</v>
      </c>
      <c r="AB99" s="12">
        <v>37</v>
      </c>
      <c r="AC99" s="12">
        <v>45</v>
      </c>
      <c r="AD99" s="12">
        <v>12</v>
      </c>
      <c r="AE99" s="12">
        <v>27</v>
      </c>
      <c r="AF99" s="12">
        <v>20</v>
      </c>
      <c r="AG99" s="12">
        <v>11</v>
      </c>
      <c r="AH99" s="12">
        <v>20</v>
      </c>
      <c r="AI99" s="12">
        <v>18</v>
      </c>
      <c r="AJ99" s="12">
        <v>14</v>
      </c>
      <c r="AK99" s="12">
        <v>16</v>
      </c>
      <c r="AL99" s="12">
        <v>17</v>
      </c>
      <c r="AM99" s="12">
        <v>20</v>
      </c>
      <c r="AN99" s="12">
        <v>11</v>
      </c>
      <c r="AO99" s="12">
        <v>14</v>
      </c>
      <c r="AP99" s="12">
        <v>14</v>
      </c>
      <c r="AQ99" s="12">
        <v>12</v>
      </c>
      <c r="AR99" s="12">
        <v>12</v>
      </c>
      <c r="AS99" s="12">
        <v>18</v>
      </c>
      <c r="AT99" s="12">
        <v>17</v>
      </c>
      <c r="AU99" s="12">
        <v>18</v>
      </c>
      <c r="AV99" s="12">
        <v>17</v>
      </c>
      <c r="AW99" s="12">
        <v>23</v>
      </c>
      <c r="AX99" s="12">
        <v>17</v>
      </c>
      <c r="AY99" s="12">
        <v>17</v>
      </c>
      <c r="AZ99" s="12">
        <v>12</v>
      </c>
      <c r="BA99" s="12">
        <v>23</v>
      </c>
      <c r="BB99" s="12">
        <v>26</v>
      </c>
      <c r="BC99" s="12">
        <v>36</v>
      </c>
      <c r="BD99" s="12">
        <v>30</v>
      </c>
      <c r="BE99" s="12">
        <v>30</v>
      </c>
      <c r="BF99" s="12">
        <v>15</v>
      </c>
      <c r="BG99" s="12">
        <v>0</v>
      </c>
      <c r="BH99" s="12">
        <v>5</v>
      </c>
      <c r="BI99" s="12">
        <v>5</v>
      </c>
      <c r="BJ99" s="12">
        <v>9</v>
      </c>
      <c r="BK99" s="12">
        <v>16</v>
      </c>
      <c r="BL99" s="12">
        <v>5</v>
      </c>
      <c r="BM99" s="12">
        <v>8</v>
      </c>
      <c r="BN99" s="12">
        <v>15</v>
      </c>
      <c r="BO99" s="12">
        <v>18</v>
      </c>
      <c r="BP99" s="12">
        <v>21</v>
      </c>
      <c r="BQ99" s="12">
        <v>35</v>
      </c>
      <c r="BR99" s="12">
        <v>19</v>
      </c>
      <c r="BS99" s="12">
        <v>16</v>
      </c>
      <c r="BT99" s="12">
        <v>11</v>
      </c>
      <c r="BU99" s="12">
        <v>10</v>
      </c>
      <c r="BV99" s="12">
        <v>3</v>
      </c>
      <c r="BW99" s="12">
        <v>10</v>
      </c>
      <c r="BX99" s="12">
        <v>3</v>
      </c>
      <c r="BY99" s="12">
        <v>8</v>
      </c>
      <c r="BZ99" s="12">
        <v>8</v>
      </c>
      <c r="CA99" s="12">
        <v>9</v>
      </c>
      <c r="CB99" s="12">
        <v>3</v>
      </c>
      <c r="CC99" s="12">
        <v>8</v>
      </c>
      <c r="CD99" s="12">
        <v>3</v>
      </c>
      <c r="CE99" s="12">
        <v>6</v>
      </c>
      <c r="CF99" s="12">
        <v>10</v>
      </c>
      <c r="CG99" s="12">
        <v>9</v>
      </c>
      <c r="CH99" s="12">
        <v>5</v>
      </c>
      <c r="CI99" s="12">
        <v>14</v>
      </c>
      <c r="CJ99" s="12">
        <v>7</v>
      </c>
      <c r="CK99" s="12">
        <v>8</v>
      </c>
      <c r="CL99" s="12">
        <v>6</v>
      </c>
      <c r="CM99" s="12">
        <v>4</v>
      </c>
      <c r="CN99" s="12">
        <v>6</v>
      </c>
      <c r="CO99" s="12">
        <v>6</v>
      </c>
      <c r="CP99" s="12">
        <v>7</v>
      </c>
      <c r="CQ99" s="12">
        <v>3</v>
      </c>
      <c r="CR99" s="12">
        <v>5</v>
      </c>
      <c r="CS99" s="12">
        <v>2</v>
      </c>
      <c r="CT99" s="12">
        <v>7</v>
      </c>
      <c r="CU99" s="12">
        <v>8</v>
      </c>
      <c r="CV99" s="12">
        <v>13</v>
      </c>
      <c r="CW99" s="12">
        <v>6</v>
      </c>
      <c r="CX99" s="12">
        <v>5</v>
      </c>
      <c r="CY99" s="12">
        <v>6</v>
      </c>
      <c r="CZ99" s="12">
        <v>3</v>
      </c>
      <c r="DA99" s="12">
        <v>5</v>
      </c>
      <c r="DB99" s="12">
        <v>3</v>
      </c>
      <c r="DC99" s="12">
        <v>6</v>
      </c>
      <c r="DD99" s="12">
        <v>2</v>
      </c>
      <c r="DE99" s="12">
        <v>5</v>
      </c>
      <c r="DF99" s="12">
        <v>8</v>
      </c>
      <c r="DG99" s="12">
        <v>1</v>
      </c>
      <c r="DH99" s="12">
        <v>7</v>
      </c>
      <c r="DI99" s="12">
        <v>11</v>
      </c>
      <c r="DJ99" s="12">
        <v>8</v>
      </c>
      <c r="DK99" s="12">
        <v>1</v>
      </c>
      <c r="DL99" s="12">
        <v>2</v>
      </c>
      <c r="DM99" s="12">
        <v>4</v>
      </c>
      <c r="DN99" s="12">
        <v>5</v>
      </c>
      <c r="DO99" s="12">
        <v>8</v>
      </c>
      <c r="DP99" s="12">
        <v>3</v>
      </c>
      <c r="DQ99" s="12">
        <v>4</v>
      </c>
      <c r="DR99" s="12">
        <v>1</v>
      </c>
      <c r="DS99" s="12">
        <v>1</v>
      </c>
      <c r="DT99" s="12">
        <v>0</v>
      </c>
      <c r="DU99" s="12">
        <v>0</v>
      </c>
      <c r="DV99" s="12">
        <v>0</v>
      </c>
      <c r="DW99" s="12">
        <v>1</v>
      </c>
      <c r="DX99" s="12">
        <v>0</v>
      </c>
      <c r="DY99" s="12">
        <v>0</v>
      </c>
      <c r="DZ99" s="12">
        <v>1</v>
      </c>
      <c r="EA99" s="12">
        <v>4</v>
      </c>
      <c r="EB99" s="12">
        <v>-1</v>
      </c>
      <c r="EC99" s="12">
        <v>0</v>
      </c>
      <c r="ED99" s="12">
        <v>1</v>
      </c>
      <c r="EE99" s="12">
        <v>0</v>
      </c>
      <c r="EF99" s="12">
        <v>1</v>
      </c>
      <c r="EG99" s="12">
        <v>1</v>
      </c>
      <c r="EH99" s="12">
        <v>2</v>
      </c>
      <c r="EI99" s="12">
        <v>2</v>
      </c>
      <c r="EJ99" s="12">
        <v>3</v>
      </c>
      <c r="EK99" s="12">
        <v>0</v>
      </c>
      <c r="EL99" s="12">
        <v>2</v>
      </c>
      <c r="EM99" s="12">
        <v>1</v>
      </c>
      <c r="EN99" s="12">
        <v>0</v>
      </c>
      <c r="EO99" s="12">
        <v>2</v>
      </c>
      <c r="EP99" s="12" t="str">
        <f t="shared" si="26"/>
        <v>🟢 Bien</v>
      </c>
      <c r="EQ99" s="23">
        <f t="shared" si="22"/>
        <v>1.125</v>
      </c>
      <c r="ER99" s="19">
        <f t="shared" si="21"/>
        <v>12487.400000000001</v>
      </c>
      <c r="ES99" s="12">
        <f t="shared" si="20"/>
        <v>29</v>
      </c>
      <c r="ET99" s="23">
        <f t="shared" si="27"/>
        <v>16.5</v>
      </c>
      <c r="EU99" s="23">
        <f t="shared" si="25"/>
        <v>23</v>
      </c>
      <c r="EV99" s="23">
        <f t="shared" si="23"/>
        <v>3.78</v>
      </c>
      <c r="EW99" s="23"/>
      <c r="EX99" s="12">
        <v>28</v>
      </c>
      <c r="EY99" s="19" cm="1">
        <f t="array" ref="EY99:FC99">VLOOKUP(_xlfn.SINGLE(B:B),'[1]Price List'!$B:$N,{8,4,5,6,7},0)</f>
        <v>430.6</v>
      </c>
      <c r="EZ99" s="9" t="str">
        <v>Speck Balance Folio iPad Pro 11/Air 2020 Arcadia Navy/Moody Grey</v>
      </c>
      <c r="FA99" s="12" t="str">
        <v>Cases iPad</v>
      </c>
      <c r="FB99" s="12" t="str">
        <v>iPad</v>
      </c>
      <c r="FC99" s="12" t="str">
        <v>iPad Pro 11" 2/3/4/Air 4/5</v>
      </c>
      <c r="FD99" s="23" t="str">
        <f>_xlfn.XLOOKUP(B:B,'[1]Price List'!$B:$B,'[1]Price List'!$A:$A)</f>
        <v>Speck</v>
      </c>
    </row>
    <row r="100" spans="1:160" s="9" customFormat="1" x14ac:dyDescent="0.2">
      <c r="A100" s="23" t="s">
        <v>599</v>
      </c>
      <c r="B100" s="23">
        <v>840168528189</v>
      </c>
      <c r="C100" s="9" t="s">
        <v>242</v>
      </c>
      <c r="D100" s="9" t="s">
        <v>644</v>
      </c>
      <c r="E100" s="9" t="s">
        <v>320</v>
      </c>
      <c r="F100" s="9" t="s">
        <v>614</v>
      </c>
      <c r="G100" s="9" t="s">
        <v>679</v>
      </c>
      <c r="H100" s="12" t="s">
        <v>243</v>
      </c>
      <c r="I100" s="11">
        <v>999</v>
      </c>
      <c r="J100" s="11">
        <v>430.6</v>
      </c>
      <c r="K100" s="62">
        <v>0</v>
      </c>
      <c r="L100" s="12">
        <v>0</v>
      </c>
      <c r="M100" s="13" t="s">
        <v>467</v>
      </c>
      <c r="N100" s="13" t="s">
        <v>475</v>
      </c>
      <c r="O100" s="27">
        <v>44662</v>
      </c>
      <c r="P100" s="12">
        <v>7</v>
      </c>
      <c r="Q100" s="12">
        <v>4</v>
      </c>
      <c r="R100" s="12">
        <v>14</v>
      </c>
      <c r="S100" s="12">
        <v>10</v>
      </c>
      <c r="T100" s="12">
        <v>8</v>
      </c>
      <c r="U100" s="12">
        <v>5</v>
      </c>
      <c r="V100" s="12">
        <v>30</v>
      </c>
      <c r="W100" s="12">
        <v>23</v>
      </c>
      <c r="X100" s="12">
        <v>17</v>
      </c>
      <c r="Y100" s="12">
        <v>11</v>
      </c>
      <c r="Z100" s="12">
        <v>21</v>
      </c>
      <c r="AA100" s="12">
        <v>42</v>
      </c>
      <c r="AB100" s="12">
        <v>51</v>
      </c>
      <c r="AC100" s="12">
        <v>16</v>
      </c>
      <c r="AD100" s="12">
        <v>16</v>
      </c>
      <c r="AE100" s="12">
        <v>27</v>
      </c>
      <c r="AF100" s="12">
        <v>22</v>
      </c>
      <c r="AG100" s="12">
        <v>25</v>
      </c>
      <c r="AH100" s="12">
        <v>12</v>
      </c>
      <c r="AI100" s="12">
        <v>22</v>
      </c>
      <c r="AJ100" s="12">
        <v>26</v>
      </c>
      <c r="AK100" s="12">
        <v>18</v>
      </c>
      <c r="AL100" s="12">
        <v>16</v>
      </c>
      <c r="AM100" s="12">
        <v>20</v>
      </c>
      <c r="AN100" s="12">
        <v>9</v>
      </c>
      <c r="AO100" s="12">
        <v>13</v>
      </c>
      <c r="AP100" s="12">
        <v>16</v>
      </c>
      <c r="AQ100" s="12">
        <v>9</v>
      </c>
      <c r="AR100" s="12">
        <v>13</v>
      </c>
      <c r="AS100" s="12">
        <v>18</v>
      </c>
      <c r="AT100" s="12">
        <v>18</v>
      </c>
      <c r="AU100" s="12">
        <v>21</v>
      </c>
      <c r="AV100" s="12">
        <v>20</v>
      </c>
      <c r="AW100" s="12">
        <v>31</v>
      </c>
      <c r="AX100" s="12">
        <v>43</v>
      </c>
      <c r="AY100" s="12">
        <v>34</v>
      </c>
      <c r="AZ100" s="12">
        <v>35</v>
      </c>
      <c r="BA100" s="12">
        <v>50</v>
      </c>
      <c r="BB100" s="12">
        <v>47</v>
      </c>
      <c r="BC100" s="12">
        <v>67</v>
      </c>
      <c r="BD100" s="12">
        <v>36</v>
      </c>
      <c r="BE100" s="12">
        <v>43</v>
      </c>
      <c r="BF100" s="12">
        <v>45</v>
      </c>
      <c r="BG100" s="12">
        <v>12</v>
      </c>
      <c r="BH100" s="12">
        <v>11</v>
      </c>
      <c r="BI100" s="12">
        <v>11</v>
      </c>
      <c r="BJ100" s="12">
        <v>37</v>
      </c>
      <c r="BK100" s="12">
        <v>28</v>
      </c>
      <c r="BL100" s="12">
        <v>12</v>
      </c>
      <c r="BM100" s="12">
        <v>17</v>
      </c>
      <c r="BN100" s="12">
        <v>24</v>
      </c>
      <c r="BO100" s="12">
        <v>55</v>
      </c>
      <c r="BP100" s="12">
        <v>60</v>
      </c>
      <c r="BQ100" s="12">
        <v>37</v>
      </c>
      <c r="BR100" s="12">
        <v>27</v>
      </c>
      <c r="BS100" s="12">
        <v>11</v>
      </c>
      <c r="BT100" s="12">
        <v>13</v>
      </c>
      <c r="BU100" s="12">
        <v>16</v>
      </c>
      <c r="BV100" s="12">
        <v>14</v>
      </c>
      <c r="BW100" s="12">
        <v>13</v>
      </c>
      <c r="BX100" s="12">
        <v>5</v>
      </c>
      <c r="BY100" s="12">
        <v>3</v>
      </c>
      <c r="BZ100" s="12">
        <v>3</v>
      </c>
      <c r="CA100" s="12">
        <v>4</v>
      </c>
      <c r="CB100" s="12">
        <v>4</v>
      </c>
      <c r="CC100" s="12">
        <v>4</v>
      </c>
      <c r="CD100" s="12">
        <v>1</v>
      </c>
      <c r="CE100" s="12">
        <v>8</v>
      </c>
      <c r="CF100" s="12">
        <v>7</v>
      </c>
      <c r="CG100" s="12">
        <v>3</v>
      </c>
      <c r="CH100" s="12">
        <v>9</v>
      </c>
      <c r="CI100" s="12">
        <v>23</v>
      </c>
      <c r="CJ100" s="12">
        <v>17</v>
      </c>
      <c r="CK100" s="12">
        <v>42</v>
      </c>
      <c r="CL100" s="12">
        <v>19</v>
      </c>
      <c r="CM100" s="12">
        <v>49</v>
      </c>
      <c r="CN100" s="12">
        <v>19</v>
      </c>
      <c r="CO100" s="12">
        <v>18</v>
      </c>
      <c r="CP100" s="12">
        <v>19</v>
      </c>
      <c r="CQ100" s="12">
        <v>10</v>
      </c>
      <c r="CR100" s="12">
        <v>14</v>
      </c>
      <c r="CS100" s="12">
        <v>13</v>
      </c>
      <c r="CT100" s="12">
        <v>9</v>
      </c>
      <c r="CU100" s="12">
        <v>16</v>
      </c>
      <c r="CV100" s="12">
        <v>19</v>
      </c>
      <c r="CW100" s="12">
        <v>17</v>
      </c>
      <c r="CX100" s="12">
        <v>12</v>
      </c>
      <c r="CY100" s="12">
        <v>2</v>
      </c>
      <c r="CZ100" s="12">
        <v>4</v>
      </c>
      <c r="DA100" s="12">
        <v>10</v>
      </c>
      <c r="DB100" s="12">
        <v>3</v>
      </c>
      <c r="DC100" s="12">
        <v>1</v>
      </c>
      <c r="DD100" s="12">
        <v>3</v>
      </c>
      <c r="DE100" s="12">
        <v>1</v>
      </c>
      <c r="DF100" s="12">
        <v>1</v>
      </c>
      <c r="DG100" s="12">
        <v>0</v>
      </c>
      <c r="DH100" s="12">
        <v>2</v>
      </c>
      <c r="DI100" s="12">
        <v>5</v>
      </c>
      <c r="DJ100" s="12">
        <v>0</v>
      </c>
      <c r="DK100" s="12">
        <v>2</v>
      </c>
      <c r="DL100" s="12">
        <v>2</v>
      </c>
      <c r="DM100" s="12">
        <v>2</v>
      </c>
      <c r="DN100" s="12">
        <v>3</v>
      </c>
      <c r="DO100" s="12">
        <v>2</v>
      </c>
      <c r="DP100" s="12">
        <v>1</v>
      </c>
      <c r="DQ100" s="12">
        <v>1</v>
      </c>
      <c r="DR100" s="12">
        <v>0</v>
      </c>
      <c r="DS100" s="12">
        <v>2</v>
      </c>
      <c r="DT100" s="12">
        <v>0</v>
      </c>
      <c r="DU100" s="12">
        <v>0</v>
      </c>
      <c r="DV100" s="12">
        <v>2</v>
      </c>
      <c r="DW100" s="12">
        <v>1</v>
      </c>
      <c r="DX100" s="12">
        <v>0</v>
      </c>
      <c r="DY100" s="12">
        <v>0</v>
      </c>
      <c r="DZ100" s="12">
        <v>0</v>
      </c>
      <c r="EA100" s="12">
        <v>1</v>
      </c>
      <c r="EB100" s="12">
        <v>0</v>
      </c>
      <c r="EC100" s="12">
        <v>0</v>
      </c>
      <c r="ED100" s="12">
        <v>0</v>
      </c>
      <c r="EE100" s="12">
        <v>0</v>
      </c>
      <c r="EF100" s="12">
        <v>0</v>
      </c>
      <c r="EG100" s="12">
        <v>0</v>
      </c>
      <c r="EH100" s="12">
        <v>0</v>
      </c>
      <c r="EI100" s="12">
        <v>0</v>
      </c>
      <c r="EJ100" s="12">
        <v>0</v>
      </c>
      <c r="EK100" s="12">
        <v>0</v>
      </c>
      <c r="EL100" s="12">
        <v>0</v>
      </c>
      <c r="EM100" s="12">
        <v>0</v>
      </c>
      <c r="EN100" s="12">
        <v>0</v>
      </c>
      <c r="EO100" s="12">
        <v>0</v>
      </c>
      <c r="EP100" s="12" t="str">
        <f t="shared" si="26"/>
        <v>🔴 Sin venta</v>
      </c>
      <c r="EQ100" s="23">
        <f t="shared" si="22"/>
        <v>0.33333333333333331</v>
      </c>
      <c r="ER100" s="19">
        <f t="shared" si="21"/>
        <v>3444.8</v>
      </c>
      <c r="ES100" s="12">
        <f t="shared" si="20"/>
        <v>8</v>
      </c>
      <c r="ET100" s="23">
        <f t="shared" si="27"/>
        <v>11.5</v>
      </c>
      <c r="EU100" s="23">
        <f t="shared" si="25"/>
        <v>9</v>
      </c>
      <c r="EV100" s="23">
        <f t="shared" si="23"/>
        <v>1.78</v>
      </c>
      <c r="EW100" s="23"/>
      <c r="EX100" s="12">
        <v>4</v>
      </c>
      <c r="EY100" s="19" cm="1">
        <f t="array" ref="EY100:FC100">VLOOKUP(_xlfn.SINGLE(B:B),'[1]Price List'!$B:$N,{8,4,5,6,7},0)</f>
        <v>430.6</v>
      </c>
      <c r="EZ100" s="9" t="str">
        <v>Speck Balance Folio Case for iPad 10th Gen - Arcadia Navy/Moody Grey</v>
      </c>
      <c r="FA100" s="12" t="str">
        <v>Cases iPad</v>
      </c>
      <c r="FB100" s="12" t="str">
        <v>iPad</v>
      </c>
      <c r="FC100" s="12" t="str">
        <v>iPad 10th /11th - 10.9"/11" (2022-2025)</v>
      </c>
      <c r="FD100" s="23" t="str">
        <f>_xlfn.XLOOKUP(B:B,'[1]Price List'!$B:$B,'[1]Price List'!$A:$A)</f>
        <v>Speck</v>
      </c>
    </row>
    <row r="101" spans="1:160" s="9" customFormat="1" x14ac:dyDescent="0.2">
      <c r="A101" s="23" t="s">
        <v>599</v>
      </c>
      <c r="B101" s="23">
        <v>848709096494</v>
      </c>
      <c r="C101" s="9" t="s">
        <v>110</v>
      </c>
      <c r="D101" s="9" t="s">
        <v>644</v>
      </c>
      <c r="E101" s="9" t="s">
        <v>320</v>
      </c>
      <c r="F101" s="9" t="s">
        <v>624</v>
      </c>
      <c r="G101" s="9" t="s">
        <v>686</v>
      </c>
      <c r="H101" s="12" t="s">
        <v>111</v>
      </c>
      <c r="I101" s="12">
        <v>999</v>
      </c>
      <c r="J101" s="11">
        <v>430.6</v>
      </c>
      <c r="K101" s="62">
        <v>0.2</v>
      </c>
      <c r="L101" s="19">
        <f>I101*(1-K101)</f>
        <v>799.2</v>
      </c>
      <c r="M101" s="13" t="s">
        <v>467</v>
      </c>
      <c r="N101" s="13" t="s">
        <v>656</v>
      </c>
      <c r="O101" s="27" t="s">
        <v>109</v>
      </c>
      <c r="P101" s="12">
        <v>19</v>
      </c>
      <c r="Q101" s="12">
        <v>12</v>
      </c>
      <c r="R101" s="12">
        <v>15</v>
      </c>
      <c r="S101" s="12">
        <v>16</v>
      </c>
      <c r="T101" s="12">
        <v>11</v>
      </c>
      <c r="U101" s="12">
        <v>14</v>
      </c>
      <c r="V101" s="12">
        <v>31</v>
      </c>
      <c r="W101" s="12">
        <v>28</v>
      </c>
      <c r="X101" s="12">
        <v>25</v>
      </c>
      <c r="Y101" s="12">
        <v>30</v>
      </c>
      <c r="Z101" s="12">
        <v>40</v>
      </c>
      <c r="AA101" s="12">
        <v>93</v>
      </c>
      <c r="AB101" s="12">
        <v>38</v>
      </c>
      <c r="AC101" s="12">
        <v>50</v>
      </c>
      <c r="AD101" s="12">
        <v>7</v>
      </c>
      <c r="AE101" s="12">
        <v>26</v>
      </c>
      <c r="AF101" s="12">
        <v>16</v>
      </c>
      <c r="AG101" s="12">
        <v>16</v>
      </c>
      <c r="AH101" s="12">
        <v>11</v>
      </c>
      <c r="AI101" s="12">
        <v>5</v>
      </c>
      <c r="AJ101" s="12">
        <v>12</v>
      </c>
      <c r="AK101" s="12">
        <v>13</v>
      </c>
      <c r="AL101" s="12">
        <v>14</v>
      </c>
      <c r="AM101" s="12">
        <v>9</v>
      </c>
      <c r="AN101" s="12">
        <v>10</v>
      </c>
      <c r="AO101" s="12">
        <v>9</v>
      </c>
      <c r="AP101" s="12">
        <v>11</v>
      </c>
      <c r="AQ101" s="12">
        <v>16</v>
      </c>
      <c r="AR101" s="12">
        <v>13</v>
      </c>
      <c r="AS101" s="12">
        <v>15</v>
      </c>
      <c r="AT101" s="12">
        <v>10</v>
      </c>
      <c r="AU101" s="12">
        <v>15</v>
      </c>
      <c r="AV101" s="12">
        <v>16</v>
      </c>
      <c r="AW101" s="12">
        <v>24</v>
      </c>
      <c r="AX101" s="12">
        <v>41</v>
      </c>
      <c r="AY101" s="12">
        <v>23</v>
      </c>
      <c r="AZ101" s="12">
        <v>33</v>
      </c>
      <c r="BA101" s="12">
        <v>43</v>
      </c>
      <c r="BB101" s="12">
        <v>49</v>
      </c>
      <c r="BC101" s="12">
        <v>48</v>
      </c>
      <c r="BD101" s="12">
        <v>14</v>
      </c>
      <c r="BE101" s="12">
        <v>16</v>
      </c>
      <c r="BF101" s="12">
        <v>11</v>
      </c>
      <c r="BG101" s="12">
        <v>8</v>
      </c>
      <c r="BH101" s="12">
        <v>7</v>
      </c>
      <c r="BI101" s="12">
        <v>11</v>
      </c>
      <c r="BJ101" s="12">
        <v>12</v>
      </c>
      <c r="BK101" s="12">
        <v>12</v>
      </c>
      <c r="BL101" s="12">
        <v>5</v>
      </c>
      <c r="BM101" s="12">
        <v>6</v>
      </c>
      <c r="BN101" s="12">
        <v>14</v>
      </c>
      <c r="BO101" s="12">
        <v>19</v>
      </c>
      <c r="BP101" s="12">
        <v>24</v>
      </c>
      <c r="BQ101" s="12">
        <v>14</v>
      </c>
      <c r="BR101" s="12">
        <v>10</v>
      </c>
      <c r="BS101" s="12">
        <v>5</v>
      </c>
      <c r="BT101" s="12">
        <v>3</v>
      </c>
      <c r="BU101" s="12">
        <v>0</v>
      </c>
      <c r="BV101" s="12">
        <v>3</v>
      </c>
      <c r="BW101" s="12">
        <v>3</v>
      </c>
      <c r="BX101" s="12">
        <v>7</v>
      </c>
      <c r="BY101" s="12">
        <v>2</v>
      </c>
      <c r="BZ101" s="12">
        <v>6</v>
      </c>
      <c r="CA101" s="12">
        <v>2</v>
      </c>
      <c r="CB101" s="12">
        <v>2</v>
      </c>
      <c r="CC101" s="12">
        <v>2</v>
      </c>
      <c r="CD101" s="12">
        <v>0</v>
      </c>
      <c r="CE101" s="12">
        <v>1</v>
      </c>
      <c r="CF101" s="12">
        <v>1</v>
      </c>
      <c r="CG101" s="12">
        <v>2</v>
      </c>
      <c r="CH101" s="12">
        <v>2</v>
      </c>
      <c r="CI101" s="12">
        <v>3</v>
      </c>
      <c r="CJ101" s="12">
        <v>1</v>
      </c>
      <c r="CK101" s="12">
        <v>0</v>
      </c>
      <c r="CL101" s="12">
        <v>1</v>
      </c>
      <c r="CM101" s="12">
        <v>0</v>
      </c>
      <c r="CN101" s="12">
        <v>1</v>
      </c>
      <c r="CO101" s="12">
        <v>1</v>
      </c>
      <c r="CP101" s="12">
        <v>0</v>
      </c>
      <c r="CQ101" s="12">
        <v>1</v>
      </c>
      <c r="CR101" s="12">
        <v>1</v>
      </c>
      <c r="CS101" s="12">
        <v>4</v>
      </c>
      <c r="CT101" s="12">
        <v>1</v>
      </c>
      <c r="CU101" s="12">
        <v>1</v>
      </c>
      <c r="CV101" s="12">
        <v>4</v>
      </c>
      <c r="CW101" s="12">
        <v>0</v>
      </c>
      <c r="CX101" s="12">
        <v>3</v>
      </c>
      <c r="CY101" s="12">
        <v>4</v>
      </c>
      <c r="CZ101" s="12">
        <v>1</v>
      </c>
      <c r="DA101" s="12">
        <v>4</v>
      </c>
      <c r="DB101" s="12">
        <v>0</v>
      </c>
      <c r="DC101" s="12">
        <v>1</v>
      </c>
      <c r="DD101" s="12">
        <v>1</v>
      </c>
      <c r="DE101" s="12">
        <v>2</v>
      </c>
      <c r="DF101" s="12">
        <v>0</v>
      </c>
      <c r="DG101" s="12">
        <v>1</v>
      </c>
      <c r="DH101" s="12">
        <v>2</v>
      </c>
      <c r="DI101" s="12">
        <v>1</v>
      </c>
      <c r="DJ101" s="12">
        <v>2</v>
      </c>
      <c r="DK101" s="12">
        <v>0</v>
      </c>
      <c r="DL101" s="12">
        <v>1</v>
      </c>
      <c r="DM101" s="12">
        <v>1</v>
      </c>
      <c r="DN101" s="12">
        <v>0</v>
      </c>
      <c r="DO101" s="12">
        <v>1</v>
      </c>
      <c r="DP101" s="12">
        <v>1</v>
      </c>
      <c r="DQ101" s="12">
        <v>1</v>
      </c>
      <c r="DR101" s="12">
        <v>0</v>
      </c>
      <c r="DS101" s="12">
        <v>1</v>
      </c>
      <c r="DT101" s="12">
        <v>0</v>
      </c>
      <c r="DU101" s="12">
        <v>0</v>
      </c>
      <c r="DV101" s="12">
        <v>1</v>
      </c>
      <c r="DW101" s="12">
        <v>0</v>
      </c>
      <c r="DX101" s="12">
        <v>0</v>
      </c>
      <c r="DY101" s="12">
        <v>1</v>
      </c>
      <c r="DZ101" s="12">
        <v>0</v>
      </c>
      <c r="EA101" s="12">
        <v>0</v>
      </c>
      <c r="EB101" s="12">
        <v>0</v>
      </c>
      <c r="EC101" s="12">
        <v>0</v>
      </c>
      <c r="ED101" s="12">
        <v>0</v>
      </c>
      <c r="EE101" s="12">
        <v>1</v>
      </c>
      <c r="EF101" s="12">
        <v>0</v>
      </c>
      <c r="EG101" s="12">
        <v>0</v>
      </c>
      <c r="EH101" s="12">
        <v>0</v>
      </c>
      <c r="EI101" s="12">
        <v>0</v>
      </c>
      <c r="EJ101" s="12">
        <v>0</v>
      </c>
      <c r="EK101" s="12">
        <v>0</v>
      </c>
      <c r="EL101" s="12">
        <v>0</v>
      </c>
      <c r="EM101" s="12">
        <v>1</v>
      </c>
      <c r="EN101" s="12">
        <v>0</v>
      </c>
      <c r="EO101" s="12">
        <v>0</v>
      </c>
      <c r="EP101" s="12" t="str">
        <f t="shared" si="26"/>
        <v>🔴 Sin venta</v>
      </c>
      <c r="EQ101" s="23">
        <f t="shared" si="22"/>
        <v>0.29166666666666669</v>
      </c>
      <c r="ER101" s="19">
        <f t="shared" si="21"/>
        <v>3014.2000000000003</v>
      </c>
      <c r="ES101" s="12">
        <f t="shared" si="20"/>
        <v>7</v>
      </c>
      <c r="ET101" s="23">
        <f t="shared" si="27"/>
        <v>5</v>
      </c>
      <c r="EU101" s="23">
        <f t="shared" si="25"/>
        <v>4</v>
      </c>
      <c r="EV101" s="23">
        <f t="shared" si="23"/>
        <v>1.33</v>
      </c>
      <c r="EW101" s="23"/>
      <c r="EX101" s="12">
        <v>30</v>
      </c>
      <c r="EY101" s="19" cm="1">
        <f t="array" ref="EY101:FC101">VLOOKUP(_xlfn.SINGLE(B:B),'[1]Price List'!$B:$N,{8,4,5,6,7},0)</f>
        <v>430.6</v>
      </c>
      <c r="EZ101" s="9" t="str">
        <v>Speck Case-E Run for iPad 10.2" 7/8/9 Gen - Charge Blue/Brave Blue</v>
      </c>
      <c r="FA101" s="12" t="str">
        <v>Cases iPad</v>
      </c>
      <c r="FB101" s="12" t="str">
        <v>iPad</v>
      </c>
      <c r="FC101" s="12" t="str">
        <v>iPad 10.2"</v>
      </c>
      <c r="FD101" s="23" t="str">
        <f>_xlfn.XLOOKUP(B:B,'[1]Price List'!$B:$B,'[1]Price List'!$A:$A)</f>
        <v>Speck</v>
      </c>
    </row>
    <row r="102" spans="1:160" s="9" customFormat="1" x14ac:dyDescent="0.2">
      <c r="A102" s="23" t="s">
        <v>599</v>
      </c>
      <c r="B102" s="23">
        <v>848709096487</v>
      </c>
      <c r="C102" s="9" t="s">
        <v>107</v>
      </c>
      <c r="D102" s="9" t="e">
        <v>#N/A</v>
      </c>
      <c r="E102" s="9" t="e">
        <v>#N/A</v>
      </c>
      <c r="F102" s="9" t="e">
        <v>#N/A</v>
      </c>
      <c r="G102" s="9" t="s">
        <v>686</v>
      </c>
      <c r="H102" s="12" t="s">
        <v>108</v>
      </c>
      <c r="I102" s="12">
        <v>999</v>
      </c>
      <c r="J102" s="11">
        <v>430.6</v>
      </c>
      <c r="K102" s="62">
        <v>0</v>
      </c>
      <c r="L102" s="12">
        <v>0</v>
      </c>
      <c r="M102" s="13" t="s">
        <v>467</v>
      </c>
      <c r="N102" s="13" t="s">
        <v>656</v>
      </c>
      <c r="O102" s="27" t="s">
        <v>109</v>
      </c>
      <c r="P102" s="12">
        <v>13</v>
      </c>
      <c r="Q102" s="12">
        <v>14</v>
      </c>
      <c r="R102" s="12">
        <v>8</v>
      </c>
      <c r="S102" s="12">
        <v>9</v>
      </c>
      <c r="T102" s="12">
        <v>5</v>
      </c>
      <c r="U102" s="12">
        <v>13</v>
      </c>
      <c r="V102" s="12">
        <v>25</v>
      </c>
      <c r="W102" s="12">
        <v>14</v>
      </c>
      <c r="X102" s="12">
        <v>5</v>
      </c>
      <c r="Y102" s="12">
        <v>6</v>
      </c>
      <c r="Z102" s="12">
        <v>17</v>
      </c>
      <c r="AA102" s="12">
        <v>48</v>
      </c>
      <c r="AB102" s="12">
        <v>24</v>
      </c>
      <c r="AC102" s="12">
        <v>18</v>
      </c>
      <c r="AD102" s="12">
        <v>3</v>
      </c>
      <c r="AE102" s="12">
        <v>5</v>
      </c>
      <c r="AF102" s="12">
        <v>4</v>
      </c>
      <c r="AG102" s="12">
        <v>1</v>
      </c>
      <c r="AH102" s="12">
        <v>3</v>
      </c>
      <c r="AI102" s="12">
        <v>3</v>
      </c>
      <c r="AJ102" s="12">
        <v>1</v>
      </c>
      <c r="AK102" s="12">
        <v>3</v>
      </c>
      <c r="AL102" s="12">
        <v>0</v>
      </c>
      <c r="AM102" s="12">
        <v>1</v>
      </c>
      <c r="AN102" s="12">
        <v>1</v>
      </c>
      <c r="AO102" s="12">
        <v>0</v>
      </c>
      <c r="AP102" s="12">
        <v>0</v>
      </c>
      <c r="AQ102" s="12">
        <v>1</v>
      </c>
      <c r="AR102" s="12">
        <v>1</v>
      </c>
      <c r="AS102" s="12">
        <v>0</v>
      </c>
      <c r="AT102" s="12">
        <v>0</v>
      </c>
      <c r="AU102" s="12">
        <v>1</v>
      </c>
      <c r="AV102" s="12">
        <v>0</v>
      </c>
      <c r="AW102" s="12">
        <v>0</v>
      </c>
      <c r="AX102" s="12">
        <v>1</v>
      </c>
      <c r="AY102" s="12">
        <v>2</v>
      </c>
      <c r="AZ102" s="12">
        <v>1</v>
      </c>
      <c r="BA102" s="12">
        <v>3</v>
      </c>
      <c r="BB102" s="12">
        <v>0</v>
      </c>
      <c r="BC102" s="12">
        <v>3</v>
      </c>
      <c r="BD102" s="12">
        <v>0</v>
      </c>
      <c r="BE102" s="12">
        <v>0</v>
      </c>
      <c r="BF102" s="12">
        <v>1</v>
      </c>
      <c r="BG102" s="12">
        <v>0</v>
      </c>
      <c r="BH102" s="12">
        <v>0</v>
      </c>
      <c r="BI102" s="12">
        <v>0</v>
      </c>
      <c r="BJ102" s="12">
        <v>0</v>
      </c>
      <c r="BK102" s="12">
        <v>0</v>
      </c>
      <c r="BL102" s="12">
        <v>0</v>
      </c>
      <c r="BM102" s="12">
        <v>0</v>
      </c>
      <c r="BN102" s="12">
        <v>1</v>
      </c>
      <c r="BO102" s="12">
        <v>1</v>
      </c>
      <c r="BP102" s="12">
        <v>0</v>
      </c>
      <c r="BQ102" s="12">
        <v>0</v>
      </c>
      <c r="BR102" s="12">
        <v>0</v>
      </c>
      <c r="BS102" s="12">
        <v>0</v>
      </c>
      <c r="BT102" s="12">
        <v>0</v>
      </c>
      <c r="BU102" s="12">
        <v>0</v>
      </c>
      <c r="BV102" s="12">
        <v>0</v>
      </c>
      <c r="BW102" s="12">
        <v>0</v>
      </c>
      <c r="BX102" s="12">
        <v>0</v>
      </c>
      <c r="BY102" s="12">
        <v>0</v>
      </c>
      <c r="BZ102" s="12">
        <v>0</v>
      </c>
      <c r="CA102" s="12">
        <v>0</v>
      </c>
      <c r="CB102" s="12">
        <v>0</v>
      </c>
      <c r="CC102" s="12">
        <v>0</v>
      </c>
      <c r="CD102" s="12">
        <v>0</v>
      </c>
      <c r="CE102" s="12">
        <v>0</v>
      </c>
      <c r="CF102" s="12">
        <v>0</v>
      </c>
      <c r="CG102" s="12">
        <v>0</v>
      </c>
      <c r="CH102" s="12">
        <v>0</v>
      </c>
      <c r="CI102" s="12">
        <v>0</v>
      </c>
      <c r="CJ102" s="12">
        <v>0</v>
      </c>
      <c r="CK102" s="12">
        <v>0</v>
      </c>
      <c r="CL102" s="12">
        <v>0</v>
      </c>
      <c r="CM102" s="12">
        <v>0</v>
      </c>
      <c r="CN102" s="12">
        <v>0</v>
      </c>
      <c r="CO102" s="12">
        <v>0</v>
      </c>
      <c r="CP102" s="12">
        <v>0</v>
      </c>
      <c r="CQ102" s="12">
        <v>0</v>
      </c>
      <c r="CR102" s="12">
        <v>0</v>
      </c>
      <c r="CS102" s="12">
        <v>0</v>
      </c>
      <c r="CT102" s="12">
        <v>0</v>
      </c>
      <c r="CU102" s="12">
        <v>0</v>
      </c>
      <c r="CV102" s="12">
        <v>0</v>
      </c>
      <c r="CW102" s="12">
        <v>0</v>
      </c>
      <c r="CX102" s="12">
        <v>0</v>
      </c>
      <c r="CY102" s="12">
        <v>0</v>
      </c>
      <c r="CZ102" s="12">
        <v>0</v>
      </c>
      <c r="DA102" s="12">
        <v>0</v>
      </c>
      <c r="DB102" s="12">
        <v>0</v>
      </c>
      <c r="DC102" s="12">
        <v>0</v>
      </c>
      <c r="DD102" s="12">
        <v>0</v>
      </c>
      <c r="DE102" s="12">
        <v>0</v>
      </c>
      <c r="DF102" s="12">
        <v>0</v>
      </c>
      <c r="DG102" s="12">
        <v>0</v>
      </c>
      <c r="DH102" s="12">
        <v>0</v>
      </c>
      <c r="DI102" s="12">
        <v>0</v>
      </c>
      <c r="DJ102" s="12">
        <v>0</v>
      </c>
      <c r="DK102" s="12">
        <v>0</v>
      </c>
      <c r="DL102" s="12">
        <v>0</v>
      </c>
      <c r="DM102" s="12">
        <v>0</v>
      </c>
      <c r="DN102" s="12">
        <v>0</v>
      </c>
      <c r="DO102" s="12">
        <v>0</v>
      </c>
      <c r="DP102" s="12">
        <v>0</v>
      </c>
      <c r="DQ102" s="12">
        <v>0</v>
      </c>
      <c r="DR102" s="12">
        <v>0</v>
      </c>
      <c r="DS102" s="12">
        <v>0</v>
      </c>
      <c r="DT102" s="12">
        <v>0</v>
      </c>
      <c r="DU102" s="12">
        <v>0</v>
      </c>
      <c r="DV102" s="12">
        <v>0</v>
      </c>
      <c r="DW102" s="12">
        <v>0</v>
      </c>
      <c r="DX102" s="12">
        <v>0</v>
      </c>
      <c r="DY102" s="12">
        <v>0</v>
      </c>
      <c r="DZ102" s="12">
        <v>0</v>
      </c>
      <c r="EA102" s="12">
        <v>0</v>
      </c>
      <c r="EB102" s="12">
        <v>0</v>
      </c>
      <c r="EC102" s="12">
        <v>0</v>
      </c>
      <c r="ED102" s="12">
        <v>0</v>
      </c>
      <c r="EE102" s="12">
        <v>0</v>
      </c>
      <c r="EF102" s="12">
        <v>0</v>
      </c>
      <c r="EG102" s="12">
        <v>0</v>
      </c>
      <c r="EH102" s="12">
        <v>0</v>
      </c>
      <c r="EI102" s="12">
        <v>0</v>
      </c>
      <c r="EJ102" s="12">
        <v>0</v>
      </c>
      <c r="EK102" s="12">
        <v>0</v>
      </c>
      <c r="EL102" s="12">
        <v>0</v>
      </c>
      <c r="EM102" s="12">
        <v>0</v>
      </c>
      <c r="EN102" s="12">
        <v>0</v>
      </c>
      <c r="EO102" s="12">
        <v>0</v>
      </c>
      <c r="EP102" s="12" t="str">
        <f t="shared" si="26"/>
        <v>🔴 Sin venta</v>
      </c>
      <c r="EQ102" s="23">
        <f t="shared" si="22"/>
        <v>0</v>
      </c>
      <c r="ER102" s="19">
        <f t="shared" si="21"/>
        <v>0</v>
      </c>
      <c r="ES102" s="12">
        <f t="shared" si="20"/>
        <v>0</v>
      </c>
      <c r="ET102" s="23">
        <f t="shared" si="27"/>
        <v>0</v>
      </c>
      <c r="EU102" s="23">
        <f t="shared" si="25"/>
        <v>0</v>
      </c>
      <c r="EV102" s="23">
        <f t="shared" si="23"/>
        <v>0</v>
      </c>
      <c r="EW102" s="23"/>
      <c r="EX102" s="12">
        <v>0</v>
      </c>
      <c r="EY102" s="19" cm="1">
        <f t="array" ref="EY102:FC102">VLOOKUP(_xlfn.SINGLE(B:B),'[1]Price List'!$B:$N,{8,4,5,6,7},0)</f>
        <v>430.6</v>
      </c>
      <c r="EZ102" s="9" t="str">
        <v>Speck Case-E Run for iPad 10.2" 7/8 Gen - Vibe Violet/Flux Orange</v>
      </c>
      <c r="FA102" s="12" t="str">
        <v>Cases iPad</v>
      </c>
      <c r="FB102" s="12" t="str">
        <v>iPad</v>
      </c>
      <c r="FC102" s="12" t="str">
        <v>iPad 10.2"</v>
      </c>
      <c r="FD102" s="23" t="str">
        <f>_xlfn.XLOOKUP(B:B,'[1]Price List'!$B:$B,'[1]Price List'!$A:$A)</f>
        <v>Speck</v>
      </c>
    </row>
    <row r="103" spans="1:160" s="9" customFormat="1" x14ac:dyDescent="0.2">
      <c r="A103" s="23" t="s">
        <v>599</v>
      </c>
      <c r="B103" s="23">
        <v>848709096296</v>
      </c>
      <c r="C103" s="9" t="s">
        <v>34</v>
      </c>
      <c r="D103" s="9" t="s">
        <v>644</v>
      </c>
      <c r="E103" s="9" t="s">
        <v>320</v>
      </c>
      <c r="F103" s="9" t="s">
        <v>624</v>
      </c>
      <c r="G103" s="9" t="s">
        <v>686</v>
      </c>
      <c r="H103" s="12" t="s">
        <v>105</v>
      </c>
      <c r="I103" s="11">
        <v>999</v>
      </c>
      <c r="J103" s="11">
        <v>430.6</v>
      </c>
      <c r="K103" s="62">
        <v>0.2</v>
      </c>
      <c r="L103" s="19">
        <f t="shared" ref="L103:L108" si="28">I103*(1-K103)</f>
        <v>799.2</v>
      </c>
      <c r="M103" s="13" t="s">
        <v>467</v>
      </c>
      <c r="N103" s="13" t="s">
        <v>656</v>
      </c>
      <c r="O103" s="27" t="s">
        <v>106</v>
      </c>
      <c r="P103" s="12">
        <v>17</v>
      </c>
      <c r="Q103" s="12">
        <v>9</v>
      </c>
      <c r="R103" s="12">
        <v>14</v>
      </c>
      <c r="S103" s="12">
        <v>16</v>
      </c>
      <c r="T103" s="12">
        <v>11</v>
      </c>
      <c r="U103" s="12">
        <v>9</v>
      </c>
      <c r="V103" s="12">
        <v>33</v>
      </c>
      <c r="W103" s="12">
        <v>40</v>
      </c>
      <c r="X103" s="12">
        <v>28</v>
      </c>
      <c r="Y103" s="12">
        <v>26</v>
      </c>
      <c r="Z103" s="12">
        <v>27</v>
      </c>
      <c r="AA103" s="12">
        <v>61</v>
      </c>
      <c r="AB103" s="12">
        <v>58</v>
      </c>
      <c r="AC103" s="12">
        <v>31</v>
      </c>
      <c r="AD103" s="12">
        <v>19</v>
      </c>
      <c r="AE103" s="12">
        <v>10</v>
      </c>
      <c r="AF103" s="12">
        <v>9</v>
      </c>
      <c r="AG103" s="12">
        <v>12</v>
      </c>
      <c r="AH103" s="12">
        <v>7</v>
      </c>
      <c r="AI103" s="12">
        <v>15</v>
      </c>
      <c r="AJ103" s="12">
        <v>31</v>
      </c>
      <c r="AK103" s="12">
        <v>17</v>
      </c>
      <c r="AL103" s="12">
        <v>19</v>
      </c>
      <c r="AM103" s="12">
        <v>16</v>
      </c>
      <c r="AN103" s="12">
        <v>16</v>
      </c>
      <c r="AO103" s="12">
        <v>9</v>
      </c>
      <c r="AP103" s="12">
        <v>6</v>
      </c>
      <c r="AQ103" s="12">
        <v>9</v>
      </c>
      <c r="AR103" s="12">
        <v>8</v>
      </c>
      <c r="AS103" s="12">
        <v>13</v>
      </c>
      <c r="AT103" s="12">
        <v>7</v>
      </c>
      <c r="AU103" s="12">
        <v>19</v>
      </c>
      <c r="AV103" s="12">
        <v>8</v>
      </c>
      <c r="AW103" s="12">
        <v>28</v>
      </c>
      <c r="AX103" s="12">
        <v>28</v>
      </c>
      <c r="AY103" s="12">
        <v>31</v>
      </c>
      <c r="AZ103" s="12">
        <v>22</v>
      </c>
      <c r="BA103" s="12">
        <v>48</v>
      </c>
      <c r="BB103" s="12">
        <v>55</v>
      </c>
      <c r="BC103" s="12">
        <v>60</v>
      </c>
      <c r="BD103" s="12">
        <v>34</v>
      </c>
      <c r="BE103" s="12">
        <v>21</v>
      </c>
      <c r="BF103" s="12">
        <v>23</v>
      </c>
      <c r="BG103" s="12">
        <v>12</v>
      </c>
      <c r="BH103" s="12">
        <v>15</v>
      </c>
      <c r="BI103" s="12">
        <v>10</v>
      </c>
      <c r="BJ103" s="12">
        <v>30</v>
      </c>
      <c r="BK103" s="12">
        <v>12</v>
      </c>
      <c r="BL103" s="12">
        <v>12</v>
      </c>
      <c r="BM103" s="12">
        <v>10</v>
      </c>
      <c r="BN103" s="12">
        <v>9</v>
      </c>
      <c r="BO103" s="12">
        <v>19</v>
      </c>
      <c r="BP103" s="12">
        <v>22</v>
      </c>
      <c r="BQ103" s="12">
        <v>17</v>
      </c>
      <c r="BR103" s="12">
        <v>5</v>
      </c>
      <c r="BS103" s="12">
        <v>14</v>
      </c>
      <c r="BT103" s="12">
        <v>5</v>
      </c>
      <c r="BU103" s="12">
        <v>7</v>
      </c>
      <c r="BV103" s="12">
        <v>7</v>
      </c>
      <c r="BW103" s="12">
        <v>3</v>
      </c>
      <c r="BX103" s="12">
        <v>1</v>
      </c>
      <c r="BY103" s="12">
        <v>4</v>
      </c>
      <c r="BZ103" s="12">
        <v>4</v>
      </c>
      <c r="CA103" s="12">
        <v>5</v>
      </c>
      <c r="CB103" s="12">
        <v>3</v>
      </c>
      <c r="CC103" s="12">
        <v>4</v>
      </c>
      <c r="CD103" s="12">
        <v>3</v>
      </c>
      <c r="CE103" s="12">
        <v>2</v>
      </c>
      <c r="CF103" s="12">
        <v>2</v>
      </c>
      <c r="CG103" s="12">
        <v>6</v>
      </c>
      <c r="CH103" s="12">
        <v>0</v>
      </c>
      <c r="CI103" s="12">
        <v>2</v>
      </c>
      <c r="CJ103" s="12">
        <v>2</v>
      </c>
      <c r="CK103" s="12">
        <v>2</v>
      </c>
      <c r="CL103" s="12">
        <v>1</v>
      </c>
      <c r="CM103" s="12">
        <v>1</v>
      </c>
      <c r="CN103" s="12">
        <v>5</v>
      </c>
      <c r="CO103" s="12">
        <v>1</v>
      </c>
      <c r="CP103" s="12">
        <v>2</v>
      </c>
      <c r="CQ103" s="12">
        <v>3</v>
      </c>
      <c r="CR103" s="12">
        <v>0</v>
      </c>
      <c r="CS103" s="12">
        <v>4</v>
      </c>
      <c r="CT103" s="12">
        <v>3</v>
      </c>
      <c r="CU103" s="12">
        <v>2</v>
      </c>
      <c r="CV103" s="12">
        <v>0</v>
      </c>
      <c r="CW103" s="12">
        <v>1</v>
      </c>
      <c r="CX103" s="12">
        <v>4</v>
      </c>
      <c r="CY103" s="12">
        <v>4</v>
      </c>
      <c r="CZ103" s="12">
        <v>2</v>
      </c>
      <c r="DA103" s="12">
        <v>2</v>
      </c>
      <c r="DB103" s="12">
        <v>2</v>
      </c>
      <c r="DC103" s="12">
        <v>0</v>
      </c>
      <c r="DD103" s="12">
        <v>0</v>
      </c>
      <c r="DE103" s="12">
        <v>1</v>
      </c>
      <c r="DF103" s="12">
        <v>2</v>
      </c>
      <c r="DG103" s="12">
        <v>1</v>
      </c>
      <c r="DH103" s="12">
        <v>0</v>
      </c>
      <c r="DI103" s="12">
        <v>2</v>
      </c>
      <c r="DJ103" s="12">
        <v>0</v>
      </c>
      <c r="DK103" s="12">
        <v>2</v>
      </c>
      <c r="DL103" s="12">
        <v>0</v>
      </c>
      <c r="DM103" s="12">
        <v>0</v>
      </c>
      <c r="DN103" s="12">
        <v>0</v>
      </c>
      <c r="DO103" s="12">
        <v>2</v>
      </c>
      <c r="DP103" s="12">
        <v>0</v>
      </c>
      <c r="DQ103" s="12">
        <v>3</v>
      </c>
      <c r="DR103" s="12">
        <v>1</v>
      </c>
      <c r="DS103" s="12">
        <v>0</v>
      </c>
      <c r="DT103" s="12">
        <v>1</v>
      </c>
      <c r="DU103" s="12">
        <v>0</v>
      </c>
      <c r="DV103" s="12">
        <v>0</v>
      </c>
      <c r="DW103" s="12">
        <v>0</v>
      </c>
      <c r="DX103" s="12">
        <v>0</v>
      </c>
      <c r="DY103" s="12">
        <v>0</v>
      </c>
      <c r="DZ103" s="12">
        <v>0</v>
      </c>
      <c r="EA103" s="12">
        <v>1</v>
      </c>
      <c r="EB103" s="12">
        <v>1</v>
      </c>
      <c r="EC103" s="12">
        <v>0</v>
      </c>
      <c r="ED103" s="12">
        <v>0</v>
      </c>
      <c r="EE103" s="12">
        <v>0</v>
      </c>
      <c r="EF103" s="12">
        <v>0</v>
      </c>
      <c r="EG103" s="12">
        <v>0</v>
      </c>
      <c r="EH103" s="12">
        <v>0</v>
      </c>
      <c r="EI103" s="12">
        <v>0</v>
      </c>
      <c r="EJ103" s="12">
        <v>1</v>
      </c>
      <c r="EK103" s="12">
        <v>0</v>
      </c>
      <c r="EL103" s="12">
        <v>0</v>
      </c>
      <c r="EM103" s="12">
        <v>1</v>
      </c>
      <c r="EN103" s="12">
        <v>1</v>
      </c>
      <c r="EO103" s="12">
        <v>0</v>
      </c>
      <c r="EP103" s="12" t="str">
        <f t="shared" si="26"/>
        <v>🔴 Sin venta</v>
      </c>
      <c r="EQ103" s="23">
        <f t="shared" si="22"/>
        <v>0.375</v>
      </c>
      <c r="ER103" s="19">
        <f t="shared" si="21"/>
        <v>4306</v>
      </c>
      <c r="ES103" s="12">
        <f t="shared" si="20"/>
        <v>10</v>
      </c>
      <c r="ET103" s="23">
        <f t="shared" si="27"/>
        <v>5</v>
      </c>
      <c r="EU103" s="23">
        <f t="shared" si="25"/>
        <v>3</v>
      </c>
      <c r="EV103" s="23">
        <f t="shared" si="23"/>
        <v>1.56</v>
      </c>
      <c r="EW103" s="23"/>
      <c r="EX103" s="12">
        <v>10</v>
      </c>
      <c r="EY103" s="19" cm="1">
        <f t="array" ref="EY103:FC103">VLOOKUP(_xlfn.SINGLE(B:B),'[1]Price List'!$B:$N,{8,4,5,6,7},0)</f>
        <v>430.6</v>
      </c>
      <c r="EZ103" s="9" t="str">
        <v>Speck Balance Folio Case with Microban for iPad 10.2" 7/8/9 Gen - Black/Black</v>
      </c>
      <c r="FA103" s="12" t="str">
        <v>Cases iPad</v>
      </c>
      <c r="FB103" s="12" t="str">
        <v>iPad</v>
      </c>
      <c r="FC103" s="12" t="str">
        <v>iPad 10.2"</v>
      </c>
      <c r="FD103" s="23" t="str">
        <f>_xlfn.XLOOKUP(B:B,'[1]Price List'!$B:$B,'[1]Price List'!$A:$A)</f>
        <v>Speck</v>
      </c>
    </row>
    <row r="104" spans="1:160" s="9" customFormat="1" x14ac:dyDescent="0.2">
      <c r="A104" s="23" t="s">
        <v>599</v>
      </c>
      <c r="B104" s="23">
        <v>848709080639</v>
      </c>
      <c r="C104" s="9" t="s">
        <v>38</v>
      </c>
      <c r="D104" s="9" t="s">
        <v>644</v>
      </c>
      <c r="E104" s="9" t="s">
        <v>320</v>
      </c>
      <c r="F104" s="9" t="s">
        <v>624</v>
      </c>
      <c r="G104" s="9" t="s">
        <v>686</v>
      </c>
      <c r="H104" s="12" t="s">
        <v>39</v>
      </c>
      <c r="I104" s="11">
        <v>999</v>
      </c>
      <c r="J104" s="11">
        <v>430.6</v>
      </c>
      <c r="K104" s="62">
        <v>0.2</v>
      </c>
      <c r="L104" s="19">
        <f t="shared" si="28"/>
        <v>799.2</v>
      </c>
      <c r="M104" s="13" t="s">
        <v>467</v>
      </c>
      <c r="N104" s="13" t="s">
        <v>656</v>
      </c>
      <c r="O104" s="27">
        <v>43597</v>
      </c>
      <c r="P104" s="12">
        <v>26</v>
      </c>
      <c r="Q104" s="12">
        <v>9</v>
      </c>
      <c r="R104" s="12">
        <v>14</v>
      </c>
      <c r="S104" s="12">
        <v>14</v>
      </c>
      <c r="T104" s="12">
        <v>13</v>
      </c>
      <c r="U104" s="12">
        <v>6</v>
      </c>
      <c r="V104" s="12">
        <v>53</v>
      </c>
      <c r="W104" s="12">
        <v>40</v>
      </c>
      <c r="X104" s="12">
        <v>20</v>
      </c>
      <c r="Y104" s="12">
        <v>26</v>
      </c>
      <c r="Z104" s="12">
        <v>38</v>
      </c>
      <c r="AA104" s="12">
        <v>82</v>
      </c>
      <c r="AB104" s="12">
        <v>42</v>
      </c>
      <c r="AC104" s="12">
        <v>39</v>
      </c>
      <c r="AD104" s="12">
        <v>11</v>
      </c>
      <c r="AE104" s="12">
        <v>15</v>
      </c>
      <c r="AF104" s="12">
        <v>25</v>
      </c>
      <c r="AG104" s="12">
        <v>22</v>
      </c>
      <c r="AH104" s="12">
        <v>12</v>
      </c>
      <c r="AI104" s="12">
        <v>13</v>
      </c>
      <c r="AJ104" s="12">
        <v>25</v>
      </c>
      <c r="AK104" s="12">
        <v>14</v>
      </c>
      <c r="AL104" s="12">
        <v>17</v>
      </c>
      <c r="AM104" s="12">
        <v>16</v>
      </c>
      <c r="AN104" s="12">
        <v>7</v>
      </c>
      <c r="AO104" s="12">
        <v>9</v>
      </c>
      <c r="AP104" s="12">
        <v>13</v>
      </c>
      <c r="AQ104" s="12">
        <v>11</v>
      </c>
      <c r="AR104" s="12">
        <v>10</v>
      </c>
      <c r="AS104" s="12">
        <v>16</v>
      </c>
      <c r="AT104" s="12">
        <v>11</v>
      </c>
      <c r="AU104" s="12">
        <v>22</v>
      </c>
      <c r="AV104" s="12">
        <v>9</v>
      </c>
      <c r="AW104" s="12">
        <v>25</v>
      </c>
      <c r="AX104" s="12">
        <v>29</v>
      </c>
      <c r="AY104" s="12">
        <v>22</v>
      </c>
      <c r="AZ104" s="12">
        <v>23</v>
      </c>
      <c r="BA104" s="12">
        <v>33</v>
      </c>
      <c r="BB104" s="12">
        <v>44</v>
      </c>
      <c r="BC104" s="12">
        <v>55</v>
      </c>
      <c r="BD104" s="12">
        <v>21</v>
      </c>
      <c r="BE104" s="12">
        <v>21</v>
      </c>
      <c r="BF104" s="12">
        <v>21</v>
      </c>
      <c r="BG104" s="12">
        <v>9</v>
      </c>
      <c r="BH104" s="12">
        <v>9</v>
      </c>
      <c r="BI104" s="12">
        <v>9</v>
      </c>
      <c r="BJ104" s="12">
        <v>14</v>
      </c>
      <c r="BK104" s="12">
        <v>15</v>
      </c>
      <c r="BL104" s="12">
        <v>11</v>
      </c>
      <c r="BM104" s="12">
        <v>9</v>
      </c>
      <c r="BN104" s="12">
        <v>14</v>
      </c>
      <c r="BO104" s="12">
        <v>19</v>
      </c>
      <c r="BP104" s="12">
        <v>22</v>
      </c>
      <c r="BQ104" s="12">
        <v>23</v>
      </c>
      <c r="BR104" s="12">
        <v>11</v>
      </c>
      <c r="BS104" s="12">
        <v>9</v>
      </c>
      <c r="BT104" s="12">
        <v>2</v>
      </c>
      <c r="BU104" s="12">
        <v>0</v>
      </c>
      <c r="BV104" s="12">
        <v>5</v>
      </c>
      <c r="BW104" s="12">
        <v>4</v>
      </c>
      <c r="BX104" s="12">
        <v>1</v>
      </c>
      <c r="BY104" s="12">
        <v>1</v>
      </c>
      <c r="BZ104" s="12">
        <v>2</v>
      </c>
      <c r="CA104" s="12">
        <v>3</v>
      </c>
      <c r="CB104" s="12">
        <v>2</v>
      </c>
      <c r="CC104" s="12">
        <v>3</v>
      </c>
      <c r="CD104" s="12">
        <v>3</v>
      </c>
      <c r="CE104" s="12">
        <v>0</v>
      </c>
      <c r="CF104" s="12">
        <v>1</v>
      </c>
      <c r="CG104" s="12">
        <v>3</v>
      </c>
      <c r="CH104" s="12">
        <v>2</v>
      </c>
      <c r="CI104" s="12">
        <v>1</v>
      </c>
      <c r="CJ104" s="12">
        <v>6</v>
      </c>
      <c r="CK104" s="12">
        <v>4</v>
      </c>
      <c r="CL104" s="12">
        <v>2</v>
      </c>
      <c r="CM104" s="12">
        <v>2</v>
      </c>
      <c r="CN104" s="12">
        <v>0</v>
      </c>
      <c r="CO104" s="12">
        <v>2</v>
      </c>
      <c r="CP104" s="12">
        <v>3</v>
      </c>
      <c r="CQ104" s="12">
        <v>1</v>
      </c>
      <c r="CR104" s="12">
        <v>1</v>
      </c>
      <c r="CS104" s="12">
        <v>5</v>
      </c>
      <c r="CT104" s="12">
        <v>3</v>
      </c>
      <c r="CU104" s="12">
        <v>2</v>
      </c>
      <c r="CV104" s="12">
        <v>1</v>
      </c>
      <c r="CW104" s="12">
        <v>1</v>
      </c>
      <c r="CX104" s="12">
        <v>2</v>
      </c>
      <c r="CY104" s="12">
        <v>2</v>
      </c>
      <c r="CZ104" s="12">
        <v>2</v>
      </c>
      <c r="DA104" s="12">
        <v>2</v>
      </c>
      <c r="DB104" s="12">
        <v>2</v>
      </c>
      <c r="DC104" s="12">
        <v>0</v>
      </c>
      <c r="DD104" s="12">
        <v>1</v>
      </c>
      <c r="DE104" s="12">
        <v>1</v>
      </c>
      <c r="DF104" s="12">
        <v>1</v>
      </c>
      <c r="DG104" s="12">
        <v>2</v>
      </c>
      <c r="DH104" s="12">
        <v>0</v>
      </c>
      <c r="DI104" s="12">
        <v>0</v>
      </c>
      <c r="DJ104" s="12">
        <v>0</v>
      </c>
      <c r="DK104" s="12">
        <v>2</v>
      </c>
      <c r="DL104" s="12">
        <v>1</v>
      </c>
      <c r="DM104" s="12">
        <v>0</v>
      </c>
      <c r="DN104" s="12">
        <v>1</v>
      </c>
      <c r="DO104" s="12">
        <v>2</v>
      </c>
      <c r="DP104" s="12">
        <v>4</v>
      </c>
      <c r="DQ104" s="12">
        <v>0</v>
      </c>
      <c r="DR104" s="12">
        <v>0</v>
      </c>
      <c r="DS104" s="12">
        <v>0</v>
      </c>
      <c r="DT104" s="12">
        <v>0</v>
      </c>
      <c r="DU104" s="12">
        <v>0</v>
      </c>
      <c r="DV104" s="12">
        <v>1</v>
      </c>
      <c r="DW104" s="12">
        <v>0</v>
      </c>
      <c r="DX104" s="12">
        <v>0</v>
      </c>
      <c r="DY104" s="12">
        <v>0</v>
      </c>
      <c r="DZ104" s="12">
        <v>0</v>
      </c>
      <c r="EA104" s="12">
        <v>0</v>
      </c>
      <c r="EB104" s="12">
        <v>0</v>
      </c>
      <c r="EC104" s="12">
        <v>0</v>
      </c>
      <c r="ED104" s="12">
        <v>0</v>
      </c>
      <c r="EE104" s="12">
        <v>1</v>
      </c>
      <c r="EF104" s="12">
        <v>1</v>
      </c>
      <c r="EG104" s="12">
        <v>0</v>
      </c>
      <c r="EH104" s="12">
        <v>0</v>
      </c>
      <c r="EI104" s="12">
        <v>1</v>
      </c>
      <c r="EJ104" s="12">
        <v>0</v>
      </c>
      <c r="EK104" s="12">
        <v>0</v>
      </c>
      <c r="EL104" s="12">
        <v>0</v>
      </c>
      <c r="EM104" s="12">
        <v>0</v>
      </c>
      <c r="EN104" s="12">
        <v>0</v>
      </c>
      <c r="EO104" s="12">
        <v>1</v>
      </c>
      <c r="EP104" s="12" t="str">
        <f t="shared" si="26"/>
        <v>🔴 Sin venta</v>
      </c>
      <c r="EQ104" s="23">
        <f t="shared" si="22"/>
        <v>0.33333333333333331</v>
      </c>
      <c r="ER104" s="19">
        <f t="shared" si="21"/>
        <v>3875.4</v>
      </c>
      <c r="ES104" s="12">
        <f t="shared" si="20"/>
        <v>9</v>
      </c>
      <c r="ET104" s="23">
        <f t="shared" si="27"/>
        <v>5.5</v>
      </c>
      <c r="EU104" s="23">
        <f t="shared" si="25"/>
        <v>3</v>
      </c>
      <c r="EV104" s="23">
        <f t="shared" si="23"/>
        <v>1.56</v>
      </c>
      <c r="EW104" s="23"/>
      <c r="EX104" s="12">
        <v>23</v>
      </c>
      <c r="EY104" s="19" cm="1">
        <f t="array" ref="EY104:FC104">VLOOKUP(_xlfn.SINGLE(B:B),'[1]Price List'!$B:$N,{8,4,5,6,7},0)</f>
        <v>430.6</v>
      </c>
      <c r="EZ104" s="9" t="str">
        <v>Speck Balance Folio Case for iPad 10.2" 7/8/9 Gen - Plumberry Purple/Crushed Purpl</v>
      </c>
      <c r="FA104" s="12" t="str">
        <v>Cases iPad</v>
      </c>
      <c r="FB104" s="12" t="str">
        <v>iPad</v>
      </c>
      <c r="FC104" s="12" t="str">
        <v>iPad 10.2"</v>
      </c>
      <c r="FD104" s="23" t="str">
        <f>_xlfn.XLOOKUP(B:B,'[1]Price List'!$B:$B,'[1]Price List'!$A:$A)</f>
        <v>Speck</v>
      </c>
    </row>
    <row r="105" spans="1:160" s="9" customFormat="1" x14ac:dyDescent="0.2">
      <c r="A105" s="23" t="s">
        <v>599</v>
      </c>
      <c r="B105" s="23">
        <v>848709080691</v>
      </c>
      <c r="C105" s="9" t="s">
        <v>43</v>
      </c>
      <c r="D105" s="9" t="s">
        <v>644</v>
      </c>
      <c r="E105" s="9" t="s">
        <v>320</v>
      </c>
      <c r="F105" s="9" t="s">
        <v>624</v>
      </c>
      <c r="G105" s="9" t="s">
        <v>686</v>
      </c>
      <c r="H105" s="12" t="s">
        <v>44</v>
      </c>
      <c r="I105" s="11">
        <v>999</v>
      </c>
      <c r="J105" s="11">
        <v>430.6</v>
      </c>
      <c r="K105" s="62">
        <v>0.2</v>
      </c>
      <c r="L105" s="19">
        <f t="shared" si="28"/>
        <v>799.2</v>
      </c>
      <c r="M105" s="13" t="s">
        <v>467</v>
      </c>
      <c r="N105" s="13" t="s">
        <v>656</v>
      </c>
      <c r="O105" s="27" t="s">
        <v>45</v>
      </c>
      <c r="P105" s="12">
        <v>14</v>
      </c>
      <c r="Q105" s="12">
        <v>8</v>
      </c>
      <c r="R105" s="12">
        <v>20</v>
      </c>
      <c r="S105" s="12">
        <v>11</v>
      </c>
      <c r="T105" s="12">
        <v>14</v>
      </c>
      <c r="U105" s="12">
        <v>10</v>
      </c>
      <c r="V105" s="12">
        <v>41</v>
      </c>
      <c r="W105" s="12">
        <v>30</v>
      </c>
      <c r="X105" s="12">
        <v>13</v>
      </c>
      <c r="Y105" s="12">
        <v>24</v>
      </c>
      <c r="Z105" s="12">
        <v>42</v>
      </c>
      <c r="AA105" s="12">
        <v>64</v>
      </c>
      <c r="AB105" s="12">
        <v>47</v>
      </c>
      <c r="AC105" s="12">
        <v>42</v>
      </c>
      <c r="AD105" s="12">
        <v>15</v>
      </c>
      <c r="AE105" s="12">
        <v>26</v>
      </c>
      <c r="AF105" s="12">
        <v>22</v>
      </c>
      <c r="AG105" s="12">
        <v>18</v>
      </c>
      <c r="AH105" s="12">
        <v>24</v>
      </c>
      <c r="AI105" s="12">
        <v>11</v>
      </c>
      <c r="AJ105" s="12">
        <v>19</v>
      </c>
      <c r="AK105" s="12">
        <v>13</v>
      </c>
      <c r="AL105" s="12">
        <v>13</v>
      </c>
      <c r="AM105" s="12">
        <v>15</v>
      </c>
      <c r="AN105" s="12">
        <v>10</v>
      </c>
      <c r="AO105" s="12">
        <v>18</v>
      </c>
      <c r="AP105" s="12">
        <v>5</v>
      </c>
      <c r="AQ105" s="12">
        <v>14</v>
      </c>
      <c r="AR105" s="12">
        <v>7</v>
      </c>
      <c r="AS105" s="12">
        <v>12</v>
      </c>
      <c r="AT105" s="12">
        <v>19</v>
      </c>
      <c r="AU105" s="12">
        <v>20</v>
      </c>
      <c r="AV105" s="12">
        <v>11</v>
      </c>
      <c r="AW105" s="12">
        <v>30</v>
      </c>
      <c r="AX105" s="12">
        <v>32</v>
      </c>
      <c r="AY105" s="12">
        <v>31</v>
      </c>
      <c r="AZ105" s="12">
        <v>24</v>
      </c>
      <c r="BA105" s="12">
        <v>33</v>
      </c>
      <c r="BB105" s="12">
        <v>54</v>
      </c>
      <c r="BC105" s="12">
        <v>51</v>
      </c>
      <c r="BD105" s="12">
        <v>25</v>
      </c>
      <c r="BE105" s="12">
        <v>19</v>
      </c>
      <c r="BF105" s="12">
        <v>11</v>
      </c>
      <c r="BG105" s="12">
        <v>7</v>
      </c>
      <c r="BH105" s="12">
        <v>12</v>
      </c>
      <c r="BI105" s="12">
        <v>14</v>
      </c>
      <c r="BJ105" s="12">
        <v>19</v>
      </c>
      <c r="BK105" s="12">
        <v>9</v>
      </c>
      <c r="BL105" s="12">
        <v>12</v>
      </c>
      <c r="BM105" s="12">
        <v>15</v>
      </c>
      <c r="BN105" s="12">
        <v>5</v>
      </c>
      <c r="BO105" s="12">
        <v>16</v>
      </c>
      <c r="BP105" s="12">
        <v>23</v>
      </c>
      <c r="BQ105" s="12">
        <v>19</v>
      </c>
      <c r="BR105" s="12">
        <v>9</v>
      </c>
      <c r="BS105" s="12">
        <v>6</v>
      </c>
      <c r="BT105" s="12">
        <v>2</v>
      </c>
      <c r="BU105" s="12">
        <v>3</v>
      </c>
      <c r="BV105" s="12">
        <v>7</v>
      </c>
      <c r="BW105" s="12">
        <v>5</v>
      </c>
      <c r="BX105" s="12">
        <v>4</v>
      </c>
      <c r="BY105" s="12">
        <v>4</v>
      </c>
      <c r="BZ105" s="12">
        <v>2</v>
      </c>
      <c r="CA105" s="12">
        <v>7</v>
      </c>
      <c r="CB105" s="12">
        <v>1</v>
      </c>
      <c r="CC105" s="12">
        <v>4</v>
      </c>
      <c r="CD105" s="12">
        <v>3</v>
      </c>
      <c r="CE105" s="12">
        <v>1</v>
      </c>
      <c r="CF105" s="12">
        <v>0</v>
      </c>
      <c r="CG105" s="12">
        <v>4</v>
      </c>
      <c r="CH105" s="12">
        <v>3</v>
      </c>
      <c r="CI105" s="12">
        <v>6</v>
      </c>
      <c r="CJ105" s="12">
        <v>2</v>
      </c>
      <c r="CK105" s="12">
        <v>0</v>
      </c>
      <c r="CL105" s="12">
        <v>0</v>
      </c>
      <c r="CM105" s="12">
        <v>0</v>
      </c>
      <c r="CN105" s="12">
        <v>1</v>
      </c>
      <c r="CO105" s="12">
        <v>2</v>
      </c>
      <c r="CP105" s="12">
        <v>3</v>
      </c>
      <c r="CQ105" s="12">
        <v>0</v>
      </c>
      <c r="CR105" s="12">
        <v>5</v>
      </c>
      <c r="CS105" s="12">
        <v>2</v>
      </c>
      <c r="CT105" s="12">
        <v>1</v>
      </c>
      <c r="CU105" s="12">
        <v>1</v>
      </c>
      <c r="CV105" s="12">
        <v>1</v>
      </c>
      <c r="CW105" s="12">
        <v>3</v>
      </c>
      <c r="CX105" s="12">
        <v>3</v>
      </c>
      <c r="CY105" s="12">
        <v>1</v>
      </c>
      <c r="CZ105" s="12">
        <v>1</v>
      </c>
      <c r="DA105" s="12">
        <v>1</v>
      </c>
      <c r="DB105" s="12">
        <v>1</v>
      </c>
      <c r="DC105" s="12">
        <v>2</v>
      </c>
      <c r="DD105" s="12">
        <v>1</v>
      </c>
      <c r="DE105" s="12">
        <v>0</v>
      </c>
      <c r="DF105" s="12">
        <v>1</v>
      </c>
      <c r="DG105" s="12">
        <v>0</v>
      </c>
      <c r="DH105" s="12">
        <v>0</v>
      </c>
      <c r="DI105" s="12">
        <v>1</v>
      </c>
      <c r="DJ105" s="12">
        <v>1</v>
      </c>
      <c r="DK105" s="12">
        <v>0</v>
      </c>
      <c r="DL105" s="12">
        <v>0</v>
      </c>
      <c r="DM105" s="12">
        <v>0</v>
      </c>
      <c r="DN105" s="12">
        <v>0</v>
      </c>
      <c r="DO105" s="12">
        <v>0</v>
      </c>
      <c r="DP105" s="12">
        <v>0</v>
      </c>
      <c r="DQ105" s="12">
        <v>1</v>
      </c>
      <c r="DR105" s="12">
        <v>0</v>
      </c>
      <c r="DS105" s="12">
        <v>1</v>
      </c>
      <c r="DT105" s="12">
        <v>1</v>
      </c>
      <c r="DU105" s="12">
        <v>1</v>
      </c>
      <c r="DV105" s="12">
        <v>0</v>
      </c>
      <c r="DW105" s="12">
        <v>0</v>
      </c>
      <c r="DX105" s="12">
        <v>0</v>
      </c>
      <c r="DY105" s="12">
        <v>0</v>
      </c>
      <c r="DZ105" s="12">
        <v>0</v>
      </c>
      <c r="EA105" s="12">
        <v>0</v>
      </c>
      <c r="EB105" s="12">
        <v>0</v>
      </c>
      <c r="EC105" s="12">
        <v>0</v>
      </c>
      <c r="ED105" s="12">
        <v>0</v>
      </c>
      <c r="EE105" s="12">
        <v>0</v>
      </c>
      <c r="EF105" s="12">
        <v>0</v>
      </c>
      <c r="EG105" s="12">
        <v>0</v>
      </c>
      <c r="EH105" s="12">
        <v>0</v>
      </c>
      <c r="EI105" s="12">
        <v>0</v>
      </c>
      <c r="EJ105" s="12">
        <v>1</v>
      </c>
      <c r="EK105" s="12">
        <v>0</v>
      </c>
      <c r="EL105" s="12">
        <v>0</v>
      </c>
      <c r="EM105" s="12">
        <v>0</v>
      </c>
      <c r="EN105" s="12">
        <v>0</v>
      </c>
      <c r="EO105" s="12">
        <v>0</v>
      </c>
      <c r="EP105" s="12" t="str">
        <f t="shared" si="26"/>
        <v>🔴 Sin venta</v>
      </c>
      <c r="EQ105" s="23">
        <f t="shared" si="22"/>
        <v>0.20833333333333334</v>
      </c>
      <c r="ER105" s="19">
        <f t="shared" si="21"/>
        <v>2153</v>
      </c>
      <c r="ES105" s="12">
        <f t="shared" si="20"/>
        <v>5</v>
      </c>
      <c r="ET105" s="23">
        <f t="shared" si="27"/>
        <v>3.5</v>
      </c>
      <c r="EU105" s="23">
        <f t="shared" si="25"/>
        <v>1</v>
      </c>
      <c r="EV105" s="23">
        <f t="shared" si="23"/>
        <v>0.89</v>
      </c>
      <c r="EW105" s="23"/>
      <c r="EX105" s="12">
        <v>18</v>
      </c>
      <c r="EY105" s="19" cm="1">
        <f t="array" ref="EY105:FC105">VLOOKUP(_xlfn.SINGLE(B:B),'[1]Price List'!$B:$N,{8,4,5,6,7},0)</f>
        <v>430.6</v>
      </c>
      <c r="EZ105" s="9" t="str">
        <v>Speck Balance Folio Clear Case for iPad 10.2" 7/8/9 Gen - Rose Gold Woven Metallic</v>
      </c>
      <c r="FA105" s="12" t="str">
        <v>Cases iPad</v>
      </c>
      <c r="FB105" s="12" t="str">
        <v>iPad</v>
      </c>
      <c r="FC105" s="12" t="str">
        <v>iPad 10.2"</v>
      </c>
      <c r="FD105" s="23" t="str">
        <f>_xlfn.XLOOKUP(B:B,'[1]Price List'!$B:$B,'[1]Price List'!$A:$A)</f>
        <v>Speck</v>
      </c>
    </row>
    <row r="106" spans="1:160" s="9" customFormat="1" x14ac:dyDescent="0.2">
      <c r="A106" s="23" t="s">
        <v>599</v>
      </c>
      <c r="B106" s="23">
        <v>848709080622</v>
      </c>
      <c r="C106" s="9" t="s">
        <v>36</v>
      </c>
      <c r="D106" s="9" t="s">
        <v>644</v>
      </c>
      <c r="E106" s="9" t="s">
        <v>320</v>
      </c>
      <c r="F106" s="9" t="s">
        <v>624</v>
      </c>
      <c r="G106" s="9" t="s">
        <v>686</v>
      </c>
      <c r="H106" s="12" t="s">
        <v>37</v>
      </c>
      <c r="I106" s="11">
        <v>999</v>
      </c>
      <c r="J106" s="11">
        <v>430.6</v>
      </c>
      <c r="K106" s="62">
        <v>0.2</v>
      </c>
      <c r="L106" s="19">
        <f t="shared" si="28"/>
        <v>799.2</v>
      </c>
      <c r="M106" s="13" t="s">
        <v>467</v>
      </c>
      <c r="N106" s="13" t="s">
        <v>656</v>
      </c>
      <c r="O106" s="27">
        <v>43597</v>
      </c>
      <c r="P106" s="12">
        <v>16</v>
      </c>
      <c r="Q106" s="12">
        <v>12</v>
      </c>
      <c r="R106" s="12">
        <v>11</v>
      </c>
      <c r="S106" s="12">
        <v>7</v>
      </c>
      <c r="T106" s="12">
        <v>11</v>
      </c>
      <c r="U106" s="12">
        <v>14</v>
      </c>
      <c r="V106" s="12">
        <v>20</v>
      </c>
      <c r="W106" s="12">
        <v>31</v>
      </c>
      <c r="X106" s="12">
        <v>13</v>
      </c>
      <c r="Y106" s="12">
        <v>23</v>
      </c>
      <c r="Z106" s="12">
        <v>21</v>
      </c>
      <c r="AA106" s="12">
        <v>36</v>
      </c>
      <c r="AB106" s="12">
        <v>44</v>
      </c>
      <c r="AC106" s="12">
        <v>38</v>
      </c>
      <c r="AD106" s="12">
        <v>26</v>
      </c>
      <c r="AE106" s="12">
        <v>20</v>
      </c>
      <c r="AF106" s="12">
        <v>15</v>
      </c>
      <c r="AG106" s="12">
        <v>13</v>
      </c>
      <c r="AH106" s="12">
        <v>9</v>
      </c>
      <c r="AI106" s="12">
        <v>11</v>
      </c>
      <c r="AJ106" s="12">
        <v>18</v>
      </c>
      <c r="AK106" s="12">
        <v>6</v>
      </c>
      <c r="AL106" s="12">
        <v>5</v>
      </c>
      <c r="AM106" s="12">
        <v>4</v>
      </c>
      <c r="AN106" s="12">
        <v>12</v>
      </c>
      <c r="AO106" s="12">
        <v>4</v>
      </c>
      <c r="AP106" s="12">
        <v>5</v>
      </c>
      <c r="AQ106" s="12">
        <v>4</v>
      </c>
      <c r="AR106" s="12">
        <v>6</v>
      </c>
      <c r="AS106" s="12">
        <v>7</v>
      </c>
      <c r="AT106" s="12">
        <v>6</v>
      </c>
      <c r="AU106" s="12">
        <v>4</v>
      </c>
      <c r="AV106" s="12">
        <v>6</v>
      </c>
      <c r="AW106" s="12">
        <v>6</v>
      </c>
      <c r="AX106" s="12">
        <v>9</v>
      </c>
      <c r="AY106" s="12">
        <v>4</v>
      </c>
      <c r="AZ106" s="12">
        <v>7</v>
      </c>
      <c r="BA106" s="12">
        <v>13</v>
      </c>
      <c r="BB106" s="12">
        <v>9</v>
      </c>
      <c r="BC106" s="12">
        <v>12</v>
      </c>
      <c r="BD106" s="12">
        <v>6</v>
      </c>
      <c r="BE106" s="12">
        <v>3</v>
      </c>
      <c r="BF106" s="12">
        <v>9</v>
      </c>
      <c r="BG106" s="12">
        <v>2</v>
      </c>
      <c r="BH106" s="12">
        <v>1</v>
      </c>
      <c r="BI106" s="12">
        <v>0</v>
      </c>
      <c r="BJ106" s="12">
        <v>2</v>
      </c>
      <c r="BK106" s="12">
        <v>1</v>
      </c>
      <c r="BL106" s="12">
        <v>2</v>
      </c>
      <c r="BM106" s="12">
        <v>2</v>
      </c>
      <c r="BN106" s="12">
        <v>1</v>
      </c>
      <c r="BO106" s="12">
        <v>1</v>
      </c>
      <c r="BP106" s="12">
        <v>0</v>
      </c>
      <c r="BQ106" s="12">
        <v>1</v>
      </c>
      <c r="BR106" s="12">
        <v>1</v>
      </c>
      <c r="BS106" s="12">
        <v>4</v>
      </c>
      <c r="BT106" s="12">
        <v>0</v>
      </c>
      <c r="BU106" s="12">
        <v>0</v>
      </c>
      <c r="BV106" s="12">
        <v>2</v>
      </c>
      <c r="BW106" s="12">
        <v>1</v>
      </c>
      <c r="BX106" s="12">
        <v>1</v>
      </c>
      <c r="BY106" s="12">
        <v>0</v>
      </c>
      <c r="BZ106" s="12">
        <v>0</v>
      </c>
      <c r="CA106" s="12">
        <v>2</v>
      </c>
      <c r="CB106" s="12">
        <v>2</v>
      </c>
      <c r="CC106" s="12">
        <v>0</v>
      </c>
      <c r="CD106" s="12">
        <v>0</v>
      </c>
      <c r="CE106" s="12">
        <v>0</v>
      </c>
      <c r="CF106" s="12">
        <v>0</v>
      </c>
      <c r="CG106" s="12">
        <v>1</v>
      </c>
      <c r="CH106" s="12">
        <v>0</v>
      </c>
      <c r="CI106" s="12">
        <v>0</v>
      </c>
      <c r="CJ106" s="12">
        <v>0</v>
      </c>
      <c r="CK106" s="12">
        <v>0</v>
      </c>
      <c r="CL106" s="12">
        <v>0</v>
      </c>
      <c r="CM106" s="12">
        <v>0</v>
      </c>
      <c r="CN106" s="12">
        <v>0</v>
      </c>
      <c r="CO106" s="12">
        <v>0</v>
      </c>
      <c r="CP106" s="12">
        <v>0</v>
      </c>
      <c r="CQ106" s="12">
        <v>0</v>
      </c>
      <c r="CR106" s="12">
        <v>0</v>
      </c>
      <c r="CS106" s="12">
        <v>0</v>
      </c>
      <c r="CT106" s="12">
        <v>2</v>
      </c>
      <c r="CU106" s="12">
        <v>1</v>
      </c>
      <c r="CV106" s="12">
        <v>0</v>
      </c>
      <c r="CW106" s="12">
        <v>0</v>
      </c>
      <c r="CX106" s="12">
        <v>0</v>
      </c>
      <c r="CY106" s="12">
        <v>0</v>
      </c>
      <c r="CZ106" s="12">
        <v>0</v>
      </c>
      <c r="DA106" s="12">
        <v>1</v>
      </c>
      <c r="DB106" s="12">
        <v>1</v>
      </c>
      <c r="DC106" s="12">
        <v>0</v>
      </c>
      <c r="DD106" s="12">
        <v>0</v>
      </c>
      <c r="DE106" s="12">
        <v>0</v>
      </c>
      <c r="DF106" s="12">
        <v>0</v>
      </c>
      <c r="DG106" s="12">
        <v>0</v>
      </c>
      <c r="DH106" s="12">
        <v>0</v>
      </c>
      <c r="DI106" s="12">
        <v>0</v>
      </c>
      <c r="DJ106" s="12">
        <v>1</v>
      </c>
      <c r="DK106" s="12">
        <v>0</v>
      </c>
      <c r="DL106" s="12">
        <v>1</v>
      </c>
      <c r="DM106" s="12">
        <v>0</v>
      </c>
      <c r="DN106" s="12">
        <v>1</v>
      </c>
      <c r="DO106" s="12">
        <v>0</v>
      </c>
      <c r="DP106" s="12">
        <v>0</v>
      </c>
      <c r="DQ106" s="12">
        <v>0</v>
      </c>
      <c r="DR106" s="12">
        <v>0</v>
      </c>
      <c r="DS106" s="12">
        <v>0</v>
      </c>
      <c r="DT106" s="12">
        <v>0</v>
      </c>
      <c r="DU106" s="12">
        <v>0</v>
      </c>
      <c r="DV106" s="12">
        <v>0</v>
      </c>
      <c r="DW106" s="12">
        <v>1</v>
      </c>
      <c r="DX106" s="12">
        <v>1</v>
      </c>
      <c r="DY106" s="12">
        <v>0</v>
      </c>
      <c r="DZ106" s="12">
        <v>1</v>
      </c>
      <c r="EA106" s="12">
        <v>0</v>
      </c>
      <c r="EB106" s="12">
        <v>0</v>
      </c>
      <c r="EC106" s="12">
        <v>0</v>
      </c>
      <c r="ED106" s="12">
        <v>0</v>
      </c>
      <c r="EE106" s="12">
        <v>0</v>
      </c>
      <c r="EF106" s="12">
        <v>0</v>
      </c>
      <c r="EG106" s="12">
        <v>0</v>
      </c>
      <c r="EH106" s="12">
        <v>0</v>
      </c>
      <c r="EI106" s="12">
        <v>0</v>
      </c>
      <c r="EJ106" s="12">
        <v>0</v>
      </c>
      <c r="EK106" s="12">
        <v>0</v>
      </c>
      <c r="EL106" s="12">
        <v>0</v>
      </c>
      <c r="EM106" s="12">
        <v>0</v>
      </c>
      <c r="EN106" s="12">
        <v>0</v>
      </c>
      <c r="EO106" s="12">
        <v>0</v>
      </c>
      <c r="EP106" s="12" t="str">
        <f t="shared" si="26"/>
        <v>🔴 Sin venta</v>
      </c>
      <c r="EQ106" s="23">
        <f t="shared" si="22"/>
        <v>0.125</v>
      </c>
      <c r="ER106" s="19">
        <f t="shared" si="21"/>
        <v>1291.8000000000002</v>
      </c>
      <c r="ES106" s="12">
        <f t="shared" si="20"/>
        <v>3</v>
      </c>
      <c r="ET106" s="23">
        <f t="shared" si="27"/>
        <v>1</v>
      </c>
      <c r="EU106" s="23">
        <f t="shared" si="25"/>
        <v>1.5</v>
      </c>
      <c r="EV106" s="23">
        <f t="shared" si="23"/>
        <v>0.67</v>
      </c>
      <c r="EW106" s="23"/>
      <c r="EX106" s="12">
        <v>4</v>
      </c>
      <c r="EY106" s="19" cm="1">
        <f t="array" ref="EY106:FC106">VLOOKUP(_xlfn.SINGLE(B:B),'[1]Price List'!$B:$N,{8,4,5,6,7},0)</f>
        <v>430.6</v>
      </c>
      <c r="EZ106" s="9" t="str">
        <v>Speck Balance Folio Case for iPad 10.2" 7/8 Gen - Stormy Gray/Charcoal Gray</v>
      </c>
      <c r="FA106" s="12" t="str">
        <v>Cases iPad</v>
      </c>
      <c r="FB106" s="12" t="str">
        <v>iPad</v>
      </c>
      <c r="FC106" s="12" t="str">
        <v>iPad 10.2"</v>
      </c>
      <c r="FD106" s="23" t="str">
        <f>_xlfn.XLOOKUP(B:B,'[1]Price List'!$B:$B,'[1]Price List'!$A:$A)</f>
        <v>Speck</v>
      </c>
    </row>
    <row r="107" spans="1:160" s="9" customFormat="1" x14ac:dyDescent="0.2">
      <c r="A107" s="23" t="s">
        <v>599</v>
      </c>
      <c r="B107" s="23">
        <v>848709080707</v>
      </c>
      <c r="C107" s="9" t="s">
        <v>46</v>
      </c>
      <c r="D107" s="9" t="s">
        <v>644</v>
      </c>
      <c r="E107" s="9" t="s">
        <v>320</v>
      </c>
      <c r="F107" s="9" t="s">
        <v>624</v>
      </c>
      <c r="G107" s="9" t="s">
        <v>686</v>
      </c>
      <c r="H107" s="12" t="s">
        <v>47</v>
      </c>
      <c r="I107" s="11">
        <v>999</v>
      </c>
      <c r="J107" s="11">
        <v>430.6</v>
      </c>
      <c r="K107" s="62">
        <v>0.2</v>
      </c>
      <c r="L107" s="19">
        <f t="shared" si="28"/>
        <v>799.2</v>
      </c>
      <c r="M107" s="13" t="s">
        <v>467</v>
      </c>
      <c r="N107" s="13" t="s">
        <v>656</v>
      </c>
      <c r="O107" s="27" t="s">
        <v>45</v>
      </c>
      <c r="P107" s="12">
        <v>9</v>
      </c>
      <c r="Q107" s="12">
        <v>5</v>
      </c>
      <c r="R107" s="12">
        <v>6</v>
      </c>
      <c r="S107" s="12">
        <v>5</v>
      </c>
      <c r="T107" s="12">
        <v>4</v>
      </c>
      <c r="U107" s="12">
        <v>12</v>
      </c>
      <c r="V107" s="12">
        <v>33</v>
      </c>
      <c r="W107" s="12">
        <v>19</v>
      </c>
      <c r="X107" s="12">
        <v>6</v>
      </c>
      <c r="Y107" s="12">
        <v>8</v>
      </c>
      <c r="Z107" s="12">
        <v>16</v>
      </c>
      <c r="AA107" s="12">
        <v>42</v>
      </c>
      <c r="AB107" s="12">
        <v>35</v>
      </c>
      <c r="AC107" s="12">
        <v>34</v>
      </c>
      <c r="AD107" s="12">
        <v>9</v>
      </c>
      <c r="AE107" s="12">
        <v>17</v>
      </c>
      <c r="AF107" s="12">
        <v>28</v>
      </c>
      <c r="AG107" s="12">
        <v>13</v>
      </c>
      <c r="AH107" s="12">
        <v>14</v>
      </c>
      <c r="AI107" s="12">
        <v>10</v>
      </c>
      <c r="AJ107" s="12">
        <v>6</v>
      </c>
      <c r="AK107" s="12">
        <v>3</v>
      </c>
      <c r="AL107" s="12">
        <v>9</v>
      </c>
      <c r="AM107" s="12">
        <v>10</v>
      </c>
      <c r="AN107" s="12">
        <v>6</v>
      </c>
      <c r="AO107" s="12">
        <v>4</v>
      </c>
      <c r="AP107" s="12">
        <v>7</v>
      </c>
      <c r="AQ107" s="12">
        <v>4</v>
      </c>
      <c r="AR107" s="12">
        <v>3</v>
      </c>
      <c r="AS107" s="12">
        <v>6</v>
      </c>
      <c r="AT107" s="12">
        <v>4</v>
      </c>
      <c r="AU107" s="12">
        <v>7</v>
      </c>
      <c r="AV107" s="12">
        <v>12</v>
      </c>
      <c r="AW107" s="12">
        <v>12</v>
      </c>
      <c r="AX107" s="12">
        <v>25</v>
      </c>
      <c r="AY107" s="12">
        <v>12</v>
      </c>
      <c r="AZ107" s="12">
        <v>16</v>
      </c>
      <c r="BA107" s="12">
        <v>21</v>
      </c>
      <c r="BB107" s="12">
        <v>34</v>
      </c>
      <c r="BC107" s="12">
        <v>35</v>
      </c>
      <c r="BD107" s="12">
        <v>21</v>
      </c>
      <c r="BE107" s="12">
        <v>16</v>
      </c>
      <c r="BF107" s="12">
        <v>14</v>
      </c>
      <c r="BG107" s="12">
        <v>6</v>
      </c>
      <c r="BH107" s="12">
        <v>12</v>
      </c>
      <c r="BI107" s="12">
        <v>6</v>
      </c>
      <c r="BJ107" s="12">
        <v>12</v>
      </c>
      <c r="BK107" s="12">
        <v>6</v>
      </c>
      <c r="BL107" s="12">
        <v>5</v>
      </c>
      <c r="BM107" s="12">
        <v>6</v>
      </c>
      <c r="BN107" s="12">
        <v>11</v>
      </c>
      <c r="BO107" s="12">
        <v>14</v>
      </c>
      <c r="BP107" s="12">
        <v>13</v>
      </c>
      <c r="BQ107" s="12">
        <v>11</v>
      </c>
      <c r="BR107" s="12">
        <v>11</v>
      </c>
      <c r="BS107" s="12">
        <v>6</v>
      </c>
      <c r="BT107" s="12">
        <v>3</v>
      </c>
      <c r="BU107" s="12">
        <v>4</v>
      </c>
      <c r="BV107" s="12">
        <v>3</v>
      </c>
      <c r="BW107" s="12">
        <v>0</v>
      </c>
      <c r="BX107" s="12">
        <v>4</v>
      </c>
      <c r="BY107" s="12">
        <v>0</v>
      </c>
      <c r="BZ107" s="12">
        <v>3</v>
      </c>
      <c r="CA107" s="12">
        <v>0</v>
      </c>
      <c r="CB107" s="12">
        <v>6</v>
      </c>
      <c r="CC107" s="12">
        <v>5</v>
      </c>
      <c r="CD107" s="12">
        <v>3</v>
      </c>
      <c r="CE107" s="12">
        <v>1</v>
      </c>
      <c r="CF107" s="12">
        <v>6</v>
      </c>
      <c r="CG107" s="12">
        <v>3</v>
      </c>
      <c r="CH107" s="12">
        <v>4</v>
      </c>
      <c r="CI107" s="12">
        <v>3</v>
      </c>
      <c r="CJ107" s="12">
        <v>2</v>
      </c>
      <c r="CK107" s="12">
        <v>3</v>
      </c>
      <c r="CL107" s="12">
        <v>3</v>
      </c>
      <c r="CM107" s="12">
        <v>-1</v>
      </c>
      <c r="CN107" s="12">
        <v>4</v>
      </c>
      <c r="CO107" s="12">
        <v>4</v>
      </c>
      <c r="CP107" s="12">
        <v>2</v>
      </c>
      <c r="CQ107" s="12">
        <v>3</v>
      </c>
      <c r="CR107" s="12">
        <v>1</v>
      </c>
      <c r="CS107" s="12">
        <v>1</v>
      </c>
      <c r="CT107" s="12">
        <v>4</v>
      </c>
      <c r="CU107" s="12">
        <v>0</v>
      </c>
      <c r="CV107" s="12">
        <v>2</v>
      </c>
      <c r="CW107" s="12">
        <v>0</v>
      </c>
      <c r="CX107" s="12">
        <v>0</v>
      </c>
      <c r="CY107" s="12">
        <v>3</v>
      </c>
      <c r="CZ107" s="12">
        <v>1</v>
      </c>
      <c r="DA107" s="12">
        <v>0</v>
      </c>
      <c r="DB107" s="12">
        <v>2</v>
      </c>
      <c r="DC107" s="12">
        <v>0</v>
      </c>
      <c r="DD107" s="12">
        <v>0</v>
      </c>
      <c r="DE107" s="12">
        <v>1</v>
      </c>
      <c r="DF107" s="12">
        <v>2</v>
      </c>
      <c r="DG107" s="12">
        <v>3</v>
      </c>
      <c r="DH107" s="12">
        <v>0</v>
      </c>
      <c r="DI107" s="12">
        <v>0</v>
      </c>
      <c r="DJ107" s="12">
        <v>1</v>
      </c>
      <c r="DK107" s="12">
        <v>2</v>
      </c>
      <c r="DL107" s="12">
        <v>1</v>
      </c>
      <c r="DM107" s="12">
        <v>0</v>
      </c>
      <c r="DN107" s="12">
        <v>6</v>
      </c>
      <c r="DO107" s="12">
        <v>1</v>
      </c>
      <c r="DP107" s="12">
        <v>1</v>
      </c>
      <c r="DQ107" s="12">
        <v>3</v>
      </c>
      <c r="DR107" s="12">
        <v>2</v>
      </c>
      <c r="DS107" s="12">
        <v>0</v>
      </c>
      <c r="DT107" s="12">
        <v>2</v>
      </c>
      <c r="DU107" s="12">
        <v>0</v>
      </c>
      <c r="DV107" s="12">
        <v>1</v>
      </c>
      <c r="DW107" s="12">
        <v>0</v>
      </c>
      <c r="DX107" s="12">
        <v>0</v>
      </c>
      <c r="DY107" s="12">
        <v>1</v>
      </c>
      <c r="DZ107" s="12">
        <v>1</v>
      </c>
      <c r="EA107" s="12">
        <v>0</v>
      </c>
      <c r="EB107" s="12">
        <v>0</v>
      </c>
      <c r="EC107" s="12">
        <v>1</v>
      </c>
      <c r="ED107" s="12">
        <v>0</v>
      </c>
      <c r="EE107" s="12">
        <v>0</v>
      </c>
      <c r="EF107" s="12">
        <v>1</v>
      </c>
      <c r="EG107" s="12">
        <v>0</v>
      </c>
      <c r="EH107" s="12">
        <v>1</v>
      </c>
      <c r="EI107" s="12">
        <v>1</v>
      </c>
      <c r="EJ107" s="12">
        <v>0</v>
      </c>
      <c r="EK107" s="12">
        <v>0</v>
      </c>
      <c r="EL107" s="12">
        <v>0</v>
      </c>
      <c r="EM107" s="12">
        <v>0</v>
      </c>
      <c r="EN107" s="12">
        <v>0</v>
      </c>
      <c r="EO107" s="12">
        <v>0</v>
      </c>
      <c r="EP107" s="12" t="str">
        <f t="shared" si="26"/>
        <v>🔴 Sin venta</v>
      </c>
      <c r="EQ107" s="23">
        <f t="shared" si="22"/>
        <v>0.625</v>
      </c>
      <c r="ER107" s="19">
        <f t="shared" si="21"/>
        <v>6459</v>
      </c>
      <c r="ES107" s="12">
        <f t="shared" si="20"/>
        <v>15</v>
      </c>
      <c r="ET107" s="23">
        <f t="shared" si="27"/>
        <v>4.5</v>
      </c>
      <c r="EU107" s="23">
        <f t="shared" si="25"/>
        <v>5.5</v>
      </c>
      <c r="EV107" s="23">
        <f t="shared" si="23"/>
        <v>2.89</v>
      </c>
      <c r="EW107" s="23"/>
      <c r="EX107" s="12">
        <v>24</v>
      </c>
      <c r="EY107" s="19" cm="1">
        <f t="array" ref="EY107:FC107">VLOOKUP(_xlfn.SINGLE(B:B),'[1]Price List'!$B:$N,{8,4,5,6,7},0)</f>
        <v>430.6</v>
      </c>
      <c r="EZ107" s="9" t="str">
        <v>Speck Balance Folio Clear Case for iPad 10.2" 7/8/9 Gen - Clear/Gunmetal Grey Meta</v>
      </c>
      <c r="FA107" s="12" t="str">
        <v>Cases iPad</v>
      </c>
      <c r="FB107" s="12" t="str">
        <v>iPad</v>
      </c>
      <c r="FC107" s="12" t="str">
        <v>iPad 10.2"</v>
      </c>
      <c r="FD107" s="23" t="str">
        <f>_xlfn.XLOOKUP(B:B,'[1]Price List'!$B:$B,'[1]Price List'!$A:$A)</f>
        <v>Speck</v>
      </c>
    </row>
    <row r="108" spans="1:160" s="9" customFormat="1" x14ac:dyDescent="0.2">
      <c r="A108" s="23" t="s">
        <v>599</v>
      </c>
      <c r="B108" s="23">
        <v>840168510238</v>
      </c>
      <c r="C108" s="9" t="s">
        <v>149</v>
      </c>
      <c r="D108" s="9" t="s">
        <v>644</v>
      </c>
      <c r="E108" s="9" t="s">
        <v>305</v>
      </c>
      <c r="F108" s="9" t="s">
        <v>625</v>
      </c>
      <c r="G108" s="9" t="s">
        <v>305</v>
      </c>
      <c r="H108" s="12" t="s">
        <v>150</v>
      </c>
      <c r="I108" s="12">
        <v>899</v>
      </c>
      <c r="J108" s="11">
        <v>348.75</v>
      </c>
      <c r="K108" s="62">
        <v>0.5</v>
      </c>
      <c r="L108" s="19">
        <f t="shared" si="28"/>
        <v>449.5</v>
      </c>
      <c r="M108" s="13" t="s">
        <v>467</v>
      </c>
      <c r="N108" s="13" t="s">
        <v>475</v>
      </c>
      <c r="O108" s="27" t="s">
        <v>140</v>
      </c>
      <c r="P108" s="12">
        <v>6</v>
      </c>
      <c r="Q108" s="12">
        <v>3</v>
      </c>
      <c r="R108" s="12">
        <v>6</v>
      </c>
      <c r="S108" s="12">
        <v>7</v>
      </c>
      <c r="T108" s="12">
        <v>4</v>
      </c>
      <c r="U108" s="12">
        <v>3</v>
      </c>
      <c r="V108" s="12">
        <v>6</v>
      </c>
      <c r="W108" s="12">
        <v>9</v>
      </c>
      <c r="X108" s="12">
        <v>2</v>
      </c>
      <c r="Y108" s="12">
        <v>9</v>
      </c>
      <c r="Z108" s="12">
        <v>6</v>
      </c>
      <c r="AA108" s="12">
        <v>10</v>
      </c>
      <c r="AB108" s="12">
        <v>5</v>
      </c>
      <c r="AC108" s="12">
        <v>4</v>
      </c>
      <c r="AD108" s="12">
        <v>8</v>
      </c>
      <c r="AE108" s="12">
        <v>2</v>
      </c>
      <c r="AF108" s="12">
        <v>2</v>
      </c>
      <c r="AG108" s="12">
        <v>2</v>
      </c>
      <c r="AH108" s="12">
        <v>2</v>
      </c>
      <c r="AI108" s="12">
        <v>1</v>
      </c>
      <c r="AJ108" s="12">
        <v>5</v>
      </c>
      <c r="AK108" s="12">
        <v>5</v>
      </c>
      <c r="AL108" s="12">
        <v>2</v>
      </c>
      <c r="AM108" s="12">
        <v>3</v>
      </c>
      <c r="AN108" s="12">
        <v>3</v>
      </c>
      <c r="AO108" s="12">
        <v>3</v>
      </c>
      <c r="AP108" s="12">
        <v>3</v>
      </c>
      <c r="AQ108" s="12">
        <v>2</v>
      </c>
      <c r="AR108" s="12">
        <v>1</v>
      </c>
      <c r="AS108" s="12">
        <v>3</v>
      </c>
      <c r="AT108" s="12">
        <v>2</v>
      </c>
      <c r="AU108" s="12">
        <v>0</v>
      </c>
      <c r="AV108" s="12">
        <v>3</v>
      </c>
      <c r="AW108" s="12">
        <v>2</v>
      </c>
      <c r="AX108" s="12">
        <v>2</v>
      </c>
      <c r="AY108" s="12">
        <v>5</v>
      </c>
      <c r="AZ108" s="12">
        <v>6</v>
      </c>
      <c r="BA108" s="12">
        <v>1</v>
      </c>
      <c r="BB108" s="12">
        <v>1</v>
      </c>
      <c r="BC108" s="12">
        <v>3</v>
      </c>
      <c r="BD108" s="12">
        <v>0</v>
      </c>
      <c r="BE108" s="12">
        <v>5</v>
      </c>
      <c r="BF108" s="12">
        <v>2</v>
      </c>
      <c r="BG108" s="12">
        <v>0</v>
      </c>
      <c r="BH108" s="12">
        <v>0</v>
      </c>
      <c r="BI108" s="12">
        <v>1</v>
      </c>
      <c r="BJ108" s="12">
        <v>1</v>
      </c>
      <c r="BK108" s="12">
        <v>1</v>
      </c>
      <c r="BL108" s="12">
        <v>0</v>
      </c>
      <c r="BM108" s="12">
        <v>1</v>
      </c>
      <c r="BN108" s="12">
        <v>-1</v>
      </c>
      <c r="BO108" s="12">
        <v>1</v>
      </c>
      <c r="BP108" s="12">
        <v>0</v>
      </c>
      <c r="BQ108" s="12">
        <v>1</v>
      </c>
      <c r="BR108" s="12">
        <v>1</v>
      </c>
      <c r="BS108" s="12">
        <v>0</v>
      </c>
      <c r="BT108" s="12">
        <v>1</v>
      </c>
      <c r="BU108" s="12">
        <v>0</v>
      </c>
      <c r="BV108" s="12">
        <v>3</v>
      </c>
      <c r="BW108" s="12">
        <v>0</v>
      </c>
      <c r="BX108" s="12">
        <v>1</v>
      </c>
      <c r="BY108" s="12">
        <v>0</v>
      </c>
      <c r="BZ108" s="12">
        <v>1</v>
      </c>
      <c r="CA108" s="12">
        <v>0</v>
      </c>
      <c r="CB108" s="12">
        <v>1</v>
      </c>
      <c r="CC108" s="12">
        <v>0</v>
      </c>
      <c r="CD108" s="12">
        <v>1</v>
      </c>
      <c r="CE108" s="12">
        <v>2</v>
      </c>
      <c r="CF108" s="12">
        <v>0</v>
      </c>
      <c r="CG108" s="12">
        <v>0</v>
      </c>
      <c r="CH108" s="12">
        <v>1</v>
      </c>
      <c r="CI108" s="12">
        <v>1</v>
      </c>
      <c r="CJ108" s="12">
        <v>0</v>
      </c>
      <c r="CK108" s="12">
        <v>0</v>
      </c>
      <c r="CL108" s="12">
        <v>0</v>
      </c>
      <c r="CM108" s="12">
        <v>0</v>
      </c>
      <c r="CN108" s="12">
        <v>1</v>
      </c>
      <c r="CO108" s="12">
        <v>0</v>
      </c>
      <c r="CP108" s="12">
        <v>0</v>
      </c>
      <c r="CQ108" s="12">
        <v>0</v>
      </c>
      <c r="CR108" s="12">
        <v>0</v>
      </c>
      <c r="CS108" s="12">
        <v>0</v>
      </c>
      <c r="CT108" s="12">
        <v>0</v>
      </c>
      <c r="CU108" s="12">
        <v>1</v>
      </c>
      <c r="CV108" s="12">
        <v>1</v>
      </c>
      <c r="CW108" s="12">
        <v>1</v>
      </c>
      <c r="CX108" s="12">
        <v>1</v>
      </c>
      <c r="CY108" s="12">
        <v>1</v>
      </c>
      <c r="CZ108" s="12">
        <v>0</v>
      </c>
      <c r="DA108" s="12">
        <v>1</v>
      </c>
      <c r="DB108" s="12">
        <v>1</v>
      </c>
      <c r="DC108" s="12">
        <v>1</v>
      </c>
      <c r="DD108" s="12">
        <v>1</v>
      </c>
      <c r="DE108" s="12">
        <v>0</v>
      </c>
      <c r="DF108" s="12">
        <v>1</v>
      </c>
      <c r="DG108" s="12">
        <v>1</v>
      </c>
      <c r="DH108" s="12">
        <v>0</v>
      </c>
      <c r="DI108" s="12">
        <v>1</v>
      </c>
      <c r="DJ108" s="12">
        <v>1</v>
      </c>
      <c r="DK108" s="12">
        <v>0</v>
      </c>
      <c r="DL108" s="12">
        <v>0</v>
      </c>
      <c r="DM108" s="12">
        <v>1</v>
      </c>
      <c r="DN108" s="12">
        <v>2</v>
      </c>
      <c r="DO108" s="12">
        <v>1</v>
      </c>
      <c r="DP108" s="12">
        <v>1</v>
      </c>
      <c r="DQ108" s="12">
        <v>2</v>
      </c>
      <c r="DR108" s="12">
        <v>2</v>
      </c>
      <c r="DS108" s="12">
        <v>0</v>
      </c>
      <c r="DT108" s="12">
        <v>3</v>
      </c>
      <c r="DU108" s="12">
        <v>0</v>
      </c>
      <c r="DV108" s="12">
        <v>0</v>
      </c>
      <c r="DW108" s="12">
        <v>0</v>
      </c>
      <c r="DX108" s="12">
        <v>0</v>
      </c>
      <c r="DY108" s="12">
        <v>0</v>
      </c>
      <c r="DZ108" s="12">
        <v>0</v>
      </c>
      <c r="EA108" s="12">
        <v>4</v>
      </c>
      <c r="EB108" s="12">
        <v>0</v>
      </c>
      <c r="EC108" s="12">
        <v>1</v>
      </c>
      <c r="ED108" s="12">
        <v>0</v>
      </c>
      <c r="EE108" s="12">
        <v>1</v>
      </c>
      <c r="EF108" s="12">
        <v>0</v>
      </c>
      <c r="EG108" s="12">
        <v>1</v>
      </c>
      <c r="EH108" s="12">
        <v>1</v>
      </c>
      <c r="EI108" s="12">
        <v>0</v>
      </c>
      <c r="EJ108" s="12">
        <v>0</v>
      </c>
      <c r="EK108" s="12">
        <v>2</v>
      </c>
      <c r="EL108" s="12">
        <v>0</v>
      </c>
      <c r="EM108" s="12">
        <v>1</v>
      </c>
      <c r="EN108" s="12">
        <v>0</v>
      </c>
      <c r="EO108" s="12">
        <v>1</v>
      </c>
      <c r="EP108" s="12" t="str">
        <f t="shared" si="26"/>
        <v>🔴 Sin venta</v>
      </c>
      <c r="EQ108" s="23">
        <f t="shared" si="22"/>
        <v>0.79166666666666663</v>
      </c>
      <c r="ER108" s="19">
        <f t="shared" si="21"/>
        <v>6975</v>
      </c>
      <c r="ES108" s="12">
        <f t="shared" si="20"/>
        <v>20</v>
      </c>
      <c r="ET108" s="23">
        <f t="shared" si="27"/>
        <v>3</v>
      </c>
      <c r="EU108" s="23">
        <f t="shared" si="25"/>
        <v>3</v>
      </c>
      <c r="EV108" s="23">
        <f t="shared" si="23"/>
        <v>3.33</v>
      </c>
      <c r="EW108" s="23"/>
      <c r="EX108" s="12">
        <v>13</v>
      </c>
      <c r="EY108" s="19" cm="1">
        <f t="array" ref="EY108:FC108">VLOOKUP(_xlfn.SINGLE(B:B),'[1]Price List'!$B:$N,{8,4,5,6,7},0)</f>
        <v>348.75</v>
      </c>
      <c r="EZ108" s="9" t="str">
        <v>Speck Sililoop Airtag 4 pack - Color Mixed Neon/Blue/Fuscia/Pink</v>
      </c>
      <c r="FA108" s="12" t="str">
        <v>Cases AirTag</v>
      </c>
      <c r="FB108" s="12" t="str">
        <v>AirTag</v>
      </c>
      <c r="FC108" s="12" t="str">
        <v>AirTag</v>
      </c>
      <c r="FD108" s="23" t="str">
        <f>_xlfn.XLOOKUP(B:B,'[1]Price List'!$B:$B,'[1]Price List'!$A:$A)</f>
        <v>Speck</v>
      </c>
    </row>
    <row r="109" spans="1:160" s="9" customFormat="1" x14ac:dyDescent="0.2">
      <c r="A109" s="23" t="s">
        <v>599</v>
      </c>
      <c r="B109" s="23">
        <v>848709095855</v>
      </c>
      <c r="C109" s="9" t="s">
        <v>94</v>
      </c>
      <c r="D109" s="9" t="s">
        <v>644</v>
      </c>
      <c r="E109" s="9" t="s">
        <v>321</v>
      </c>
      <c r="F109" s="9" t="s">
        <v>626</v>
      </c>
      <c r="G109" s="9" t="s">
        <v>306</v>
      </c>
      <c r="H109" s="12" t="s">
        <v>95</v>
      </c>
      <c r="I109" s="11">
        <v>999</v>
      </c>
      <c r="J109" s="11">
        <v>430.6</v>
      </c>
      <c r="K109" s="62">
        <v>0</v>
      </c>
      <c r="L109" s="12">
        <v>0</v>
      </c>
      <c r="M109" s="13" t="s">
        <v>467</v>
      </c>
      <c r="N109" s="13" t="s">
        <v>475</v>
      </c>
      <c r="O109" s="27" t="s">
        <v>96</v>
      </c>
      <c r="P109" s="12">
        <v>6</v>
      </c>
      <c r="Q109" s="12">
        <v>13</v>
      </c>
      <c r="R109" s="12">
        <v>12</v>
      </c>
      <c r="S109" s="12">
        <v>6</v>
      </c>
      <c r="T109" s="12">
        <v>11</v>
      </c>
      <c r="U109" s="12">
        <v>3</v>
      </c>
      <c r="V109" s="12">
        <v>29</v>
      </c>
      <c r="W109" s="12">
        <v>32</v>
      </c>
      <c r="X109" s="12">
        <v>11</v>
      </c>
      <c r="Y109" s="12">
        <v>15</v>
      </c>
      <c r="Z109" s="12">
        <v>7</v>
      </c>
      <c r="AA109" s="12">
        <v>8</v>
      </c>
      <c r="AB109" s="12">
        <v>12</v>
      </c>
      <c r="AC109" s="12">
        <v>13</v>
      </c>
      <c r="AD109" s="12">
        <v>14</v>
      </c>
      <c r="AE109" s="12">
        <v>5</v>
      </c>
      <c r="AF109" s="12">
        <v>2</v>
      </c>
      <c r="AG109" s="12">
        <v>5</v>
      </c>
      <c r="AH109" s="12">
        <v>7</v>
      </c>
      <c r="AI109" s="12">
        <v>4</v>
      </c>
      <c r="AJ109" s="12">
        <v>1</v>
      </c>
      <c r="AK109" s="12">
        <v>1</v>
      </c>
      <c r="AL109" s="12">
        <v>1</v>
      </c>
      <c r="AM109" s="12">
        <v>1</v>
      </c>
      <c r="AN109" s="12">
        <v>1</v>
      </c>
      <c r="AO109" s="12">
        <v>6</v>
      </c>
      <c r="AP109" s="12">
        <v>11</v>
      </c>
      <c r="AQ109" s="12">
        <v>5</v>
      </c>
      <c r="AR109" s="12">
        <v>4</v>
      </c>
      <c r="AS109" s="12">
        <v>4</v>
      </c>
      <c r="AT109" s="12">
        <v>6</v>
      </c>
      <c r="AU109" s="12">
        <v>8</v>
      </c>
      <c r="AV109" s="12">
        <v>29</v>
      </c>
      <c r="AW109" s="12">
        <v>19</v>
      </c>
      <c r="AX109" s="12">
        <v>10</v>
      </c>
      <c r="AY109" s="12">
        <v>8</v>
      </c>
      <c r="AZ109" s="12">
        <v>4</v>
      </c>
      <c r="BA109" s="12">
        <v>7</v>
      </c>
      <c r="BB109" s="12">
        <v>25</v>
      </c>
      <c r="BC109" s="12">
        <v>40</v>
      </c>
      <c r="BD109" s="12">
        <v>57</v>
      </c>
      <c r="BE109" s="12">
        <v>25</v>
      </c>
      <c r="BF109" s="12">
        <v>38</v>
      </c>
      <c r="BG109" s="12">
        <v>19</v>
      </c>
      <c r="BH109" s="12">
        <v>32</v>
      </c>
      <c r="BI109" s="12">
        <v>40</v>
      </c>
      <c r="BJ109" s="12">
        <v>57</v>
      </c>
      <c r="BK109" s="12">
        <v>28</v>
      </c>
      <c r="BL109" s="12">
        <v>21</v>
      </c>
      <c r="BM109" s="12">
        <v>10</v>
      </c>
      <c r="BN109" s="12">
        <v>19</v>
      </c>
      <c r="BO109" s="12">
        <v>51</v>
      </c>
      <c r="BP109" s="12">
        <v>52</v>
      </c>
      <c r="BQ109" s="12">
        <v>24</v>
      </c>
      <c r="BR109" s="12">
        <v>27</v>
      </c>
      <c r="BS109" s="12">
        <v>38</v>
      </c>
      <c r="BT109" s="12">
        <v>43</v>
      </c>
      <c r="BU109" s="12">
        <v>23</v>
      </c>
      <c r="BV109" s="12">
        <v>7</v>
      </c>
      <c r="BW109" s="12">
        <v>11</v>
      </c>
      <c r="BX109" s="12">
        <v>5</v>
      </c>
      <c r="BY109" s="12">
        <v>7</v>
      </c>
      <c r="BZ109" s="12">
        <v>2</v>
      </c>
      <c r="CA109" s="12">
        <v>0</v>
      </c>
      <c r="CB109" s="12">
        <v>1</v>
      </c>
      <c r="CC109" s="12">
        <v>3</v>
      </c>
      <c r="CD109" s="12">
        <v>6</v>
      </c>
      <c r="CE109" s="12">
        <v>0</v>
      </c>
      <c r="CF109" s="12">
        <v>1</v>
      </c>
      <c r="CG109" s="12">
        <v>3</v>
      </c>
      <c r="CH109" s="12">
        <v>7</v>
      </c>
      <c r="CI109" s="12">
        <v>22</v>
      </c>
      <c r="CJ109" s="12">
        <v>33</v>
      </c>
      <c r="CK109" s="12">
        <v>40</v>
      </c>
      <c r="CL109" s="12">
        <v>35</v>
      </c>
      <c r="CM109" s="12">
        <v>29</v>
      </c>
      <c r="CN109" s="12">
        <v>46</v>
      </c>
      <c r="CO109" s="12">
        <v>23</v>
      </c>
      <c r="CP109" s="12">
        <v>35</v>
      </c>
      <c r="CQ109" s="12">
        <v>31</v>
      </c>
      <c r="CR109" s="12">
        <v>28</v>
      </c>
      <c r="CS109" s="12">
        <v>15</v>
      </c>
      <c r="CT109" s="12">
        <v>14</v>
      </c>
      <c r="CU109" s="12">
        <v>14</v>
      </c>
      <c r="CV109" s="12">
        <v>14</v>
      </c>
      <c r="CW109" s="12">
        <v>10</v>
      </c>
      <c r="CX109" s="12">
        <v>6</v>
      </c>
      <c r="CY109" s="12">
        <v>2</v>
      </c>
      <c r="CZ109" s="12">
        <v>1</v>
      </c>
      <c r="DA109" s="12">
        <v>0</v>
      </c>
      <c r="DB109" s="12">
        <v>3</v>
      </c>
      <c r="DC109" s="12">
        <v>2</v>
      </c>
      <c r="DD109" s="12">
        <v>-1</v>
      </c>
      <c r="DE109" s="12">
        <v>1</v>
      </c>
      <c r="DF109" s="12">
        <v>1</v>
      </c>
      <c r="DG109" s="12">
        <v>1</v>
      </c>
      <c r="DH109" s="12">
        <v>0</v>
      </c>
      <c r="DI109" s="12">
        <v>1</v>
      </c>
      <c r="DJ109" s="12">
        <v>0</v>
      </c>
      <c r="DK109" s="12">
        <v>0</v>
      </c>
      <c r="DL109" s="12">
        <v>1</v>
      </c>
      <c r="DM109" s="12">
        <v>1</v>
      </c>
      <c r="DN109" s="12">
        <v>0</v>
      </c>
      <c r="DO109" s="12">
        <v>1</v>
      </c>
      <c r="DP109" s="12">
        <v>0</v>
      </c>
      <c r="DQ109" s="12">
        <v>1</v>
      </c>
      <c r="DR109" s="12">
        <v>0</v>
      </c>
      <c r="DS109" s="12">
        <v>0</v>
      </c>
      <c r="DT109" s="12">
        <v>0</v>
      </c>
      <c r="DU109" s="12">
        <v>0</v>
      </c>
      <c r="DV109" s="12">
        <v>0</v>
      </c>
      <c r="DW109" s="12">
        <v>0</v>
      </c>
      <c r="DX109" s="12">
        <v>0</v>
      </c>
      <c r="DY109" s="12">
        <v>0</v>
      </c>
      <c r="DZ109" s="12">
        <v>0</v>
      </c>
      <c r="EA109" s="12">
        <v>0</v>
      </c>
      <c r="EB109" s="12">
        <v>1</v>
      </c>
      <c r="EC109" s="12">
        <v>0</v>
      </c>
      <c r="ED109" s="12">
        <v>0</v>
      </c>
      <c r="EE109" s="12">
        <v>0</v>
      </c>
      <c r="EF109" s="12">
        <v>1</v>
      </c>
      <c r="EG109" s="12">
        <v>0</v>
      </c>
      <c r="EH109" s="12">
        <v>0</v>
      </c>
      <c r="EI109" s="12">
        <v>0</v>
      </c>
      <c r="EJ109" s="12">
        <v>0</v>
      </c>
      <c r="EK109" s="12">
        <v>0</v>
      </c>
      <c r="EL109" s="12">
        <v>0</v>
      </c>
      <c r="EM109" s="12">
        <v>0</v>
      </c>
      <c r="EN109" s="12">
        <v>0</v>
      </c>
      <c r="EO109" s="12">
        <v>0</v>
      </c>
      <c r="EP109" s="12" t="str">
        <f>IF(EL109=0,"🔴 Sin venta",IF(EL109&lt;EQ15*0.8,"🟠 Bajo",IF(EL15&lt;=EQ109*1.2,"🟢 Bien","🔵 Sobre promedio")))</f>
        <v>🔴 Sin venta</v>
      </c>
      <c r="EQ109" s="23">
        <f t="shared" si="22"/>
        <v>0.125</v>
      </c>
      <c r="ER109" s="19">
        <f t="shared" si="21"/>
        <v>1291.8000000000002</v>
      </c>
      <c r="ES109" s="12">
        <f t="shared" si="20"/>
        <v>3</v>
      </c>
      <c r="ET109" s="23">
        <f t="shared" si="27"/>
        <v>4</v>
      </c>
      <c r="EU109" s="23">
        <f t="shared" si="25"/>
        <v>2</v>
      </c>
      <c r="EV109" s="23">
        <f t="shared" si="23"/>
        <v>0.67</v>
      </c>
      <c r="EW109" s="23"/>
      <c r="EX109" s="12">
        <v>15</v>
      </c>
      <c r="EY109" s="19" cm="1">
        <f t="array" ref="EY109:FC109">VLOOKUP(_xlfn.SINGLE(B:B),'[1]Price List'!$B:$N,{8,4,5,6,7},0)</f>
        <v>430.6</v>
      </c>
      <c r="EZ109" s="9" t="str">
        <v>Speck Smartshell Case for Macbook Air 13" Retina 2020 - Clear</v>
      </c>
      <c r="FA109" s="12" t="str">
        <v>Cases Macbook</v>
      </c>
      <c r="FB109" s="12" t="str">
        <v>Macbook</v>
      </c>
      <c r="FC109" s="12" t="str">
        <v>MacBook Air 13" M1 Cases</v>
      </c>
      <c r="FD109" s="23" t="str">
        <f>_xlfn.XLOOKUP(B:B,'[1]Price List'!$B:$B,'[1]Price List'!$A:$A)</f>
        <v>Speck</v>
      </c>
    </row>
    <row r="110" spans="1:160" s="9" customFormat="1" x14ac:dyDescent="0.2">
      <c r="A110" s="23" t="s">
        <v>599</v>
      </c>
      <c r="B110" s="23">
        <v>840168528110</v>
      </c>
      <c r="C110" s="9" t="s">
        <v>232</v>
      </c>
      <c r="D110" s="9" t="s">
        <v>644</v>
      </c>
      <c r="E110" s="9" t="s">
        <v>321</v>
      </c>
      <c r="F110" s="9" t="s">
        <v>627</v>
      </c>
      <c r="G110" s="9" t="s">
        <v>307</v>
      </c>
      <c r="H110" s="12" t="s">
        <v>233</v>
      </c>
      <c r="I110" s="11">
        <v>1249</v>
      </c>
      <c r="J110" s="11">
        <v>538.36</v>
      </c>
      <c r="K110" s="62">
        <v>0</v>
      </c>
      <c r="L110" s="12">
        <v>0</v>
      </c>
      <c r="M110" s="13" t="s">
        <v>467</v>
      </c>
      <c r="N110" s="13" t="s">
        <v>475</v>
      </c>
      <c r="O110" s="27">
        <v>44929</v>
      </c>
      <c r="P110" s="12">
        <v>1</v>
      </c>
      <c r="Q110" s="12">
        <v>6</v>
      </c>
      <c r="R110" s="12">
        <v>3</v>
      </c>
      <c r="S110" s="12">
        <v>2</v>
      </c>
      <c r="T110" s="12">
        <v>0</v>
      </c>
      <c r="U110" s="12">
        <v>6</v>
      </c>
      <c r="V110" s="12">
        <v>11</v>
      </c>
      <c r="W110" s="12">
        <v>8</v>
      </c>
      <c r="X110" s="12">
        <v>7</v>
      </c>
      <c r="Y110" s="12">
        <v>5</v>
      </c>
      <c r="Z110" s="12">
        <v>0</v>
      </c>
      <c r="AA110" s="12">
        <v>7</v>
      </c>
      <c r="AB110" s="12">
        <v>4</v>
      </c>
      <c r="AC110" s="12">
        <v>4</v>
      </c>
      <c r="AD110" s="12">
        <v>3</v>
      </c>
      <c r="AE110" s="12">
        <v>1</v>
      </c>
      <c r="AF110" s="12">
        <v>6</v>
      </c>
      <c r="AG110" s="12">
        <v>2</v>
      </c>
      <c r="AH110" s="12">
        <v>9</v>
      </c>
      <c r="AI110" s="12">
        <v>5</v>
      </c>
      <c r="AJ110" s="12">
        <v>1</v>
      </c>
      <c r="AK110" s="12">
        <v>6</v>
      </c>
      <c r="AL110" s="12">
        <v>1</v>
      </c>
      <c r="AM110" s="12">
        <v>3</v>
      </c>
      <c r="AN110" s="12">
        <v>2</v>
      </c>
      <c r="AO110" s="12">
        <v>5</v>
      </c>
      <c r="AP110" s="12">
        <v>3</v>
      </c>
      <c r="AQ110" s="12">
        <v>0</v>
      </c>
      <c r="AR110" s="12">
        <v>0</v>
      </c>
      <c r="AS110" s="12">
        <v>1</v>
      </c>
      <c r="AT110" s="12">
        <v>3</v>
      </c>
      <c r="AU110" s="12">
        <v>0</v>
      </c>
      <c r="AV110" s="12">
        <v>0</v>
      </c>
      <c r="AW110" s="12">
        <v>4</v>
      </c>
      <c r="AX110" s="12">
        <v>6</v>
      </c>
      <c r="AY110" s="12">
        <v>2</v>
      </c>
      <c r="AZ110" s="12">
        <v>1</v>
      </c>
      <c r="BA110" s="12">
        <v>1</v>
      </c>
      <c r="BB110" s="12">
        <v>0</v>
      </c>
      <c r="BC110" s="12">
        <v>2</v>
      </c>
      <c r="BD110" s="12">
        <v>0</v>
      </c>
      <c r="BE110" s="12">
        <v>2</v>
      </c>
      <c r="BF110" s="12">
        <v>1</v>
      </c>
      <c r="BG110" s="12">
        <v>1</v>
      </c>
      <c r="BH110" s="12">
        <v>0</v>
      </c>
      <c r="BI110" s="12">
        <v>0</v>
      </c>
      <c r="BJ110" s="12">
        <v>3</v>
      </c>
      <c r="BK110" s="12">
        <v>0</v>
      </c>
      <c r="BL110" s="12">
        <v>1</v>
      </c>
      <c r="BM110" s="12">
        <v>0</v>
      </c>
      <c r="BN110" s="12">
        <v>3</v>
      </c>
      <c r="BO110" s="12">
        <v>1</v>
      </c>
      <c r="BP110" s="12">
        <v>4</v>
      </c>
      <c r="BQ110" s="12">
        <v>1</v>
      </c>
      <c r="BR110" s="12">
        <v>2</v>
      </c>
      <c r="BS110" s="12">
        <v>2</v>
      </c>
      <c r="BT110" s="12">
        <v>2</v>
      </c>
      <c r="BU110" s="12">
        <v>2</v>
      </c>
      <c r="BV110" s="12">
        <v>2</v>
      </c>
      <c r="BW110" s="12">
        <v>0</v>
      </c>
      <c r="BX110" s="12">
        <v>0</v>
      </c>
      <c r="BY110" s="12">
        <v>1</v>
      </c>
      <c r="BZ110" s="12">
        <v>2</v>
      </c>
      <c r="CA110" s="12">
        <v>1</v>
      </c>
      <c r="CB110" s="12">
        <v>0</v>
      </c>
      <c r="CC110" s="12">
        <v>0</v>
      </c>
      <c r="CD110" s="12">
        <v>0</v>
      </c>
      <c r="CE110" s="12">
        <v>0</v>
      </c>
      <c r="CF110" s="12">
        <v>1</v>
      </c>
      <c r="CG110" s="12">
        <v>0</v>
      </c>
      <c r="CH110" s="12">
        <v>0</v>
      </c>
      <c r="CI110" s="12">
        <v>0</v>
      </c>
      <c r="CJ110" s="12">
        <v>0</v>
      </c>
      <c r="CK110" s="12">
        <v>0</v>
      </c>
      <c r="CL110" s="12">
        <v>0</v>
      </c>
      <c r="CM110" s="12">
        <v>0</v>
      </c>
      <c r="CN110" s="12">
        <v>1</v>
      </c>
      <c r="CO110" s="12">
        <v>1</v>
      </c>
      <c r="CP110" s="12">
        <v>0</v>
      </c>
      <c r="CQ110" s="12">
        <v>0</v>
      </c>
      <c r="CR110" s="12">
        <v>2</v>
      </c>
      <c r="CS110" s="12">
        <v>1</v>
      </c>
      <c r="CT110" s="12">
        <v>1</v>
      </c>
      <c r="CU110" s="12">
        <v>3</v>
      </c>
      <c r="CV110" s="12">
        <v>0</v>
      </c>
      <c r="CW110" s="12">
        <v>0</v>
      </c>
      <c r="CX110" s="12">
        <v>1</v>
      </c>
      <c r="CY110" s="12">
        <v>1</v>
      </c>
      <c r="CZ110" s="12">
        <v>1</v>
      </c>
      <c r="DA110" s="12">
        <v>0</v>
      </c>
      <c r="DB110" s="12">
        <v>0</v>
      </c>
      <c r="DC110" s="12">
        <v>1</v>
      </c>
      <c r="DD110" s="12">
        <v>0</v>
      </c>
      <c r="DE110" s="12">
        <v>0</v>
      </c>
      <c r="DF110" s="12">
        <v>0</v>
      </c>
      <c r="DG110" s="12">
        <v>0</v>
      </c>
      <c r="DH110" s="12">
        <v>0</v>
      </c>
      <c r="DI110" s="12">
        <v>2</v>
      </c>
      <c r="DJ110" s="12">
        <v>1</v>
      </c>
      <c r="DK110" s="12">
        <v>1</v>
      </c>
      <c r="DL110" s="12">
        <v>0</v>
      </c>
      <c r="DM110" s="12">
        <v>0</v>
      </c>
      <c r="DN110" s="12">
        <v>0</v>
      </c>
      <c r="DO110" s="12">
        <v>0</v>
      </c>
      <c r="DP110" s="12">
        <v>0</v>
      </c>
      <c r="DQ110" s="12">
        <v>0</v>
      </c>
      <c r="DR110" s="12">
        <v>1</v>
      </c>
      <c r="DS110" s="12">
        <v>0</v>
      </c>
      <c r="DT110" s="12">
        <v>0</v>
      </c>
      <c r="DU110" s="12">
        <v>0</v>
      </c>
      <c r="DV110" s="12">
        <v>0</v>
      </c>
      <c r="DW110" s="12">
        <v>0</v>
      </c>
      <c r="DX110" s="12">
        <v>0</v>
      </c>
      <c r="DY110" s="12">
        <v>1</v>
      </c>
      <c r="DZ110" s="12">
        <v>0</v>
      </c>
      <c r="EA110" s="12">
        <v>0</v>
      </c>
      <c r="EB110" s="12">
        <v>0</v>
      </c>
      <c r="EC110" s="12">
        <v>0</v>
      </c>
      <c r="ED110" s="12">
        <v>0</v>
      </c>
      <c r="EE110" s="12">
        <v>0</v>
      </c>
      <c r="EF110" s="12">
        <v>0</v>
      </c>
      <c r="EG110" s="12">
        <v>0</v>
      </c>
      <c r="EH110" s="12">
        <v>0</v>
      </c>
      <c r="EI110" s="12">
        <v>0</v>
      </c>
      <c r="EJ110" s="12">
        <v>0</v>
      </c>
      <c r="EK110" s="12">
        <v>1</v>
      </c>
      <c r="EL110" s="12">
        <v>1</v>
      </c>
      <c r="EM110" s="12">
        <v>0</v>
      </c>
      <c r="EN110" s="12">
        <v>0</v>
      </c>
      <c r="EO110" s="12">
        <v>0</v>
      </c>
      <c r="EP110" s="12" t="str">
        <f>IF(EL110=0,"🔴 Sin venta",IF(EL110&lt;EQ16*0.8,"🟠 Bajo",IF(EL16&lt;=EQ110*1.2,"🟢 Bien","🔵 Sobre promedio")))</f>
        <v>🟠 Bajo</v>
      </c>
      <c r="EQ110" s="23">
        <f t="shared" si="22"/>
        <v>0.16666666666666666</v>
      </c>
      <c r="ER110" s="19">
        <f t="shared" si="21"/>
        <v>2153.44</v>
      </c>
      <c r="ES110" s="12">
        <f t="shared" si="20"/>
        <v>4</v>
      </c>
      <c r="ET110" s="23">
        <f t="shared" si="27"/>
        <v>1</v>
      </c>
      <c r="EU110" s="23">
        <f t="shared" si="25"/>
        <v>2</v>
      </c>
      <c r="EV110" s="23">
        <f t="shared" si="23"/>
        <v>0.44</v>
      </c>
      <c r="EW110" s="23"/>
      <c r="EX110" s="12">
        <v>48</v>
      </c>
      <c r="EY110" s="19" cm="1">
        <f t="array" ref="EY110:FC110">VLOOKUP(_xlfn.SINGLE(B:B),'[1]Price List'!$B:$N,{8,4,5,6,7},0)</f>
        <v>538.36</v>
      </c>
      <c r="EZ110" s="9" t="str">
        <v>Speck Smartshell Case for Macbook Pro 13" M2/M1 - Cozy Pink</v>
      </c>
      <c r="FA110" s="12" t="str">
        <v>Cases Macbook</v>
      </c>
      <c r="FB110" s="12" t="str">
        <v>Macbook</v>
      </c>
      <c r="FC110" s="12" t="str">
        <v>MacBook Pro 13" M1/M2 Cases</v>
      </c>
      <c r="FD110" s="23" t="str">
        <f>_xlfn.XLOOKUP(B:B,'[1]Price List'!$B:$B,'[1]Price List'!$A:$A)</f>
        <v>Speck</v>
      </c>
    </row>
    <row r="111" spans="1:160" s="9" customFormat="1" x14ac:dyDescent="0.2">
      <c r="A111" s="23" t="s">
        <v>599</v>
      </c>
      <c r="B111" s="23">
        <v>848709087171</v>
      </c>
      <c r="C111" s="9" t="s">
        <v>25</v>
      </c>
      <c r="D111" s="9" t="s">
        <v>644</v>
      </c>
      <c r="E111" s="9" t="e">
        <v>#N/A</v>
      </c>
      <c r="F111" s="9" t="e">
        <v>#N/A</v>
      </c>
      <c r="G111" s="9" t="e">
        <v>#N/A</v>
      </c>
      <c r="H111" s="12" t="s">
        <v>596</v>
      </c>
      <c r="I111" s="12">
        <v>999</v>
      </c>
      <c r="J111" s="11">
        <v>430.6</v>
      </c>
      <c r="K111" s="62">
        <v>0</v>
      </c>
      <c r="L111" s="12">
        <v>0</v>
      </c>
      <c r="M111" s="13" t="s">
        <v>467</v>
      </c>
      <c r="N111" s="13" t="s">
        <v>475</v>
      </c>
      <c r="O111" s="27">
        <v>44653</v>
      </c>
      <c r="P111" s="12">
        <v>0</v>
      </c>
      <c r="Q111" s="12">
        <v>1</v>
      </c>
      <c r="R111" s="12">
        <v>0</v>
      </c>
      <c r="S111" s="12">
        <v>1</v>
      </c>
      <c r="T111" s="12">
        <v>3</v>
      </c>
      <c r="U111" s="12">
        <v>0</v>
      </c>
      <c r="V111" s="12">
        <v>0</v>
      </c>
      <c r="W111" s="12">
        <v>2</v>
      </c>
      <c r="X111" s="12">
        <v>2</v>
      </c>
      <c r="Y111" s="12">
        <v>0</v>
      </c>
      <c r="Z111" s="12">
        <v>1</v>
      </c>
      <c r="AA111" s="12">
        <v>1</v>
      </c>
      <c r="AB111" s="12">
        <v>2</v>
      </c>
      <c r="AC111" s="12">
        <v>1</v>
      </c>
      <c r="AD111" s="12">
        <v>4</v>
      </c>
      <c r="AE111" s="12">
        <v>1</v>
      </c>
      <c r="AF111" s="12">
        <v>2</v>
      </c>
      <c r="AG111" s="12">
        <v>2</v>
      </c>
      <c r="AH111" s="12">
        <v>2</v>
      </c>
      <c r="AI111" s="12">
        <v>0</v>
      </c>
      <c r="AJ111" s="12">
        <v>2</v>
      </c>
      <c r="AK111" s="12">
        <v>2</v>
      </c>
      <c r="AL111" s="12">
        <v>0</v>
      </c>
      <c r="AM111" s="12">
        <v>1</v>
      </c>
      <c r="AN111" s="12">
        <v>0</v>
      </c>
      <c r="AO111" s="12">
        <v>0</v>
      </c>
      <c r="AP111" s="12">
        <v>0</v>
      </c>
      <c r="AQ111" s="12">
        <v>0</v>
      </c>
      <c r="AR111" s="12">
        <v>2</v>
      </c>
      <c r="AS111" s="12">
        <v>2</v>
      </c>
      <c r="AT111" s="12">
        <v>0</v>
      </c>
      <c r="AU111" s="12">
        <v>2</v>
      </c>
      <c r="AV111" s="12">
        <v>1</v>
      </c>
      <c r="AW111" s="12">
        <v>1</v>
      </c>
      <c r="AX111" s="12">
        <v>2</v>
      </c>
      <c r="AY111" s="12">
        <v>8</v>
      </c>
      <c r="AZ111" s="12">
        <v>2</v>
      </c>
      <c r="BA111" s="12">
        <v>6</v>
      </c>
      <c r="BB111" s="12">
        <v>10</v>
      </c>
      <c r="BC111" s="12">
        <v>5</v>
      </c>
      <c r="BD111" s="12">
        <v>6</v>
      </c>
      <c r="BE111" s="12">
        <v>8</v>
      </c>
      <c r="BF111" s="12">
        <v>4</v>
      </c>
      <c r="BG111" s="12">
        <v>1</v>
      </c>
      <c r="BH111" s="12">
        <v>0</v>
      </c>
      <c r="BI111" s="12">
        <v>1</v>
      </c>
      <c r="BJ111" s="12">
        <v>2</v>
      </c>
      <c r="BK111" s="12">
        <v>1</v>
      </c>
      <c r="BL111" s="12">
        <v>1</v>
      </c>
      <c r="BM111" s="12">
        <v>0</v>
      </c>
      <c r="BN111" s="12">
        <v>2</v>
      </c>
      <c r="BO111" s="12">
        <v>3</v>
      </c>
      <c r="BP111" s="12">
        <v>3</v>
      </c>
      <c r="BQ111" s="12">
        <v>2</v>
      </c>
      <c r="BR111" s="12">
        <v>1</v>
      </c>
      <c r="BS111" s="12">
        <v>2</v>
      </c>
      <c r="BT111" s="12">
        <v>3</v>
      </c>
      <c r="BU111" s="12">
        <v>2</v>
      </c>
      <c r="BV111" s="12">
        <v>1</v>
      </c>
      <c r="BW111" s="12">
        <v>2</v>
      </c>
      <c r="BX111" s="12">
        <v>0</v>
      </c>
      <c r="BY111" s="12">
        <v>1</v>
      </c>
      <c r="BZ111" s="12">
        <v>1</v>
      </c>
      <c r="CA111" s="12">
        <v>3</v>
      </c>
      <c r="CB111" s="12">
        <v>1</v>
      </c>
      <c r="CC111" s="12">
        <v>0</v>
      </c>
      <c r="CD111" s="12">
        <v>3</v>
      </c>
      <c r="CE111" s="12">
        <v>1</v>
      </c>
      <c r="CF111" s="12">
        <v>1</v>
      </c>
      <c r="CG111" s="12">
        <v>4</v>
      </c>
      <c r="CH111" s="12">
        <v>0</v>
      </c>
      <c r="CI111" s="12">
        <v>1</v>
      </c>
      <c r="CJ111" s="12">
        <v>0</v>
      </c>
      <c r="CK111" s="12">
        <v>0</v>
      </c>
      <c r="CL111" s="12">
        <v>1</v>
      </c>
      <c r="CM111" s="12">
        <v>1</v>
      </c>
      <c r="CN111" s="12">
        <v>1</v>
      </c>
      <c r="CO111" s="12">
        <v>4</v>
      </c>
      <c r="CP111" s="12">
        <v>1</v>
      </c>
      <c r="CQ111" s="12">
        <v>4</v>
      </c>
      <c r="CR111" s="12">
        <v>1</v>
      </c>
      <c r="CS111" s="12">
        <v>1</v>
      </c>
      <c r="CT111" s="12">
        <v>5</v>
      </c>
      <c r="CU111" s="12">
        <v>5</v>
      </c>
      <c r="CV111" s="12">
        <v>8</v>
      </c>
      <c r="CW111" s="12">
        <v>6</v>
      </c>
      <c r="CX111" s="12">
        <v>3</v>
      </c>
      <c r="CY111" s="12">
        <v>6</v>
      </c>
      <c r="CZ111" s="12">
        <v>0</v>
      </c>
      <c r="DA111" s="12">
        <v>1</v>
      </c>
      <c r="DB111" s="12">
        <v>1</v>
      </c>
      <c r="DC111" s="12">
        <v>2</v>
      </c>
      <c r="DD111" s="12">
        <v>0</v>
      </c>
      <c r="DE111" s="12">
        <v>1</v>
      </c>
      <c r="DF111" s="12">
        <v>2</v>
      </c>
      <c r="DG111" s="12">
        <v>3</v>
      </c>
      <c r="DH111" s="12">
        <v>2</v>
      </c>
      <c r="DI111" s="12">
        <v>1</v>
      </c>
      <c r="DJ111" s="12">
        <v>1</v>
      </c>
      <c r="DK111" s="12">
        <v>1</v>
      </c>
      <c r="DL111" s="12">
        <v>2</v>
      </c>
      <c r="DM111" s="12">
        <v>0</v>
      </c>
      <c r="DN111" s="12">
        <v>0</v>
      </c>
      <c r="DO111" s="12">
        <v>1</v>
      </c>
      <c r="DP111" s="12">
        <v>1</v>
      </c>
      <c r="DQ111" s="12">
        <v>0</v>
      </c>
      <c r="DR111" s="12">
        <v>-1</v>
      </c>
      <c r="DS111" s="12">
        <v>0</v>
      </c>
      <c r="DT111" s="12">
        <v>0</v>
      </c>
      <c r="DU111" s="12">
        <v>0</v>
      </c>
      <c r="DV111" s="12">
        <v>0</v>
      </c>
      <c r="DW111" s="12">
        <v>0</v>
      </c>
      <c r="DX111" s="12">
        <v>1</v>
      </c>
      <c r="DY111" s="12">
        <v>0</v>
      </c>
      <c r="DZ111" s="12">
        <v>0</v>
      </c>
      <c r="EA111" s="12">
        <v>0</v>
      </c>
      <c r="EB111" s="12">
        <v>0</v>
      </c>
      <c r="EC111" s="12">
        <v>0</v>
      </c>
      <c r="ED111" s="12">
        <v>0</v>
      </c>
      <c r="EE111" s="12">
        <v>1</v>
      </c>
      <c r="EF111" s="12">
        <v>1</v>
      </c>
      <c r="EG111" s="12">
        <v>0</v>
      </c>
      <c r="EH111" s="12">
        <v>2</v>
      </c>
      <c r="EI111" s="12">
        <v>0</v>
      </c>
      <c r="EJ111" s="12">
        <v>0</v>
      </c>
      <c r="EK111" s="12">
        <v>1</v>
      </c>
      <c r="EL111" s="12">
        <v>1</v>
      </c>
      <c r="EM111" s="12">
        <v>0</v>
      </c>
      <c r="EN111" s="12">
        <v>1</v>
      </c>
      <c r="EO111" s="12">
        <v>0</v>
      </c>
      <c r="EP111" s="12" t="str">
        <f>IF(EL111=0,"🔴 Sin venta",IF(EL111&lt;EQ147*0.8,"🟠 Bajo",IF(EL147&lt;=EQ111*1.2,"🟢 Bien","🔵 Sobre promedio")))</f>
        <v>🟢 Bien</v>
      </c>
      <c r="EQ111" s="23">
        <f t="shared" si="22"/>
        <v>0.29166666666666669</v>
      </c>
      <c r="ER111" s="19">
        <f t="shared" si="21"/>
        <v>3444.8</v>
      </c>
      <c r="ES111" s="12">
        <f t="shared" si="20"/>
        <v>8</v>
      </c>
      <c r="ET111" s="23">
        <f t="shared" si="27"/>
        <v>5</v>
      </c>
      <c r="EU111" s="23">
        <f t="shared" si="25"/>
        <v>4</v>
      </c>
      <c r="EV111" s="23">
        <f t="shared" si="23"/>
        <v>0.67</v>
      </c>
      <c r="EW111" s="23"/>
      <c r="EX111" s="12">
        <v>40</v>
      </c>
      <c r="EY111" s="19" cm="1">
        <f t="array" ref="EY111:FC111">VLOOKUP(_xlfn.SINGLE(B:B),'[1]Price List'!$B:$N,{8,4,5,6,7},0)</f>
        <v>430.6</v>
      </c>
      <c r="EZ111" s="9" t="str">
        <v>Speck Transfer Pro Pocket Universal Sleeve 13"/14" - Sweater Grey/Coastal Blue</v>
      </c>
      <c r="FA111" s="12" t="str">
        <v>Cases Sleeves</v>
      </c>
      <c r="FB111" s="12" t="str">
        <v>Sleeves</v>
      </c>
      <c r="FC111" s="12" t="str">
        <v>13" Sleeves</v>
      </c>
      <c r="FD111" s="23" t="str">
        <f>_xlfn.XLOOKUP(B:B,'[1]Price List'!$B:$B,'[1]Price List'!$A:$A)</f>
        <v>Speck</v>
      </c>
    </row>
    <row r="112" spans="1:160" s="9" customFormat="1" x14ac:dyDescent="0.2">
      <c r="A112" s="23" t="s">
        <v>599</v>
      </c>
      <c r="B112" s="23">
        <v>840168526840</v>
      </c>
      <c r="C112" s="9" t="s">
        <v>348</v>
      </c>
      <c r="D112" s="9" t="s">
        <v>644</v>
      </c>
      <c r="E112" s="9" t="s">
        <v>320</v>
      </c>
      <c r="F112" s="9" t="s">
        <v>352</v>
      </c>
      <c r="G112" s="9" t="s">
        <v>687</v>
      </c>
      <c r="H112" s="10" t="s">
        <v>349</v>
      </c>
      <c r="I112" s="11">
        <v>1499</v>
      </c>
      <c r="J112" s="11">
        <v>646.12</v>
      </c>
      <c r="K112" s="62">
        <v>0</v>
      </c>
      <c r="L112" s="12">
        <v>0</v>
      </c>
      <c r="M112" s="13" t="s">
        <v>467</v>
      </c>
      <c r="N112" s="13" t="s">
        <v>656</v>
      </c>
      <c r="O112" s="27">
        <v>45352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  <c r="X112" s="12">
        <v>0</v>
      </c>
      <c r="Y112" s="12">
        <v>0</v>
      </c>
      <c r="Z112" s="37">
        <v>0</v>
      </c>
      <c r="AA112" s="37">
        <v>0</v>
      </c>
      <c r="AB112" s="37">
        <v>0</v>
      </c>
      <c r="AC112" s="37">
        <v>0</v>
      </c>
      <c r="AD112" s="37">
        <v>0</v>
      </c>
      <c r="AE112" s="12">
        <v>23</v>
      </c>
      <c r="AF112" s="12">
        <v>16</v>
      </c>
      <c r="AG112" s="12">
        <v>8</v>
      </c>
      <c r="AH112" s="12">
        <v>10</v>
      </c>
      <c r="AI112" s="12">
        <v>8</v>
      </c>
      <c r="AJ112" s="12">
        <v>25</v>
      </c>
      <c r="AK112" s="12">
        <v>13</v>
      </c>
      <c r="AL112" s="12">
        <v>19</v>
      </c>
      <c r="AM112" s="12">
        <v>7</v>
      </c>
      <c r="AN112" s="12">
        <v>15</v>
      </c>
      <c r="AO112" s="12">
        <v>10</v>
      </c>
      <c r="AP112" s="12">
        <v>8</v>
      </c>
      <c r="AQ112" s="12">
        <v>12</v>
      </c>
      <c r="AR112" s="12">
        <v>10</v>
      </c>
      <c r="AS112" s="12">
        <v>13</v>
      </c>
      <c r="AT112" s="12">
        <v>10</v>
      </c>
      <c r="AU112" s="12">
        <v>8</v>
      </c>
      <c r="AV112" s="12">
        <v>8</v>
      </c>
      <c r="AW112" s="12">
        <v>6</v>
      </c>
      <c r="AX112" s="12">
        <v>6</v>
      </c>
      <c r="AY112" s="12">
        <v>7</v>
      </c>
      <c r="AZ112" s="12">
        <v>3</v>
      </c>
      <c r="BA112" s="12">
        <v>3</v>
      </c>
      <c r="BB112" s="12">
        <v>1</v>
      </c>
      <c r="BC112" s="12">
        <v>3</v>
      </c>
      <c r="BD112" s="12">
        <v>2</v>
      </c>
      <c r="BE112" s="12">
        <v>10</v>
      </c>
      <c r="BF112" s="12">
        <v>4</v>
      </c>
      <c r="BG112" s="12">
        <v>2</v>
      </c>
      <c r="BH112" s="12">
        <v>2</v>
      </c>
      <c r="BI112" s="12">
        <v>6</v>
      </c>
      <c r="BJ112" s="12">
        <v>5</v>
      </c>
      <c r="BK112" s="12">
        <v>1</v>
      </c>
      <c r="BL112" s="12">
        <v>1</v>
      </c>
      <c r="BM112" s="12">
        <v>1</v>
      </c>
      <c r="BN112" s="12">
        <v>1</v>
      </c>
      <c r="BO112" s="12">
        <v>1</v>
      </c>
      <c r="BP112" s="12">
        <v>2</v>
      </c>
      <c r="BQ112" s="12">
        <v>3</v>
      </c>
      <c r="BR112" s="12">
        <v>1</v>
      </c>
      <c r="BS112" s="12">
        <v>1</v>
      </c>
      <c r="BT112" s="12">
        <v>0</v>
      </c>
      <c r="BU112" s="12">
        <v>0</v>
      </c>
      <c r="BV112" s="12">
        <v>1</v>
      </c>
      <c r="BW112" s="12">
        <v>2</v>
      </c>
      <c r="BX112" s="12">
        <v>0</v>
      </c>
      <c r="BY112" s="12">
        <v>2</v>
      </c>
      <c r="BZ112" s="12">
        <v>0</v>
      </c>
      <c r="CA112" s="12">
        <v>0</v>
      </c>
      <c r="CB112" s="12">
        <v>0</v>
      </c>
      <c r="CC112" s="12">
        <v>0</v>
      </c>
      <c r="CD112" s="12">
        <v>0</v>
      </c>
      <c r="CE112" s="12">
        <v>0</v>
      </c>
      <c r="CF112" s="12">
        <v>1</v>
      </c>
      <c r="CG112" s="12">
        <v>0</v>
      </c>
      <c r="CH112" s="12">
        <v>1</v>
      </c>
      <c r="CI112" s="12">
        <v>0</v>
      </c>
      <c r="CJ112" s="12">
        <v>0</v>
      </c>
      <c r="CK112" s="12">
        <v>0</v>
      </c>
      <c r="CL112" s="12">
        <v>0</v>
      </c>
      <c r="CM112" s="12">
        <v>1</v>
      </c>
      <c r="CN112" s="12">
        <v>0</v>
      </c>
      <c r="CO112" s="12">
        <v>0</v>
      </c>
      <c r="CP112" s="12">
        <v>0</v>
      </c>
      <c r="CQ112" s="12">
        <v>0</v>
      </c>
      <c r="CR112" s="12">
        <v>0</v>
      </c>
      <c r="CS112" s="12">
        <v>0</v>
      </c>
      <c r="CT112" s="12">
        <v>1</v>
      </c>
      <c r="CU112" s="12">
        <v>0</v>
      </c>
      <c r="CV112" s="12">
        <v>0</v>
      </c>
      <c r="CW112" s="12">
        <v>0</v>
      </c>
      <c r="CX112" s="12">
        <v>0</v>
      </c>
      <c r="CY112" s="12">
        <v>0</v>
      </c>
      <c r="CZ112" s="12">
        <v>0</v>
      </c>
      <c r="DA112" s="12">
        <v>0</v>
      </c>
      <c r="DB112" s="12">
        <v>0</v>
      </c>
      <c r="DC112" s="12">
        <v>0</v>
      </c>
      <c r="DD112" s="12">
        <v>0</v>
      </c>
      <c r="DE112" s="12">
        <v>0</v>
      </c>
      <c r="DF112" s="12">
        <v>0</v>
      </c>
      <c r="DG112" s="12">
        <v>0</v>
      </c>
      <c r="DH112" s="12">
        <v>0</v>
      </c>
      <c r="DI112" s="12">
        <v>0</v>
      </c>
      <c r="DJ112" s="12">
        <v>0</v>
      </c>
      <c r="DK112" s="12">
        <v>0</v>
      </c>
      <c r="DL112" s="12">
        <v>0</v>
      </c>
      <c r="DM112" s="12">
        <v>0</v>
      </c>
      <c r="DN112" s="12">
        <v>0</v>
      </c>
      <c r="DO112" s="12">
        <v>0</v>
      </c>
      <c r="DP112" s="12">
        <v>0</v>
      </c>
      <c r="DQ112" s="12">
        <v>0</v>
      </c>
      <c r="DR112" s="12">
        <v>0</v>
      </c>
      <c r="DS112" s="12">
        <v>0</v>
      </c>
      <c r="DT112" s="12">
        <v>0</v>
      </c>
      <c r="DU112" s="12">
        <v>0</v>
      </c>
      <c r="DV112" s="12">
        <v>0</v>
      </c>
      <c r="DW112" s="12">
        <v>0</v>
      </c>
      <c r="DX112" s="12">
        <v>0</v>
      </c>
      <c r="DY112" s="12">
        <v>0</v>
      </c>
      <c r="DZ112" s="12">
        <v>0</v>
      </c>
      <c r="EA112" s="12">
        <v>0</v>
      </c>
      <c r="EB112" s="12">
        <v>0</v>
      </c>
      <c r="EC112" s="12">
        <v>0</v>
      </c>
      <c r="ED112" s="12">
        <v>0</v>
      </c>
      <c r="EE112" s="12">
        <v>0</v>
      </c>
      <c r="EF112" s="12">
        <v>0</v>
      </c>
      <c r="EG112" s="12">
        <v>0</v>
      </c>
      <c r="EH112" s="12">
        <v>0</v>
      </c>
      <c r="EI112" s="12">
        <v>0</v>
      </c>
      <c r="EJ112" s="12">
        <v>0</v>
      </c>
      <c r="EK112" s="12">
        <v>0</v>
      </c>
      <c r="EL112" s="12">
        <v>0</v>
      </c>
      <c r="EM112" s="12">
        <v>0</v>
      </c>
      <c r="EN112" s="12">
        <v>0</v>
      </c>
      <c r="EO112" s="12">
        <v>0</v>
      </c>
      <c r="EP112" s="12" t="str">
        <f>IF(EL112=0,"🔴 Sin venta",IF(EL112&lt;EQ12*0.8,"🟠 Bajo",IF(EL12&lt;=EQ112*1.2,"🟢 Bien","🔵 Sobre promedio")))</f>
        <v>🔴 Sin venta</v>
      </c>
      <c r="EQ112" s="23">
        <f t="shared" si="22"/>
        <v>0</v>
      </c>
      <c r="ER112" s="19">
        <f t="shared" si="21"/>
        <v>0</v>
      </c>
      <c r="ES112" s="12">
        <f t="shared" si="20"/>
        <v>0</v>
      </c>
      <c r="ET112" s="23">
        <f t="shared" si="27"/>
        <v>0</v>
      </c>
      <c r="EU112" s="23">
        <f t="shared" si="25"/>
        <v>0</v>
      </c>
      <c r="EV112" s="23">
        <f t="shared" si="23"/>
        <v>0</v>
      </c>
      <c r="EW112" s="23"/>
      <c r="EX112" s="12">
        <v>0</v>
      </c>
      <c r="EY112" s="19" cm="1">
        <f t="array" ref="EY112:FC112">VLOOKUP(_xlfn.SINGLE(B:B),'[1]Price List'!$B:$N,{8,4,5,6,7},0)</f>
        <v>646.12</v>
      </c>
      <c r="EZ112" s="9" t="str">
        <v>IPAD PRO 12.9” (2022) BALANCEFOLIO (W/MB) (BLACK/BLACK/WHITE)</v>
      </c>
      <c r="FA112" s="12" t="str">
        <v>Cases iPad</v>
      </c>
      <c r="FB112" s="12" t="str">
        <v>iPad</v>
      </c>
      <c r="FC112" s="12" t="str">
        <v>iPad Pro 12.9</v>
      </c>
      <c r="FD112" s="23" t="str">
        <f>_xlfn.XLOOKUP(B:B,'[1]Price List'!$B:$B,'[1]Price List'!$A:$A)</f>
        <v>Speck</v>
      </c>
    </row>
    <row r="113" spans="1:160" s="9" customFormat="1" x14ac:dyDescent="0.2">
      <c r="A113" s="23" t="s">
        <v>599</v>
      </c>
      <c r="B113" s="23">
        <v>840168526871</v>
      </c>
      <c r="C113" s="9" t="s">
        <v>350</v>
      </c>
      <c r="D113" s="9" t="s">
        <v>644</v>
      </c>
      <c r="E113" s="26" t="s">
        <v>320</v>
      </c>
      <c r="F113" s="26" t="s">
        <v>352</v>
      </c>
      <c r="G113" s="9" t="s">
        <v>687</v>
      </c>
      <c r="H113" s="10" t="s">
        <v>351</v>
      </c>
      <c r="I113" s="11">
        <v>1499</v>
      </c>
      <c r="J113" s="11">
        <v>646.12</v>
      </c>
      <c r="K113" s="62">
        <v>0</v>
      </c>
      <c r="L113" s="12">
        <v>0</v>
      </c>
      <c r="M113" s="13" t="s">
        <v>467</v>
      </c>
      <c r="N113" s="13" t="s">
        <v>656</v>
      </c>
      <c r="O113" s="27">
        <v>45352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0</v>
      </c>
      <c r="AA113" s="12">
        <v>0</v>
      </c>
      <c r="AB113" s="12">
        <v>0</v>
      </c>
      <c r="AC113" s="12">
        <v>0</v>
      </c>
      <c r="AD113" s="12">
        <v>0</v>
      </c>
      <c r="AE113" s="12">
        <v>17</v>
      </c>
      <c r="AF113" s="12">
        <v>14</v>
      </c>
      <c r="AG113" s="12">
        <v>10</v>
      </c>
      <c r="AH113" s="12">
        <v>12</v>
      </c>
      <c r="AI113" s="12">
        <v>11</v>
      </c>
      <c r="AJ113" s="12">
        <v>9</v>
      </c>
      <c r="AK113" s="12">
        <v>14</v>
      </c>
      <c r="AL113" s="12">
        <v>10</v>
      </c>
      <c r="AM113" s="12">
        <v>8</v>
      </c>
      <c r="AN113" s="12">
        <v>13</v>
      </c>
      <c r="AO113" s="12">
        <v>11</v>
      </c>
      <c r="AP113" s="12">
        <v>8</v>
      </c>
      <c r="AQ113" s="12">
        <v>6</v>
      </c>
      <c r="AR113" s="12">
        <v>7</v>
      </c>
      <c r="AS113" s="12">
        <v>8</v>
      </c>
      <c r="AT113" s="12">
        <v>9</v>
      </c>
      <c r="AU113" s="12">
        <v>8</v>
      </c>
      <c r="AV113" s="12">
        <v>8</v>
      </c>
      <c r="AW113" s="12">
        <v>9</v>
      </c>
      <c r="AX113" s="12">
        <v>8</v>
      </c>
      <c r="AY113" s="12">
        <v>2</v>
      </c>
      <c r="AZ113" s="12">
        <v>7</v>
      </c>
      <c r="BA113" s="12">
        <v>6</v>
      </c>
      <c r="BB113" s="12">
        <v>13</v>
      </c>
      <c r="BC113" s="12">
        <v>8</v>
      </c>
      <c r="BD113" s="12">
        <v>12</v>
      </c>
      <c r="BE113" s="12">
        <v>7</v>
      </c>
      <c r="BF113" s="12">
        <v>8</v>
      </c>
      <c r="BG113" s="12">
        <v>1</v>
      </c>
      <c r="BH113" s="12">
        <v>2</v>
      </c>
      <c r="BI113" s="12">
        <v>0</v>
      </c>
      <c r="BJ113" s="12">
        <v>5</v>
      </c>
      <c r="BK113" s="12">
        <v>2</v>
      </c>
      <c r="BL113" s="12">
        <v>5</v>
      </c>
      <c r="BM113" s="12">
        <v>2</v>
      </c>
      <c r="BN113" s="12">
        <v>3</v>
      </c>
      <c r="BO113" s="12">
        <v>3</v>
      </c>
      <c r="BP113" s="12">
        <v>2</v>
      </c>
      <c r="BQ113" s="12">
        <v>1</v>
      </c>
      <c r="BR113" s="12">
        <v>0</v>
      </c>
      <c r="BS113" s="12">
        <v>2</v>
      </c>
      <c r="BT113" s="12">
        <v>1</v>
      </c>
      <c r="BU113" s="12">
        <v>2</v>
      </c>
      <c r="BV113" s="12">
        <v>0</v>
      </c>
      <c r="BW113" s="12">
        <v>1</v>
      </c>
      <c r="BX113" s="12">
        <v>4</v>
      </c>
      <c r="BY113" s="12">
        <v>1</v>
      </c>
      <c r="BZ113" s="12">
        <v>3</v>
      </c>
      <c r="CA113" s="12">
        <v>0</v>
      </c>
      <c r="CB113" s="12">
        <v>0</v>
      </c>
      <c r="CC113" s="12">
        <v>1</v>
      </c>
      <c r="CD113" s="12">
        <v>1</v>
      </c>
      <c r="CE113" s="12">
        <v>0</v>
      </c>
      <c r="CF113" s="12">
        <v>1</v>
      </c>
      <c r="CG113" s="12">
        <v>1</v>
      </c>
      <c r="CH113" s="12">
        <v>0</v>
      </c>
      <c r="CI113" s="12">
        <v>1</v>
      </c>
      <c r="CJ113" s="12">
        <v>0</v>
      </c>
      <c r="CK113" s="12">
        <v>0</v>
      </c>
      <c r="CL113" s="12">
        <v>0</v>
      </c>
      <c r="CM113" s="12">
        <v>0</v>
      </c>
      <c r="CN113" s="12">
        <v>0</v>
      </c>
      <c r="CO113" s="12">
        <v>0</v>
      </c>
      <c r="CP113" s="12">
        <v>0</v>
      </c>
      <c r="CQ113" s="12">
        <v>0</v>
      </c>
      <c r="CR113" s="12">
        <v>0</v>
      </c>
      <c r="CS113" s="12">
        <v>0</v>
      </c>
      <c r="CT113" s="12">
        <v>0</v>
      </c>
      <c r="CU113" s="12">
        <v>1</v>
      </c>
      <c r="CV113" s="12">
        <v>0</v>
      </c>
      <c r="CW113" s="12">
        <v>0</v>
      </c>
      <c r="CX113" s="12">
        <v>0</v>
      </c>
      <c r="CY113" s="12">
        <v>1</v>
      </c>
      <c r="CZ113" s="12">
        <v>0</v>
      </c>
      <c r="DA113" s="12">
        <v>0</v>
      </c>
      <c r="DB113" s="12">
        <v>0</v>
      </c>
      <c r="DC113" s="12">
        <v>0</v>
      </c>
      <c r="DD113" s="12">
        <v>0</v>
      </c>
      <c r="DE113" s="12">
        <v>0</v>
      </c>
      <c r="DF113" s="12">
        <v>0</v>
      </c>
      <c r="DG113" s="12">
        <v>0</v>
      </c>
      <c r="DH113" s="12">
        <v>0</v>
      </c>
      <c r="DI113" s="12">
        <v>0</v>
      </c>
      <c r="DJ113" s="12">
        <v>0</v>
      </c>
      <c r="DK113" s="12">
        <v>0</v>
      </c>
      <c r="DL113" s="12">
        <v>0</v>
      </c>
      <c r="DM113" s="12">
        <v>0</v>
      </c>
      <c r="DN113" s="12">
        <v>0</v>
      </c>
      <c r="DO113" s="12">
        <v>0</v>
      </c>
      <c r="DP113" s="12">
        <v>0</v>
      </c>
      <c r="DQ113" s="12">
        <v>0</v>
      </c>
      <c r="DR113" s="12">
        <v>1</v>
      </c>
      <c r="DS113" s="12">
        <v>0</v>
      </c>
      <c r="DT113" s="12">
        <v>0</v>
      </c>
      <c r="DU113" s="12">
        <v>0</v>
      </c>
      <c r="DV113" s="12">
        <v>0</v>
      </c>
      <c r="DW113" s="12">
        <v>0</v>
      </c>
      <c r="DX113" s="12">
        <v>0</v>
      </c>
      <c r="DY113" s="12">
        <v>0</v>
      </c>
      <c r="DZ113" s="12">
        <v>0</v>
      </c>
      <c r="EA113" s="12">
        <v>0</v>
      </c>
      <c r="EB113" s="12">
        <v>0</v>
      </c>
      <c r="EC113" s="12">
        <v>0</v>
      </c>
      <c r="ED113" s="12">
        <v>0</v>
      </c>
      <c r="EE113" s="12">
        <v>0</v>
      </c>
      <c r="EF113" s="12">
        <v>0</v>
      </c>
      <c r="EG113" s="12">
        <v>0</v>
      </c>
      <c r="EH113" s="12">
        <v>0</v>
      </c>
      <c r="EI113" s="12">
        <v>0</v>
      </c>
      <c r="EJ113" s="12">
        <v>0</v>
      </c>
      <c r="EK113" s="12">
        <v>0</v>
      </c>
      <c r="EL113" s="12">
        <v>0</v>
      </c>
      <c r="EM113" s="12">
        <v>0</v>
      </c>
      <c r="EN113" s="12">
        <v>0</v>
      </c>
      <c r="EO113" s="12">
        <v>0</v>
      </c>
      <c r="EP113" s="12" t="str">
        <f t="shared" ref="EP113:EP146" si="29">IF(EL113=0,"🔴 Sin venta",IF(EL113&lt;EQ148*0.8,"🟠 Bajo",IF(EL148&lt;=EQ113*1.2,"🟢 Bien","🔵 Sobre promedio")))</f>
        <v>🔴 Sin venta</v>
      </c>
      <c r="EQ113" s="23">
        <f t="shared" si="22"/>
        <v>4.1666666666666664E-2</v>
      </c>
      <c r="ER113" s="19">
        <f t="shared" si="21"/>
        <v>646.12</v>
      </c>
      <c r="ES113" s="12">
        <f t="shared" si="20"/>
        <v>1</v>
      </c>
      <c r="ET113" s="23">
        <f t="shared" si="27"/>
        <v>0</v>
      </c>
      <c r="EU113" s="23">
        <f t="shared" si="25"/>
        <v>0</v>
      </c>
      <c r="EV113" s="23">
        <f t="shared" si="23"/>
        <v>0.22</v>
      </c>
      <c r="EW113" s="23"/>
      <c r="EX113" s="12">
        <v>1</v>
      </c>
      <c r="EY113" s="19" cm="1">
        <f t="array" ref="EY113:FC113">VLOOKUP(_xlfn.SINGLE(B:B),'[1]Price List'!$B:$N,{8,4,5,6,7},0)</f>
        <v>646.12</v>
      </c>
      <c r="EZ113" s="9" t="str">
        <v>IPAD PRO 12.9” (2022) BALANCE FOLIO (W/MB) (ALMOND MILK/MOCHA/CHARCOAL)</v>
      </c>
      <c r="FA113" s="12" t="str">
        <v>Cases iPad</v>
      </c>
      <c r="FB113" s="12" t="str">
        <v>iPad</v>
      </c>
      <c r="FC113" s="12" t="str">
        <v>iPad Pro 12.9</v>
      </c>
      <c r="FD113" s="23" t="str">
        <f>_xlfn.XLOOKUP(B:B,'[1]Price List'!$B:$B,'[1]Price List'!$A:$A)</f>
        <v>Speck</v>
      </c>
    </row>
    <row r="114" spans="1:160" s="9" customFormat="1" x14ac:dyDescent="0.2">
      <c r="A114" s="23" t="s">
        <v>599</v>
      </c>
      <c r="B114" s="23">
        <v>840168509591</v>
      </c>
      <c r="C114" s="9" t="s">
        <v>143</v>
      </c>
      <c r="D114" s="9" t="s">
        <v>644</v>
      </c>
      <c r="E114" s="9" t="s">
        <v>305</v>
      </c>
      <c r="F114" s="9" t="s">
        <v>625</v>
      </c>
      <c r="G114" s="9" t="s">
        <v>305</v>
      </c>
      <c r="H114" s="12" t="s">
        <v>144</v>
      </c>
      <c r="I114" s="12">
        <v>899</v>
      </c>
      <c r="J114" s="11">
        <v>348.75</v>
      </c>
      <c r="K114" s="62">
        <v>0.5</v>
      </c>
      <c r="L114" s="19">
        <f>I114*(1-K114)</f>
        <v>449.5</v>
      </c>
      <c r="M114" s="13" t="s">
        <v>467</v>
      </c>
      <c r="N114" s="13" t="s">
        <v>475</v>
      </c>
      <c r="O114" s="27" t="s">
        <v>140</v>
      </c>
      <c r="P114" s="12">
        <v>2</v>
      </c>
      <c r="Q114" s="12">
        <v>1</v>
      </c>
      <c r="R114" s="12">
        <v>6</v>
      </c>
      <c r="S114" s="12">
        <v>4</v>
      </c>
      <c r="T114" s="12">
        <v>4</v>
      </c>
      <c r="U114" s="12">
        <v>3</v>
      </c>
      <c r="V114" s="12">
        <v>3</v>
      </c>
      <c r="W114" s="12">
        <v>1</v>
      </c>
      <c r="X114" s="12">
        <v>10</v>
      </c>
      <c r="Y114" s="12">
        <v>0</v>
      </c>
      <c r="Z114" s="12">
        <v>3</v>
      </c>
      <c r="AA114" s="12">
        <v>4</v>
      </c>
      <c r="AB114" s="12">
        <v>6</v>
      </c>
      <c r="AC114" s="12">
        <v>3</v>
      </c>
      <c r="AD114" s="12">
        <v>3</v>
      </c>
      <c r="AE114" s="12">
        <v>4</v>
      </c>
      <c r="AF114" s="12">
        <v>2</v>
      </c>
      <c r="AG114" s="12">
        <v>2</v>
      </c>
      <c r="AH114" s="12">
        <v>4</v>
      </c>
      <c r="AI114" s="12">
        <v>2</v>
      </c>
      <c r="AJ114" s="12">
        <v>5</v>
      </c>
      <c r="AK114" s="12">
        <v>3</v>
      </c>
      <c r="AL114" s="12">
        <v>1</v>
      </c>
      <c r="AM114" s="12">
        <v>0</v>
      </c>
      <c r="AN114" s="12">
        <v>1</v>
      </c>
      <c r="AO114" s="12">
        <v>0</v>
      </c>
      <c r="AP114" s="12">
        <v>1</v>
      </c>
      <c r="AQ114" s="12">
        <v>1</v>
      </c>
      <c r="AR114" s="12">
        <v>5</v>
      </c>
      <c r="AS114" s="12">
        <v>1</v>
      </c>
      <c r="AT114" s="12">
        <v>1</v>
      </c>
      <c r="AU114" s="12">
        <v>1</v>
      </c>
      <c r="AV114" s="12">
        <v>3</v>
      </c>
      <c r="AW114" s="12">
        <v>2</v>
      </c>
      <c r="AX114" s="12">
        <v>4</v>
      </c>
      <c r="AY114" s="12">
        <v>1</v>
      </c>
      <c r="AZ114" s="12">
        <v>1</v>
      </c>
      <c r="BA114" s="12">
        <v>3</v>
      </c>
      <c r="BB114" s="12">
        <v>5</v>
      </c>
      <c r="BC114" s="12">
        <v>6</v>
      </c>
      <c r="BD114" s="12">
        <v>2</v>
      </c>
      <c r="BE114" s="12">
        <v>1</v>
      </c>
      <c r="BF114" s="12">
        <v>3</v>
      </c>
      <c r="BG114" s="12">
        <v>2</v>
      </c>
      <c r="BH114" s="12">
        <v>2</v>
      </c>
      <c r="BI114" s="12">
        <v>1</v>
      </c>
      <c r="BJ114" s="12">
        <v>1</v>
      </c>
      <c r="BK114" s="12">
        <v>1</v>
      </c>
      <c r="BL114" s="12">
        <v>1</v>
      </c>
      <c r="BM114" s="12">
        <v>1</v>
      </c>
      <c r="BN114" s="12">
        <v>1</v>
      </c>
      <c r="BO114" s="12">
        <v>3</v>
      </c>
      <c r="BP114" s="12">
        <v>5</v>
      </c>
      <c r="BQ114" s="12">
        <v>2</v>
      </c>
      <c r="BR114" s="12">
        <v>0</v>
      </c>
      <c r="BS114" s="12">
        <v>0</v>
      </c>
      <c r="BT114" s="12">
        <v>3</v>
      </c>
      <c r="BU114" s="12">
        <v>1</v>
      </c>
      <c r="BV114" s="12">
        <v>0</v>
      </c>
      <c r="BW114" s="12">
        <v>1</v>
      </c>
      <c r="BX114" s="12">
        <v>1</v>
      </c>
      <c r="BY114" s="12">
        <v>1</v>
      </c>
      <c r="BZ114" s="12">
        <v>0</v>
      </c>
      <c r="CA114" s="12">
        <v>1</v>
      </c>
      <c r="CB114" s="12">
        <v>0</v>
      </c>
      <c r="CC114" s="12">
        <v>1</v>
      </c>
      <c r="CD114" s="12">
        <v>0</v>
      </c>
      <c r="CE114" s="12">
        <v>0</v>
      </c>
      <c r="CF114" s="12">
        <v>0</v>
      </c>
      <c r="CG114" s="12">
        <v>1</v>
      </c>
      <c r="CH114" s="12">
        <v>0</v>
      </c>
      <c r="CI114" s="12">
        <v>2</v>
      </c>
      <c r="CJ114" s="12">
        <v>1</v>
      </c>
      <c r="CK114" s="12">
        <v>2</v>
      </c>
      <c r="CL114" s="12">
        <v>2</v>
      </c>
      <c r="CM114" s="12">
        <v>0</v>
      </c>
      <c r="CN114" s="12">
        <v>1</v>
      </c>
      <c r="CO114" s="12">
        <v>2</v>
      </c>
      <c r="CP114" s="12">
        <v>1</v>
      </c>
      <c r="CQ114" s="12">
        <v>1</v>
      </c>
      <c r="CR114" s="12">
        <v>0</v>
      </c>
      <c r="CS114" s="12">
        <v>0</v>
      </c>
      <c r="CT114" s="12">
        <v>0</v>
      </c>
      <c r="CU114" s="12">
        <v>1</v>
      </c>
      <c r="CV114" s="12">
        <v>4</v>
      </c>
      <c r="CW114" s="12">
        <v>3</v>
      </c>
      <c r="CX114" s="12">
        <v>1</v>
      </c>
      <c r="CY114" s="12">
        <v>0</v>
      </c>
      <c r="CZ114" s="12">
        <v>1</v>
      </c>
      <c r="DA114" s="12">
        <v>3</v>
      </c>
      <c r="DB114" s="12">
        <v>0</v>
      </c>
      <c r="DC114" s="12">
        <v>2</v>
      </c>
      <c r="DD114" s="12">
        <v>1</v>
      </c>
      <c r="DE114" s="12">
        <v>0</v>
      </c>
      <c r="DF114" s="12">
        <v>1</v>
      </c>
      <c r="DG114" s="12">
        <v>2</v>
      </c>
      <c r="DH114" s="12">
        <v>1</v>
      </c>
      <c r="DI114" s="12">
        <v>1</v>
      </c>
      <c r="DJ114" s="12">
        <v>0</v>
      </c>
      <c r="DK114" s="12">
        <v>1</v>
      </c>
      <c r="DL114" s="12">
        <v>0</v>
      </c>
      <c r="DM114" s="12">
        <v>1</v>
      </c>
      <c r="DN114" s="12">
        <v>1</v>
      </c>
      <c r="DO114" s="12">
        <v>0</v>
      </c>
      <c r="DP114" s="12">
        <v>2</v>
      </c>
      <c r="DQ114" s="12">
        <v>1</v>
      </c>
      <c r="DR114" s="12">
        <v>3</v>
      </c>
      <c r="DS114" s="12">
        <v>2</v>
      </c>
      <c r="DT114" s="12">
        <v>1</v>
      </c>
      <c r="DU114" s="12">
        <v>1</v>
      </c>
      <c r="DV114" s="12">
        <v>0</v>
      </c>
      <c r="DW114" s="12">
        <v>2</v>
      </c>
      <c r="DX114" s="12">
        <v>1</v>
      </c>
      <c r="DY114" s="12">
        <v>0</v>
      </c>
      <c r="DZ114" s="12">
        <v>1</v>
      </c>
      <c r="EA114" s="12">
        <v>1</v>
      </c>
      <c r="EB114" s="12">
        <v>0</v>
      </c>
      <c r="EC114" s="12">
        <v>4</v>
      </c>
      <c r="ED114" s="12">
        <v>2</v>
      </c>
      <c r="EE114" s="12">
        <v>0</v>
      </c>
      <c r="EF114" s="12">
        <v>1</v>
      </c>
      <c r="EG114" s="12">
        <v>1</v>
      </c>
      <c r="EH114" s="12">
        <v>1</v>
      </c>
      <c r="EI114" s="12">
        <v>1</v>
      </c>
      <c r="EJ114" s="12">
        <v>0</v>
      </c>
      <c r="EK114" s="12">
        <v>0</v>
      </c>
      <c r="EL114" s="12">
        <v>0</v>
      </c>
      <c r="EM114" s="12">
        <v>1</v>
      </c>
      <c r="EN114" s="12">
        <v>1</v>
      </c>
      <c r="EO114" s="12">
        <v>1</v>
      </c>
      <c r="EP114" s="12" t="str">
        <f t="shared" si="29"/>
        <v>🔴 Sin venta</v>
      </c>
      <c r="EQ114" s="23">
        <f t="shared" si="22"/>
        <v>1.0833333333333333</v>
      </c>
      <c r="ER114" s="19">
        <f t="shared" si="21"/>
        <v>9765</v>
      </c>
      <c r="ES114" s="12">
        <f t="shared" si="20"/>
        <v>28</v>
      </c>
      <c r="ET114" s="23">
        <f t="shared" si="27"/>
        <v>5</v>
      </c>
      <c r="EU114" s="23">
        <f t="shared" si="25"/>
        <v>2.5</v>
      </c>
      <c r="EV114" s="23">
        <f t="shared" si="23"/>
        <v>5.1100000000000003</v>
      </c>
      <c r="EW114" s="23"/>
      <c r="EX114" s="12">
        <v>17</v>
      </c>
      <c r="EY114" s="19" cm="1">
        <f t="array" ref="EY114:FC114">VLOOKUP(_xlfn.SINGLE(B:B),'[1]Price List'!$B:$N,{8,4,5,6,7},0)</f>
        <v>348.75</v>
      </c>
      <c r="EZ114" s="9" t="str">
        <v>Speck Carabiner Airtag - Bright Silver/White</v>
      </c>
      <c r="FA114" s="12" t="str">
        <v>Cases AirTag</v>
      </c>
      <c r="FB114" s="12" t="str">
        <v>AirTag</v>
      </c>
      <c r="FC114" s="12" t="str">
        <v>AirTag</v>
      </c>
      <c r="FD114" s="23" t="str">
        <f>_xlfn.XLOOKUP(B:B,'[1]Price List'!$B:$B,'[1]Price List'!$A:$A)</f>
        <v>Speck</v>
      </c>
    </row>
    <row r="115" spans="1:160" s="9" customFormat="1" x14ac:dyDescent="0.2">
      <c r="A115" s="23" t="s">
        <v>599</v>
      </c>
      <c r="B115" s="23">
        <v>856500011332</v>
      </c>
      <c r="C115" s="9" t="s">
        <v>381</v>
      </c>
      <c r="D115" s="9" t="s">
        <v>643</v>
      </c>
      <c r="E115" s="9" t="s">
        <v>635</v>
      </c>
      <c r="F115" s="9" t="s">
        <v>605</v>
      </c>
      <c r="G115" s="9" t="s">
        <v>336</v>
      </c>
      <c r="H115" s="12" t="s">
        <v>382</v>
      </c>
      <c r="I115" s="11">
        <v>1099</v>
      </c>
      <c r="J115" s="11">
        <v>473.71</v>
      </c>
      <c r="K115" s="62">
        <v>0</v>
      </c>
      <c r="L115" s="12">
        <v>0</v>
      </c>
      <c r="M115" s="13" t="s">
        <v>467</v>
      </c>
      <c r="N115" s="13" t="s">
        <v>475</v>
      </c>
      <c r="O115" s="27">
        <v>45415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>
        <v>0</v>
      </c>
      <c r="X115" s="12">
        <v>0</v>
      </c>
      <c r="Y115" s="12">
        <v>0</v>
      </c>
      <c r="Z115" s="12">
        <v>0</v>
      </c>
      <c r="AA115" s="12">
        <v>0</v>
      </c>
      <c r="AB115" s="12">
        <v>0</v>
      </c>
      <c r="AC115" s="12">
        <v>0</v>
      </c>
      <c r="AD115" s="12">
        <v>0</v>
      </c>
      <c r="AE115" s="12">
        <v>0</v>
      </c>
      <c r="AF115" s="12">
        <v>0</v>
      </c>
      <c r="AG115" s="12">
        <v>0</v>
      </c>
      <c r="AH115" s="12">
        <v>0</v>
      </c>
      <c r="AI115" s="12">
        <v>0</v>
      </c>
      <c r="AJ115" s="12">
        <v>0</v>
      </c>
      <c r="AK115" s="12">
        <v>0</v>
      </c>
      <c r="AL115" s="12">
        <v>0</v>
      </c>
      <c r="AM115" s="12">
        <v>0</v>
      </c>
      <c r="AN115" s="12">
        <v>0</v>
      </c>
      <c r="AO115" s="12">
        <v>0</v>
      </c>
      <c r="AP115" s="12">
        <v>0</v>
      </c>
      <c r="AQ115" s="12">
        <v>0</v>
      </c>
      <c r="AR115" s="12">
        <v>0</v>
      </c>
      <c r="AS115" s="12">
        <v>0</v>
      </c>
      <c r="AT115" s="12">
        <v>0</v>
      </c>
      <c r="AU115" s="12">
        <v>2</v>
      </c>
      <c r="AV115" s="12">
        <v>9</v>
      </c>
      <c r="AW115" s="12">
        <v>31</v>
      </c>
      <c r="AX115" s="12">
        <v>23</v>
      </c>
      <c r="AY115" s="12">
        <v>24</v>
      </c>
      <c r="AZ115" s="12">
        <v>17</v>
      </c>
      <c r="BA115" s="12">
        <v>6</v>
      </c>
      <c r="BB115" s="12">
        <v>7</v>
      </c>
      <c r="BC115" s="12">
        <v>3</v>
      </c>
      <c r="BD115" s="12">
        <v>0</v>
      </c>
      <c r="BE115" s="12">
        <v>1</v>
      </c>
      <c r="BF115" s="12">
        <v>1</v>
      </c>
      <c r="BG115" s="12">
        <v>0</v>
      </c>
      <c r="BH115" s="12">
        <v>0</v>
      </c>
      <c r="BI115" s="12">
        <v>0</v>
      </c>
      <c r="BJ115" s="12">
        <v>0</v>
      </c>
      <c r="BK115" s="12">
        <v>1</v>
      </c>
      <c r="BL115" s="12">
        <v>0</v>
      </c>
      <c r="BM115" s="12">
        <v>0</v>
      </c>
      <c r="BN115" s="12">
        <v>0</v>
      </c>
      <c r="BO115" s="12">
        <v>0</v>
      </c>
      <c r="BP115" s="12">
        <v>1</v>
      </c>
      <c r="BQ115" s="12">
        <v>0</v>
      </c>
      <c r="BR115" s="12">
        <v>0</v>
      </c>
      <c r="BS115" s="12">
        <v>0</v>
      </c>
      <c r="BT115" s="12">
        <v>0</v>
      </c>
      <c r="BU115" s="12">
        <v>0</v>
      </c>
      <c r="BV115" s="12">
        <v>0</v>
      </c>
      <c r="BW115" s="12">
        <v>0</v>
      </c>
      <c r="BX115" s="12">
        <v>0</v>
      </c>
      <c r="BY115" s="12">
        <v>0</v>
      </c>
      <c r="BZ115" s="12">
        <v>0</v>
      </c>
      <c r="CA115" s="12">
        <v>0</v>
      </c>
      <c r="CB115" s="12">
        <v>0</v>
      </c>
      <c r="CC115" s="12">
        <v>0</v>
      </c>
      <c r="CD115" s="12">
        <v>0</v>
      </c>
      <c r="CE115" s="12">
        <v>0</v>
      </c>
      <c r="CF115" s="12">
        <v>0</v>
      </c>
      <c r="CG115" s="12">
        <v>0</v>
      </c>
      <c r="CH115" s="12">
        <v>0</v>
      </c>
      <c r="CI115" s="12">
        <v>0</v>
      </c>
      <c r="CJ115" s="12">
        <v>0</v>
      </c>
      <c r="CK115" s="12">
        <v>0</v>
      </c>
      <c r="CL115" s="12">
        <v>0</v>
      </c>
      <c r="CM115" s="12">
        <v>0</v>
      </c>
      <c r="CN115" s="12">
        <v>0</v>
      </c>
      <c r="CO115" s="12">
        <v>0</v>
      </c>
      <c r="CP115" s="12">
        <v>0</v>
      </c>
      <c r="CQ115" s="12">
        <v>0</v>
      </c>
      <c r="CR115" s="12">
        <v>0</v>
      </c>
      <c r="CS115" s="12">
        <v>0</v>
      </c>
      <c r="CT115" s="12">
        <v>0</v>
      </c>
      <c r="CU115" s="12">
        <v>0</v>
      </c>
      <c r="CV115" s="12">
        <v>0</v>
      </c>
      <c r="CW115" s="12">
        <v>0</v>
      </c>
      <c r="CX115" s="12">
        <v>0</v>
      </c>
      <c r="CY115" s="12">
        <v>0</v>
      </c>
      <c r="CZ115" s="12">
        <v>0</v>
      </c>
      <c r="DA115" s="12">
        <v>0</v>
      </c>
      <c r="DB115" s="12">
        <v>0</v>
      </c>
      <c r="DC115" s="12">
        <v>0</v>
      </c>
      <c r="DD115" s="12">
        <v>0</v>
      </c>
      <c r="DE115" s="12">
        <v>0</v>
      </c>
      <c r="DF115" s="12">
        <v>0</v>
      </c>
      <c r="DG115" s="12">
        <v>0</v>
      </c>
      <c r="DH115" s="12">
        <v>0</v>
      </c>
      <c r="DI115" s="12">
        <v>0</v>
      </c>
      <c r="DJ115" s="12">
        <v>0</v>
      </c>
      <c r="DK115" s="12">
        <v>0</v>
      </c>
      <c r="DL115" s="12">
        <v>0</v>
      </c>
      <c r="DM115" s="12">
        <v>0</v>
      </c>
      <c r="DN115" s="12">
        <v>0</v>
      </c>
      <c r="DO115" s="12">
        <v>0</v>
      </c>
      <c r="DP115" s="12">
        <v>0</v>
      </c>
      <c r="DQ115" s="12">
        <v>0</v>
      </c>
      <c r="DR115" s="12">
        <v>0</v>
      </c>
      <c r="DS115" s="12">
        <v>0</v>
      </c>
      <c r="DT115" s="12">
        <v>0</v>
      </c>
      <c r="DU115" s="12">
        <v>0</v>
      </c>
      <c r="DV115" s="12">
        <v>0</v>
      </c>
      <c r="DW115" s="12">
        <v>0</v>
      </c>
      <c r="DX115" s="12">
        <v>0</v>
      </c>
      <c r="DY115" s="12">
        <v>0</v>
      </c>
      <c r="DZ115" s="12">
        <v>0</v>
      </c>
      <c r="EA115" s="12">
        <v>0</v>
      </c>
      <c r="EB115" s="12">
        <v>0</v>
      </c>
      <c r="EC115" s="12">
        <v>0</v>
      </c>
      <c r="ED115" s="12">
        <v>0</v>
      </c>
      <c r="EE115" s="12">
        <v>0</v>
      </c>
      <c r="EF115" s="12">
        <v>0</v>
      </c>
      <c r="EG115" s="12">
        <v>0</v>
      </c>
      <c r="EH115" s="12">
        <v>0</v>
      </c>
      <c r="EI115" s="12">
        <v>0</v>
      </c>
      <c r="EJ115" s="12">
        <v>0</v>
      </c>
      <c r="EK115" s="12">
        <v>0</v>
      </c>
      <c r="EL115" s="12">
        <v>0</v>
      </c>
      <c r="EM115" s="12">
        <v>0</v>
      </c>
      <c r="EN115" s="12">
        <v>0</v>
      </c>
      <c r="EO115" s="12">
        <v>0</v>
      </c>
      <c r="EP115" s="12" t="str">
        <f t="shared" si="29"/>
        <v>🔴 Sin venta</v>
      </c>
      <c r="EQ115" s="23">
        <f t="shared" si="22"/>
        <v>0</v>
      </c>
      <c r="ER115" s="19">
        <f t="shared" si="21"/>
        <v>0</v>
      </c>
      <c r="ES115" s="12">
        <f t="shared" si="20"/>
        <v>0</v>
      </c>
      <c r="ET115" s="23">
        <f t="shared" si="27"/>
        <v>0</v>
      </c>
      <c r="EU115" s="23">
        <f t="shared" si="25"/>
        <v>0</v>
      </c>
      <c r="EV115" s="23">
        <f t="shared" si="23"/>
        <v>0</v>
      </c>
      <c r="EW115" s="23"/>
      <c r="EX115" s="12">
        <v>0</v>
      </c>
      <c r="EY115" s="19" cm="1">
        <f t="array" ref="EY115:FC115">VLOOKUP(_xlfn.SINGLE(B:B),'[1]Price List'!$B:$N,{8,4,5,6,7},0)</f>
        <v>473.71</v>
      </c>
      <c r="EZ115" s="9" t="str">
        <v>Nomad Sport Band - 45/44mm/42mm | M/L | Marine Blue | FKM | V2</v>
      </c>
      <c r="FA115" s="12" t="str">
        <v>Straps</v>
      </c>
      <c r="FB115" s="12" t="str">
        <v>Apple Watch</v>
      </c>
      <c r="FC115" s="12" t="str">
        <v>49/45/44/42 mm</v>
      </c>
      <c r="FD115" s="23" t="str">
        <f>_xlfn.XLOOKUP(B:B,'[1]Price List'!$B:$B,'[1]Price List'!$A:$A)</f>
        <v>Nomad</v>
      </c>
    </row>
    <row r="116" spans="1:160" s="9" customFormat="1" x14ac:dyDescent="0.2">
      <c r="A116" s="23" t="s">
        <v>599</v>
      </c>
      <c r="B116" s="23">
        <v>840168511907</v>
      </c>
      <c r="C116" s="9" t="s">
        <v>147</v>
      </c>
      <c r="D116" s="9" t="e">
        <v>#N/A</v>
      </c>
      <c r="E116" s="9" t="e">
        <v>#N/A</v>
      </c>
      <c r="F116" s="9" t="e">
        <v>#N/A</v>
      </c>
      <c r="G116" s="9" t="s">
        <v>305</v>
      </c>
      <c r="H116" s="12" t="s">
        <v>148</v>
      </c>
      <c r="I116" s="12">
        <v>369</v>
      </c>
      <c r="J116" s="11">
        <v>143.15</v>
      </c>
      <c r="K116" s="62">
        <v>0.5</v>
      </c>
      <c r="L116" s="19">
        <f t="shared" ref="L116:L117" si="30">I116*(1-K116)</f>
        <v>184.5</v>
      </c>
      <c r="M116" s="13" t="s">
        <v>467</v>
      </c>
      <c r="N116" s="13" t="s">
        <v>475</v>
      </c>
      <c r="O116" s="27" t="s">
        <v>140</v>
      </c>
      <c r="P116" s="12">
        <v>3</v>
      </c>
      <c r="Q116" s="12">
        <v>4</v>
      </c>
      <c r="R116" s="12">
        <v>5</v>
      </c>
      <c r="S116" s="12">
        <v>4</v>
      </c>
      <c r="T116" s="12">
        <v>5</v>
      </c>
      <c r="U116" s="12">
        <v>9</v>
      </c>
      <c r="V116" s="12">
        <v>4</v>
      </c>
      <c r="W116" s="12">
        <v>4</v>
      </c>
      <c r="X116" s="12">
        <v>8</v>
      </c>
      <c r="Y116" s="12">
        <v>3</v>
      </c>
      <c r="Z116" s="12">
        <v>1</v>
      </c>
      <c r="AA116" s="12">
        <v>6</v>
      </c>
      <c r="AB116" s="12">
        <v>0</v>
      </c>
      <c r="AC116" s="12">
        <v>3</v>
      </c>
      <c r="AD116" s="12">
        <v>1</v>
      </c>
      <c r="AE116" s="12">
        <v>2</v>
      </c>
      <c r="AF116" s="12">
        <v>1</v>
      </c>
      <c r="AG116" s="12">
        <v>3</v>
      </c>
      <c r="AH116" s="12">
        <v>2</v>
      </c>
      <c r="AI116" s="12">
        <v>0</v>
      </c>
      <c r="AJ116" s="12">
        <v>6</v>
      </c>
      <c r="AK116" s="12">
        <v>0</v>
      </c>
      <c r="AL116" s="12">
        <v>1</v>
      </c>
      <c r="AM116" s="12">
        <v>2</v>
      </c>
      <c r="AN116" s="12">
        <v>2</v>
      </c>
      <c r="AO116" s="12">
        <v>0</v>
      </c>
      <c r="AP116" s="12">
        <v>1</v>
      </c>
      <c r="AQ116" s="12">
        <v>2</v>
      </c>
      <c r="AR116" s="12">
        <v>1</v>
      </c>
      <c r="AS116" s="12">
        <v>1</v>
      </c>
      <c r="AT116" s="12">
        <v>2</v>
      </c>
      <c r="AU116" s="12">
        <v>1</v>
      </c>
      <c r="AV116" s="12">
        <v>1</v>
      </c>
      <c r="AW116" s="12">
        <v>1</v>
      </c>
      <c r="AX116" s="12">
        <v>3</v>
      </c>
      <c r="AY116" s="12">
        <v>1</v>
      </c>
      <c r="AZ116" s="12">
        <v>2</v>
      </c>
      <c r="BA116" s="12">
        <v>0</v>
      </c>
      <c r="BB116" s="12">
        <v>2</v>
      </c>
      <c r="BC116" s="12">
        <v>4</v>
      </c>
      <c r="BD116" s="12">
        <v>4</v>
      </c>
      <c r="BE116" s="12">
        <v>1</v>
      </c>
      <c r="BF116" s="12">
        <v>0</v>
      </c>
      <c r="BG116" s="12">
        <v>0</v>
      </c>
      <c r="BH116" s="12">
        <v>0</v>
      </c>
      <c r="BI116" s="12">
        <v>1</v>
      </c>
      <c r="BJ116" s="12">
        <v>0</v>
      </c>
      <c r="BK116" s="12">
        <v>0</v>
      </c>
      <c r="BL116" s="12">
        <v>2</v>
      </c>
      <c r="BM116" s="12">
        <v>0</v>
      </c>
      <c r="BN116" s="12">
        <v>2</v>
      </c>
      <c r="BO116" s="12">
        <v>1</v>
      </c>
      <c r="BP116" s="12">
        <v>3</v>
      </c>
      <c r="BQ116" s="12">
        <v>3</v>
      </c>
      <c r="BR116" s="12">
        <v>1</v>
      </c>
      <c r="BS116" s="12">
        <v>1</v>
      </c>
      <c r="BT116" s="12">
        <v>0</v>
      </c>
      <c r="BU116" s="12">
        <v>0</v>
      </c>
      <c r="BV116" s="12">
        <v>0</v>
      </c>
      <c r="BW116" s="12">
        <v>0</v>
      </c>
      <c r="BX116" s="12">
        <v>0</v>
      </c>
      <c r="BY116" s="12">
        <v>1</v>
      </c>
      <c r="BZ116" s="12">
        <v>1</v>
      </c>
      <c r="CA116" s="12">
        <v>0</v>
      </c>
      <c r="CB116" s="12">
        <v>0</v>
      </c>
      <c r="CC116" s="12">
        <v>1</v>
      </c>
      <c r="CD116" s="12">
        <v>0</v>
      </c>
      <c r="CE116" s="12">
        <v>0</v>
      </c>
      <c r="CF116" s="12">
        <v>0</v>
      </c>
      <c r="CG116" s="12">
        <v>0</v>
      </c>
      <c r="CH116" s="12">
        <v>0</v>
      </c>
      <c r="CI116" s="12">
        <v>1</v>
      </c>
      <c r="CJ116" s="12">
        <v>0</v>
      </c>
      <c r="CK116" s="12">
        <v>1</v>
      </c>
      <c r="CL116" s="12">
        <v>0</v>
      </c>
      <c r="CM116" s="12">
        <v>0</v>
      </c>
      <c r="CN116" s="12">
        <v>0</v>
      </c>
      <c r="CO116" s="12">
        <v>0</v>
      </c>
      <c r="CP116" s="12">
        <v>0</v>
      </c>
      <c r="CQ116" s="12">
        <v>0</v>
      </c>
      <c r="CR116" s="12">
        <v>0</v>
      </c>
      <c r="CS116" s="12">
        <v>1</v>
      </c>
      <c r="CT116" s="12">
        <v>0</v>
      </c>
      <c r="CU116" s="12">
        <v>0</v>
      </c>
      <c r="CV116" s="12">
        <v>0</v>
      </c>
      <c r="CW116" s="12">
        <v>0</v>
      </c>
      <c r="CX116" s="12">
        <v>1</v>
      </c>
      <c r="CY116" s="12">
        <v>0</v>
      </c>
      <c r="CZ116" s="12">
        <v>0</v>
      </c>
      <c r="DA116" s="12">
        <v>0</v>
      </c>
      <c r="DB116" s="12">
        <v>2</v>
      </c>
      <c r="DC116" s="12">
        <v>1</v>
      </c>
      <c r="DD116" s="12">
        <v>0</v>
      </c>
      <c r="DE116" s="12">
        <v>0</v>
      </c>
      <c r="DF116" s="12">
        <v>0</v>
      </c>
      <c r="DG116" s="12">
        <v>0</v>
      </c>
      <c r="DH116" s="12">
        <v>0</v>
      </c>
      <c r="DI116" s="12">
        <v>0</v>
      </c>
      <c r="DJ116" s="12">
        <v>1</v>
      </c>
      <c r="DK116" s="12">
        <v>0</v>
      </c>
      <c r="DL116" s="12">
        <v>0</v>
      </c>
      <c r="DM116" s="12">
        <v>1</v>
      </c>
      <c r="DN116" s="12">
        <v>0</v>
      </c>
      <c r="DO116" s="12">
        <v>2</v>
      </c>
      <c r="DP116" s="12">
        <v>2</v>
      </c>
      <c r="DQ116" s="12">
        <v>1</v>
      </c>
      <c r="DR116" s="12">
        <v>3</v>
      </c>
      <c r="DS116" s="12">
        <v>0</v>
      </c>
      <c r="DT116" s="12">
        <v>2</v>
      </c>
      <c r="DU116" s="12">
        <v>1</v>
      </c>
      <c r="DV116" s="12">
        <v>0</v>
      </c>
      <c r="DW116" s="12">
        <v>0</v>
      </c>
      <c r="DX116" s="12">
        <v>0</v>
      </c>
      <c r="DY116" s="12">
        <v>0</v>
      </c>
      <c r="DZ116" s="12">
        <v>0</v>
      </c>
      <c r="EA116" s="12">
        <v>0</v>
      </c>
      <c r="EB116" s="12">
        <v>0</v>
      </c>
      <c r="EC116" s="12">
        <v>0</v>
      </c>
      <c r="ED116" s="12">
        <v>0</v>
      </c>
      <c r="EE116" s="12">
        <v>0</v>
      </c>
      <c r="EF116" s="12">
        <v>0</v>
      </c>
      <c r="EG116" s="12">
        <v>0</v>
      </c>
      <c r="EH116" s="12">
        <v>0</v>
      </c>
      <c r="EI116" s="12">
        <v>0</v>
      </c>
      <c r="EJ116" s="12">
        <v>1</v>
      </c>
      <c r="EK116" s="12">
        <v>0</v>
      </c>
      <c r="EL116" s="12">
        <v>0</v>
      </c>
      <c r="EM116" s="12">
        <v>0</v>
      </c>
      <c r="EN116" s="12">
        <v>0</v>
      </c>
      <c r="EO116" s="12">
        <v>0</v>
      </c>
      <c r="EP116" s="12" t="str">
        <f t="shared" si="29"/>
        <v>🔴 Sin venta</v>
      </c>
      <c r="EQ116" s="23">
        <f t="shared" si="22"/>
        <v>0.41666666666666669</v>
      </c>
      <c r="ER116" s="19">
        <f t="shared" si="21"/>
        <v>1431.5</v>
      </c>
      <c r="ES116" s="12">
        <f t="shared" si="20"/>
        <v>10</v>
      </c>
      <c r="ET116" s="23">
        <f t="shared" si="27"/>
        <v>1.5</v>
      </c>
      <c r="EU116" s="23">
        <f t="shared" ref="EU116:EU146" si="31">ROUND((AVERAGE(DH116:DO116)*4),2)</f>
        <v>2</v>
      </c>
      <c r="EV116" s="23">
        <f t="shared" si="23"/>
        <v>2</v>
      </c>
      <c r="EW116" s="23"/>
      <c r="EX116" s="12">
        <v>0</v>
      </c>
      <c r="EY116" s="19" cm="1">
        <f t="array" ref="EY116:FC116">VLOOKUP(_xlfn.SINGLE(B:B),'[1]Price List'!$B:$N,{8,4,5,6,7},0)</f>
        <v>143.15</v>
      </c>
      <c r="EZ116" s="9" t="str">
        <v>Speck Siliring Airtag - Unreal Red/White</v>
      </c>
      <c r="FA116" s="12" t="str">
        <v>Cases AirTag</v>
      </c>
      <c r="FB116" s="12" t="str">
        <v>AirTag</v>
      </c>
      <c r="FC116" s="12" t="str">
        <v>AirTag</v>
      </c>
      <c r="FD116" s="23" t="str">
        <f>_xlfn.XLOOKUP(B:B,'[1]Price List'!$B:$B,'[1]Price List'!$A:$A)</f>
        <v>Speck</v>
      </c>
    </row>
    <row r="117" spans="1:160" s="9" customFormat="1" x14ac:dyDescent="0.2">
      <c r="A117" s="23" t="s">
        <v>599</v>
      </c>
      <c r="B117" s="23">
        <v>840168509607</v>
      </c>
      <c r="C117" s="9" t="s">
        <v>145</v>
      </c>
      <c r="D117" s="9" t="s">
        <v>644</v>
      </c>
      <c r="E117" s="9" t="s">
        <v>305</v>
      </c>
      <c r="F117" s="9" t="s">
        <v>628</v>
      </c>
      <c r="G117" s="9" t="s">
        <v>305</v>
      </c>
      <c r="H117" s="12" t="s">
        <v>146</v>
      </c>
      <c r="I117" s="12">
        <v>699</v>
      </c>
      <c r="J117" s="11">
        <v>271.16000000000003</v>
      </c>
      <c r="K117" s="62">
        <v>0.5</v>
      </c>
      <c r="L117" s="19">
        <f t="shared" si="30"/>
        <v>349.5</v>
      </c>
      <c r="M117" s="13" t="s">
        <v>467</v>
      </c>
      <c r="N117" s="13" t="s">
        <v>475</v>
      </c>
      <c r="O117" s="27" t="s">
        <v>140</v>
      </c>
      <c r="P117" s="12">
        <v>7</v>
      </c>
      <c r="Q117" s="12">
        <v>1</v>
      </c>
      <c r="R117" s="12">
        <v>1</v>
      </c>
      <c r="S117" s="12">
        <v>2</v>
      </c>
      <c r="T117" s="12">
        <v>4</v>
      </c>
      <c r="U117" s="12">
        <v>2</v>
      </c>
      <c r="V117" s="12">
        <v>3</v>
      </c>
      <c r="W117" s="12">
        <v>2</v>
      </c>
      <c r="X117" s="12">
        <v>1</v>
      </c>
      <c r="Y117" s="12">
        <v>1</v>
      </c>
      <c r="Z117" s="12">
        <v>6</v>
      </c>
      <c r="AA117" s="12">
        <v>4</v>
      </c>
      <c r="AB117" s="12">
        <v>2</v>
      </c>
      <c r="AC117" s="12">
        <v>2</v>
      </c>
      <c r="AD117" s="12">
        <v>3</v>
      </c>
      <c r="AE117" s="12">
        <v>2</v>
      </c>
      <c r="AF117" s="12">
        <v>1</v>
      </c>
      <c r="AG117" s="12">
        <v>0</v>
      </c>
      <c r="AH117" s="12">
        <v>0</v>
      </c>
      <c r="AI117" s="12">
        <v>0</v>
      </c>
      <c r="AJ117" s="12">
        <v>4</v>
      </c>
      <c r="AK117" s="12">
        <v>0</v>
      </c>
      <c r="AL117" s="12">
        <v>0</v>
      </c>
      <c r="AM117" s="12">
        <v>1</v>
      </c>
      <c r="AN117" s="12">
        <v>0</v>
      </c>
      <c r="AO117" s="12">
        <v>0</v>
      </c>
      <c r="AP117" s="12">
        <v>2</v>
      </c>
      <c r="AQ117" s="12">
        <v>1</v>
      </c>
      <c r="AR117" s="12">
        <v>0</v>
      </c>
      <c r="AS117" s="12">
        <v>0</v>
      </c>
      <c r="AT117" s="12">
        <v>1</v>
      </c>
      <c r="AU117" s="12">
        <v>2</v>
      </c>
      <c r="AV117" s="12">
        <v>2</v>
      </c>
      <c r="AW117" s="12">
        <v>1</v>
      </c>
      <c r="AX117" s="12">
        <v>3</v>
      </c>
      <c r="AY117" s="12">
        <v>2</v>
      </c>
      <c r="AZ117" s="12">
        <v>2</v>
      </c>
      <c r="BA117" s="12">
        <v>1</v>
      </c>
      <c r="BB117" s="12">
        <v>2</v>
      </c>
      <c r="BC117" s="12">
        <v>2</v>
      </c>
      <c r="BD117" s="12">
        <v>0</v>
      </c>
      <c r="BE117" s="12">
        <v>1</v>
      </c>
      <c r="BF117" s="12">
        <v>0</v>
      </c>
      <c r="BG117" s="12">
        <v>0</v>
      </c>
      <c r="BH117" s="12">
        <v>0</v>
      </c>
      <c r="BI117" s="12">
        <v>0</v>
      </c>
      <c r="BJ117" s="12">
        <v>0</v>
      </c>
      <c r="BK117" s="12">
        <v>0</v>
      </c>
      <c r="BL117" s="12">
        <v>0</v>
      </c>
      <c r="BM117" s="12">
        <v>1</v>
      </c>
      <c r="BN117" s="12">
        <v>1</v>
      </c>
      <c r="BO117" s="12">
        <v>0</v>
      </c>
      <c r="BP117" s="12">
        <v>0</v>
      </c>
      <c r="BQ117" s="12">
        <v>3</v>
      </c>
      <c r="BR117" s="12">
        <v>0</v>
      </c>
      <c r="BS117" s="12">
        <v>0</v>
      </c>
      <c r="BT117" s="12">
        <v>0</v>
      </c>
      <c r="BU117" s="12">
        <v>1</v>
      </c>
      <c r="BV117" s="12">
        <v>1</v>
      </c>
      <c r="BW117" s="12">
        <v>0</v>
      </c>
      <c r="BX117" s="12">
        <v>0</v>
      </c>
      <c r="BY117" s="12">
        <v>0</v>
      </c>
      <c r="BZ117" s="12">
        <v>2</v>
      </c>
      <c r="CA117" s="12">
        <v>0</v>
      </c>
      <c r="CB117" s="12">
        <v>0</v>
      </c>
      <c r="CC117" s="12">
        <v>1</v>
      </c>
      <c r="CD117" s="12">
        <v>0</v>
      </c>
      <c r="CE117" s="12">
        <v>4</v>
      </c>
      <c r="CF117" s="12">
        <v>0</v>
      </c>
      <c r="CG117" s="12">
        <v>0</v>
      </c>
      <c r="CH117" s="12">
        <v>0</v>
      </c>
      <c r="CI117" s="12">
        <v>0</v>
      </c>
      <c r="CJ117" s="12">
        <v>0</v>
      </c>
      <c r="CK117" s="12">
        <v>1</v>
      </c>
      <c r="CL117" s="12">
        <v>0</v>
      </c>
      <c r="CM117" s="12">
        <v>1</v>
      </c>
      <c r="CN117" s="12">
        <v>2</v>
      </c>
      <c r="CO117" s="12">
        <v>1</v>
      </c>
      <c r="CP117" s="12">
        <v>4</v>
      </c>
      <c r="CQ117" s="12">
        <v>2</v>
      </c>
      <c r="CR117" s="12">
        <v>0</v>
      </c>
      <c r="CS117" s="12">
        <v>0</v>
      </c>
      <c r="CT117" s="12">
        <v>0</v>
      </c>
      <c r="CU117" s="12">
        <v>0</v>
      </c>
      <c r="CV117" s="12">
        <v>1</v>
      </c>
      <c r="CW117" s="12">
        <v>0</v>
      </c>
      <c r="CX117" s="12">
        <v>0</v>
      </c>
      <c r="CY117" s="12">
        <v>0</v>
      </c>
      <c r="CZ117" s="12">
        <v>1</v>
      </c>
      <c r="DA117" s="12">
        <v>1</v>
      </c>
      <c r="DB117" s="12">
        <v>0</v>
      </c>
      <c r="DC117" s="12">
        <v>0</v>
      </c>
      <c r="DD117" s="12">
        <v>0</v>
      </c>
      <c r="DE117" s="12">
        <v>0</v>
      </c>
      <c r="DF117" s="12">
        <v>2</v>
      </c>
      <c r="DG117" s="12">
        <v>1</v>
      </c>
      <c r="DH117" s="12">
        <v>0</v>
      </c>
      <c r="DI117" s="12">
        <v>0</v>
      </c>
      <c r="DJ117" s="12">
        <v>0</v>
      </c>
      <c r="DK117" s="12">
        <v>0</v>
      </c>
      <c r="DL117" s="12">
        <v>0</v>
      </c>
      <c r="DM117" s="12">
        <v>1</v>
      </c>
      <c r="DN117" s="12">
        <v>1</v>
      </c>
      <c r="DO117" s="12">
        <v>1</v>
      </c>
      <c r="DP117" s="12">
        <v>1</v>
      </c>
      <c r="DQ117" s="12">
        <v>1</v>
      </c>
      <c r="DR117" s="12">
        <v>2</v>
      </c>
      <c r="DS117" s="12">
        <v>2</v>
      </c>
      <c r="DT117" s="12">
        <v>3</v>
      </c>
      <c r="DU117" s="12">
        <v>2</v>
      </c>
      <c r="DV117" s="12">
        <v>0</v>
      </c>
      <c r="DW117" s="12">
        <v>2</v>
      </c>
      <c r="DX117" s="12">
        <v>2</v>
      </c>
      <c r="DY117" s="12">
        <v>3</v>
      </c>
      <c r="DZ117" s="12">
        <v>1</v>
      </c>
      <c r="EA117" s="12">
        <v>2</v>
      </c>
      <c r="EB117" s="12">
        <v>2</v>
      </c>
      <c r="EC117" s="12">
        <v>1</v>
      </c>
      <c r="ED117" s="12">
        <v>1</v>
      </c>
      <c r="EE117" s="12">
        <v>5</v>
      </c>
      <c r="EF117" s="12">
        <v>1</v>
      </c>
      <c r="EG117" s="12">
        <v>0</v>
      </c>
      <c r="EH117" s="12">
        <v>1</v>
      </c>
      <c r="EI117" s="12">
        <v>0</v>
      </c>
      <c r="EJ117" s="12">
        <v>0</v>
      </c>
      <c r="EK117" s="12">
        <v>0</v>
      </c>
      <c r="EL117" s="12">
        <v>0</v>
      </c>
      <c r="EM117" s="12">
        <v>0</v>
      </c>
      <c r="EN117" s="12">
        <v>1</v>
      </c>
      <c r="EO117" s="12">
        <v>3</v>
      </c>
      <c r="EP117" s="12" t="str">
        <f t="shared" si="29"/>
        <v>🔴 Sin venta</v>
      </c>
      <c r="EQ117" s="23">
        <f t="shared" si="22"/>
        <v>1.3333333333333333</v>
      </c>
      <c r="ER117" s="19">
        <f t="shared" si="21"/>
        <v>9761.76</v>
      </c>
      <c r="ES117" s="12">
        <f t="shared" si="20"/>
        <v>36</v>
      </c>
      <c r="ET117" s="23">
        <f t="shared" si="27"/>
        <v>2.5</v>
      </c>
      <c r="EU117" s="23">
        <f t="shared" si="31"/>
        <v>1.5</v>
      </c>
      <c r="EV117" s="23">
        <f t="shared" si="23"/>
        <v>6.89</v>
      </c>
      <c r="EW117" s="23"/>
      <c r="EX117" s="12">
        <v>44</v>
      </c>
      <c r="EY117" s="19" cm="1">
        <f t="array" ref="EY117:FC117">VLOOKUP(_xlfn.SINGLE(B:B),'[1]Price List'!$B:$N,{8,4,5,6,7},0)</f>
        <v>271.16000000000003</v>
      </c>
      <c r="EZ117" s="9" t="str">
        <v>Speck LuggageTag Pro Airtag - Black/White</v>
      </c>
      <c r="FA117" s="12" t="str">
        <v>Cases AirTag</v>
      </c>
      <c r="FB117" s="12" t="str">
        <v>AirTag</v>
      </c>
      <c r="FC117" s="12" t="str">
        <v>AirTag</v>
      </c>
      <c r="FD117" s="23" t="str">
        <f>_xlfn.XLOOKUP(B:B,'[1]Price List'!$B:$B,'[1]Price List'!$A:$A)</f>
        <v>Speck</v>
      </c>
    </row>
    <row r="118" spans="1:160" s="9" customFormat="1" x14ac:dyDescent="0.2">
      <c r="A118" s="23" t="s">
        <v>599</v>
      </c>
      <c r="B118" s="23">
        <v>840168540655</v>
      </c>
      <c r="C118" s="9" t="s">
        <v>528</v>
      </c>
      <c r="D118" s="9" t="s">
        <v>644</v>
      </c>
      <c r="E118" s="26" t="s">
        <v>435</v>
      </c>
      <c r="F118" s="26" t="s">
        <v>435</v>
      </c>
      <c r="G118" s="9" t="s">
        <v>435</v>
      </c>
      <c r="H118" s="10" t="s">
        <v>419</v>
      </c>
      <c r="I118" s="11">
        <v>799</v>
      </c>
      <c r="J118" s="11">
        <v>309.95689655172413</v>
      </c>
      <c r="K118" s="62">
        <v>0</v>
      </c>
      <c r="L118" s="12">
        <v>0</v>
      </c>
      <c r="M118" s="13" t="s">
        <v>467</v>
      </c>
      <c r="N118" s="13" t="s">
        <v>475</v>
      </c>
      <c r="O118" s="27"/>
      <c r="P118" s="12">
        <v>0</v>
      </c>
      <c r="Q118" s="12">
        <v>0</v>
      </c>
      <c r="R118" s="12">
        <v>0</v>
      </c>
      <c r="S118" s="12">
        <v>0</v>
      </c>
      <c r="T118" s="12">
        <v>0</v>
      </c>
      <c r="U118" s="12">
        <v>0</v>
      </c>
      <c r="V118" s="12">
        <v>0</v>
      </c>
      <c r="W118" s="12">
        <v>0</v>
      </c>
      <c r="X118" s="12">
        <v>0</v>
      </c>
      <c r="Y118" s="12">
        <v>0</v>
      </c>
      <c r="Z118" s="12">
        <v>0</v>
      </c>
      <c r="AA118" s="12">
        <v>0</v>
      </c>
      <c r="AB118" s="12">
        <v>0</v>
      </c>
      <c r="AC118" s="12">
        <v>0</v>
      </c>
      <c r="AD118" s="12">
        <v>0</v>
      </c>
      <c r="AE118" s="12">
        <v>0</v>
      </c>
      <c r="AF118" s="12">
        <v>0</v>
      </c>
      <c r="AG118" s="12">
        <v>0</v>
      </c>
      <c r="AH118" s="12">
        <v>0</v>
      </c>
      <c r="AI118" s="12">
        <v>0</v>
      </c>
      <c r="AJ118" s="12">
        <v>0</v>
      </c>
      <c r="AK118" s="12">
        <v>0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2">
        <v>0</v>
      </c>
      <c r="AW118" s="12">
        <v>0</v>
      </c>
      <c r="AX118" s="12">
        <v>0</v>
      </c>
      <c r="AY118" s="12">
        <v>0</v>
      </c>
      <c r="AZ118" s="12">
        <v>0</v>
      </c>
      <c r="BA118" s="12">
        <v>0</v>
      </c>
      <c r="BB118" s="12">
        <v>0</v>
      </c>
      <c r="BC118" s="12">
        <v>0</v>
      </c>
      <c r="BD118" s="12">
        <v>0</v>
      </c>
      <c r="BE118" s="12">
        <v>7</v>
      </c>
      <c r="BF118" s="12">
        <v>4</v>
      </c>
      <c r="BG118" s="12">
        <v>8</v>
      </c>
      <c r="BH118" s="12">
        <v>2</v>
      </c>
      <c r="BI118" s="12">
        <v>2</v>
      </c>
      <c r="BJ118" s="12">
        <v>7</v>
      </c>
      <c r="BK118" s="12">
        <v>9</v>
      </c>
      <c r="BL118" s="12">
        <v>5</v>
      </c>
      <c r="BM118" s="12">
        <v>2</v>
      </c>
      <c r="BN118" s="12">
        <v>5</v>
      </c>
      <c r="BO118" s="12">
        <v>7</v>
      </c>
      <c r="BP118" s="12">
        <v>2</v>
      </c>
      <c r="BQ118" s="12">
        <v>3</v>
      </c>
      <c r="BR118" s="12">
        <v>4</v>
      </c>
      <c r="BS118" s="12">
        <v>1</v>
      </c>
      <c r="BT118" s="12">
        <v>4</v>
      </c>
      <c r="BU118" s="12">
        <v>6</v>
      </c>
      <c r="BV118" s="12">
        <v>2</v>
      </c>
      <c r="BW118" s="12">
        <v>4</v>
      </c>
      <c r="BX118" s="12">
        <v>1</v>
      </c>
      <c r="BY118" s="12">
        <v>6</v>
      </c>
      <c r="BZ118" s="12">
        <v>4</v>
      </c>
      <c r="CA118" s="12">
        <v>3</v>
      </c>
      <c r="CB118" s="12">
        <v>5</v>
      </c>
      <c r="CC118" s="12">
        <v>2</v>
      </c>
      <c r="CD118" s="12">
        <v>3</v>
      </c>
      <c r="CE118" s="12">
        <v>4</v>
      </c>
      <c r="CF118" s="12">
        <v>3</v>
      </c>
      <c r="CG118" s="12">
        <v>3</v>
      </c>
      <c r="CH118" s="12">
        <v>6</v>
      </c>
      <c r="CI118" s="12">
        <v>1</v>
      </c>
      <c r="CJ118" s="12">
        <v>4</v>
      </c>
      <c r="CK118" s="12">
        <v>4</v>
      </c>
      <c r="CL118" s="12">
        <v>4</v>
      </c>
      <c r="CM118" s="12">
        <v>5</v>
      </c>
      <c r="CN118" s="12">
        <v>4</v>
      </c>
      <c r="CO118" s="12">
        <v>2</v>
      </c>
      <c r="CP118" s="12">
        <v>3</v>
      </c>
      <c r="CQ118" s="12">
        <v>5</v>
      </c>
      <c r="CR118" s="12">
        <v>2</v>
      </c>
      <c r="CS118" s="12">
        <v>2</v>
      </c>
      <c r="CT118" s="12">
        <v>5</v>
      </c>
      <c r="CU118" s="12">
        <v>5</v>
      </c>
      <c r="CV118" s="12">
        <v>1</v>
      </c>
      <c r="CW118" s="12">
        <v>4</v>
      </c>
      <c r="CX118" s="12">
        <v>7</v>
      </c>
      <c r="CY118" s="12">
        <v>2</v>
      </c>
      <c r="CZ118" s="12">
        <v>3</v>
      </c>
      <c r="DA118" s="12">
        <v>7</v>
      </c>
      <c r="DB118" s="12">
        <v>4</v>
      </c>
      <c r="DC118" s="12">
        <v>7</v>
      </c>
      <c r="DD118" s="12">
        <v>1</v>
      </c>
      <c r="DE118" s="12">
        <v>1</v>
      </c>
      <c r="DF118" s="12">
        <v>6</v>
      </c>
      <c r="DG118" s="12">
        <v>2</v>
      </c>
      <c r="DH118" s="12">
        <v>2</v>
      </c>
      <c r="DI118" s="12">
        <v>6</v>
      </c>
      <c r="DJ118" s="12">
        <v>8</v>
      </c>
      <c r="DK118" s="12">
        <v>4</v>
      </c>
      <c r="DL118" s="12">
        <v>1</v>
      </c>
      <c r="DM118" s="12">
        <v>5</v>
      </c>
      <c r="DN118" s="12">
        <v>3</v>
      </c>
      <c r="DO118" s="12">
        <v>7</v>
      </c>
      <c r="DP118" s="12">
        <v>11</v>
      </c>
      <c r="DQ118" s="12">
        <v>6</v>
      </c>
      <c r="DR118" s="12">
        <v>5</v>
      </c>
      <c r="DS118" s="12">
        <v>6</v>
      </c>
      <c r="DT118" s="12">
        <v>2</v>
      </c>
      <c r="DU118" s="12">
        <v>5</v>
      </c>
      <c r="DV118" s="12">
        <v>1</v>
      </c>
      <c r="DW118" s="12">
        <v>2</v>
      </c>
      <c r="DX118" s="12">
        <v>2</v>
      </c>
      <c r="DY118" s="12">
        <v>0</v>
      </c>
      <c r="DZ118" s="12">
        <v>1</v>
      </c>
      <c r="EA118" s="12">
        <v>2</v>
      </c>
      <c r="EB118" s="12">
        <v>1</v>
      </c>
      <c r="EC118" s="12">
        <v>1</v>
      </c>
      <c r="ED118" s="12">
        <v>1</v>
      </c>
      <c r="EE118" s="12">
        <v>2</v>
      </c>
      <c r="EF118" s="12">
        <v>3</v>
      </c>
      <c r="EG118" s="12">
        <v>2</v>
      </c>
      <c r="EH118" s="12">
        <v>4</v>
      </c>
      <c r="EI118" s="12">
        <v>2</v>
      </c>
      <c r="EJ118" s="12">
        <v>3</v>
      </c>
      <c r="EK118" s="12">
        <v>1</v>
      </c>
      <c r="EL118" s="12">
        <v>3</v>
      </c>
      <c r="EM118" s="12">
        <v>1</v>
      </c>
      <c r="EN118" s="12">
        <v>1</v>
      </c>
      <c r="EO118" s="12">
        <v>2</v>
      </c>
      <c r="EP118" s="12" t="str">
        <f t="shared" si="29"/>
        <v>🟢 Bien</v>
      </c>
      <c r="EQ118" s="23">
        <f t="shared" si="22"/>
        <v>2.7916666666666665</v>
      </c>
      <c r="ER118" s="19">
        <f t="shared" si="21"/>
        <v>21696.982758620688</v>
      </c>
      <c r="ES118" s="12">
        <f t="shared" si="20"/>
        <v>70</v>
      </c>
      <c r="ET118" s="23">
        <f t="shared" si="27"/>
        <v>15.5</v>
      </c>
      <c r="EU118" s="23">
        <f t="shared" si="31"/>
        <v>18</v>
      </c>
      <c r="EV118" s="23">
        <f t="shared" si="23"/>
        <v>11.78</v>
      </c>
      <c r="EW118" s="23"/>
      <c r="EX118" s="12">
        <v>149</v>
      </c>
      <c r="EY118" s="19" cm="1">
        <f t="array" ref="EY118:FC118">VLOOKUP(_xlfn.SINGLE(B:B),'[1]Price List'!$B:$N,{8,4,5,6,7},0)</f>
        <v>309.95999999999998</v>
      </c>
      <c r="EZ118" s="9" t="str">
        <v>Speck iPhone 16 Gemshell Grip +Ms Clear/Clear</v>
      </c>
      <c r="FA118" s="12" t="str">
        <v>Cases iPhone</v>
      </c>
      <c r="FB118" s="12" t="str">
        <v>iPhone 16</v>
      </c>
      <c r="FC118" s="12" t="str">
        <v>iPhone 16</v>
      </c>
      <c r="FD118" s="23" t="str">
        <f>_xlfn.XLOOKUP(B:B,'[1]Price List'!$B:$B,'[1]Price List'!$A:$A)</f>
        <v>Speck</v>
      </c>
    </row>
    <row r="119" spans="1:160" s="9" customFormat="1" x14ac:dyDescent="0.2">
      <c r="A119" s="23" t="s">
        <v>599</v>
      </c>
      <c r="B119" s="23">
        <v>840168544493</v>
      </c>
      <c r="C119" s="9" t="s">
        <v>529</v>
      </c>
      <c r="D119" s="9" t="s">
        <v>644</v>
      </c>
      <c r="E119" s="26" t="s">
        <v>435</v>
      </c>
      <c r="F119" s="26" t="s">
        <v>435</v>
      </c>
      <c r="G119" s="9" t="s">
        <v>435</v>
      </c>
      <c r="H119" s="10" t="s">
        <v>420</v>
      </c>
      <c r="I119" s="11">
        <v>899</v>
      </c>
      <c r="J119" s="11">
        <v>348.74999999999994</v>
      </c>
      <c r="K119" s="62">
        <v>0</v>
      </c>
      <c r="L119" s="12">
        <v>0</v>
      </c>
      <c r="M119" s="13" t="s">
        <v>467</v>
      </c>
      <c r="N119" s="13" t="s">
        <v>475</v>
      </c>
      <c r="O119" s="27"/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2">
        <v>0</v>
      </c>
      <c r="AD119" s="12">
        <v>0</v>
      </c>
      <c r="AE119" s="12">
        <v>0</v>
      </c>
      <c r="AF119" s="12">
        <v>0</v>
      </c>
      <c r="AG119" s="12">
        <v>0</v>
      </c>
      <c r="AH119" s="12">
        <v>0</v>
      </c>
      <c r="AI119" s="12">
        <v>0</v>
      </c>
      <c r="AJ119" s="12">
        <v>0</v>
      </c>
      <c r="AK119" s="12">
        <v>0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2">
        <v>0</v>
      </c>
      <c r="AW119" s="12">
        <v>0</v>
      </c>
      <c r="AX119" s="12">
        <v>0</v>
      </c>
      <c r="AY119" s="12">
        <v>0</v>
      </c>
      <c r="AZ119" s="12">
        <v>0</v>
      </c>
      <c r="BA119" s="12">
        <v>0</v>
      </c>
      <c r="BB119" s="12">
        <v>0</v>
      </c>
      <c r="BC119" s="12">
        <v>0</v>
      </c>
      <c r="BD119" s="12">
        <v>0</v>
      </c>
      <c r="BE119" s="12">
        <v>8</v>
      </c>
      <c r="BF119" s="12">
        <v>8</v>
      </c>
      <c r="BG119" s="12">
        <v>7</v>
      </c>
      <c r="BH119" s="12">
        <v>7</v>
      </c>
      <c r="BI119" s="12">
        <v>6</v>
      </c>
      <c r="BJ119" s="12">
        <v>8</v>
      </c>
      <c r="BK119" s="12">
        <v>11</v>
      </c>
      <c r="BL119" s="12">
        <v>11</v>
      </c>
      <c r="BM119" s="12">
        <v>4</v>
      </c>
      <c r="BN119" s="12">
        <v>5</v>
      </c>
      <c r="BO119" s="12">
        <v>5</v>
      </c>
      <c r="BP119" s="12">
        <v>7</v>
      </c>
      <c r="BQ119" s="12">
        <v>15</v>
      </c>
      <c r="BR119" s="12">
        <v>10</v>
      </c>
      <c r="BS119" s="12">
        <v>6</v>
      </c>
      <c r="BT119" s="12">
        <v>12</v>
      </c>
      <c r="BU119" s="12">
        <v>3</v>
      </c>
      <c r="BV119" s="12">
        <v>3</v>
      </c>
      <c r="BW119" s="12">
        <v>8</v>
      </c>
      <c r="BX119" s="12">
        <v>5</v>
      </c>
      <c r="BY119" s="12">
        <v>1</v>
      </c>
      <c r="BZ119" s="12">
        <v>5</v>
      </c>
      <c r="CA119" s="12">
        <v>6</v>
      </c>
      <c r="CB119" s="12">
        <v>3</v>
      </c>
      <c r="CC119" s="12">
        <v>3</v>
      </c>
      <c r="CD119" s="12">
        <v>3</v>
      </c>
      <c r="CE119" s="12">
        <v>8</v>
      </c>
      <c r="CF119" s="12">
        <v>6</v>
      </c>
      <c r="CG119" s="12">
        <v>5</v>
      </c>
      <c r="CH119" s="12">
        <v>6</v>
      </c>
      <c r="CI119" s="12">
        <v>7</v>
      </c>
      <c r="CJ119" s="12">
        <v>0</v>
      </c>
      <c r="CK119" s="12">
        <v>7</v>
      </c>
      <c r="CL119" s="12">
        <v>6</v>
      </c>
      <c r="CM119" s="12">
        <v>10</v>
      </c>
      <c r="CN119" s="12">
        <v>3</v>
      </c>
      <c r="CO119" s="12">
        <v>7</v>
      </c>
      <c r="CP119" s="12">
        <v>7</v>
      </c>
      <c r="CQ119" s="12">
        <v>4</v>
      </c>
      <c r="CR119" s="12">
        <v>5</v>
      </c>
      <c r="CS119" s="12">
        <v>2</v>
      </c>
      <c r="CT119" s="12">
        <v>7</v>
      </c>
      <c r="CU119" s="12">
        <v>11</v>
      </c>
      <c r="CV119" s="12">
        <v>11</v>
      </c>
      <c r="CW119" s="12">
        <v>8</v>
      </c>
      <c r="CX119" s="12">
        <v>8</v>
      </c>
      <c r="CY119" s="12">
        <v>7</v>
      </c>
      <c r="CZ119" s="12">
        <v>6</v>
      </c>
      <c r="DA119" s="12">
        <v>3</v>
      </c>
      <c r="DB119" s="12">
        <v>5</v>
      </c>
      <c r="DC119" s="12">
        <v>2</v>
      </c>
      <c r="DD119" s="12">
        <v>3</v>
      </c>
      <c r="DE119" s="12">
        <v>4</v>
      </c>
      <c r="DF119" s="12">
        <v>0</v>
      </c>
      <c r="DG119" s="12">
        <v>2</v>
      </c>
      <c r="DH119" s="12">
        <v>2</v>
      </c>
      <c r="DI119" s="12">
        <v>12</v>
      </c>
      <c r="DJ119" s="12">
        <v>5</v>
      </c>
      <c r="DK119" s="12">
        <v>4</v>
      </c>
      <c r="DL119" s="12">
        <v>6</v>
      </c>
      <c r="DM119" s="12">
        <v>4</v>
      </c>
      <c r="DN119" s="12">
        <v>8</v>
      </c>
      <c r="DO119" s="12">
        <v>5</v>
      </c>
      <c r="DP119" s="12">
        <v>3</v>
      </c>
      <c r="DQ119" s="12">
        <v>4</v>
      </c>
      <c r="DR119" s="12">
        <v>6</v>
      </c>
      <c r="DS119" s="12">
        <v>6</v>
      </c>
      <c r="DT119" s="12">
        <v>1</v>
      </c>
      <c r="DU119" s="12">
        <v>3</v>
      </c>
      <c r="DV119" s="12">
        <v>1</v>
      </c>
      <c r="DW119" s="12">
        <v>2</v>
      </c>
      <c r="DX119" s="12">
        <v>1</v>
      </c>
      <c r="DY119" s="12">
        <v>0</v>
      </c>
      <c r="DZ119" s="12">
        <v>3</v>
      </c>
      <c r="EA119" s="12">
        <v>1</v>
      </c>
      <c r="EB119" s="12">
        <v>2</v>
      </c>
      <c r="EC119" s="12">
        <v>5</v>
      </c>
      <c r="ED119" s="12">
        <v>3</v>
      </c>
      <c r="EE119" s="12">
        <v>2</v>
      </c>
      <c r="EF119" s="12">
        <v>2</v>
      </c>
      <c r="EG119" s="12">
        <v>0</v>
      </c>
      <c r="EH119" s="12">
        <v>5</v>
      </c>
      <c r="EI119" s="12">
        <v>1</v>
      </c>
      <c r="EJ119" s="12">
        <v>2</v>
      </c>
      <c r="EK119" s="12">
        <v>2</v>
      </c>
      <c r="EL119" s="12">
        <v>3</v>
      </c>
      <c r="EM119" s="12">
        <v>2</v>
      </c>
      <c r="EN119" s="12">
        <v>2</v>
      </c>
      <c r="EO119" s="12">
        <v>1</v>
      </c>
      <c r="EP119" s="12" t="str">
        <f t="shared" si="29"/>
        <v>🟢 Bien</v>
      </c>
      <c r="EQ119" s="23">
        <f t="shared" si="22"/>
        <v>2.5</v>
      </c>
      <c r="ER119" s="19">
        <f t="shared" si="21"/>
        <v>21971.249999999996</v>
      </c>
      <c r="ES119" s="12">
        <f t="shared" si="20"/>
        <v>63</v>
      </c>
      <c r="ET119" s="23">
        <f t="shared" si="27"/>
        <v>12.5</v>
      </c>
      <c r="EU119" s="23">
        <f t="shared" si="31"/>
        <v>23</v>
      </c>
      <c r="EV119" s="23">
        <f t="shared" si="23"/>
        <v>10</v>
      </c>
      <c r="EW119" s="23"/>
      <c r="EX119" s="12">
        <v>97</v>
      </c>
      <c r="EY119" s="19" cm="1">
        <f t="array" ref="EY119:FC119">VLOOKUP(_xlfn.SINGLE(B:B),'[1]Price List'!$B:$N,{8,4,5,6,7},0)</f>
        <v>348.75</v>
      </c>
      <c r="EZ119" s="9" t="str">
        <v>Speck iPhone 16 CandyShell Grip + MS Black Slate</v>
      </c>
      <c r="FA119" s="12" t="str">
        <v>Cases iPhone</v>
      </c>
      <c r="FB119" s="12" t="str">
        <v>iPhone 16</v>
      </c>
      <c r="FC119" s="12" t="str">
        <v>iPhone 16</v>
      </c>
      <c r="FD119" s="23" t="str">
        <f>_xlfn.XLOOKUP(B:B,'[1]Price List'!$B:$B,'[1]Price List'!$A:$A)</f>
        <v>Speck</v>
      </c>
    </row>
    <row r="120" spans="1:160" s="9" customFormat="1" x14ac:dyDescent="0.2">
      <c r="A120" s="23" t="s">
        <v>599</v>
      </c>
      <c r="B120" s="23">
        <v>840168540365</v>
      </c>
      <c r="C120" s="9" t="s">
        <v>530</v>
      </c>
      <c r="D120" s="9" t="s">
        <v>644</v>
      </c>
      <c r="E120" s="26" t="s">
        <v>435</v>
      </c>
      <c r="F120" s="26" t="s">
        <v>435</v>
      </c>
      <c r="G120" s="9" t="s">
        <v>435</v>
      </c>
      <c r="H120" s="10" t="s">
        <v>421</v>
      </c>
      <c r="I120" s="11">
        <v>999</v>
      </c>
      <c r="J120" s="11">
        <v>387.54310344827587</v>
      </c>
      <c r="K120" s="62">
        <v>0</v>
      </c>
      <c r="L120" s="12">
        <v>0</v>
      </c>
      <c r="M120" s="13" t="s">
        <v>467</v>
      </c>
      <c r="N120" s="13" t="s">
        <v>475</v>
      </c>
      <c r="O120" s="27"/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2">
        <v>0</v>
      </c>
      <c r="AD120" s="12">
        <v>0</v>
      </c>
      <c r="AE120" s="12">
        <v>0</v>
      </c>
      <c r="AF120" s="12">
        <v>0</v>
      </c>
      <c r="AG120" s="12">
        <v>0</v>
      </c>
      <c r="AH120" s="12">
        <v>0</v>
      </c>
      <c r="AI120" s="12">
        <v>0</v>
      </c>
      <c r="AJ120" s="12">
        <v>0</v>
      </c>
      <c r="AK120" s="12">
        <v>0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2">
        <v>0</v>
      </c>
      <c r="AW120" s="12">
        <v>0</v>
      </c>
      <c r="AX120" s="12">
        <v>0</v>
      </c>
      <c r="AY120" s="12">
        <v>0</v>
      </c>
      <c r="AZ120" s="12">
        <v>0</v>
      </c>
      <c r="BA120" s="12">
        <v>0</v>
      </c>
      <c r="BB120" s="12">
        <v>0</v>
      </c>
      <c r="BC120" s="12">
        <v>0</v>
      </c>
      <c r="BD120" s="12">
        <v>0</v>
      </c>
      <c r="BE120" s="12">
        <v>7</v>
      </c>
      <c r="BF120" s="12">
        <v>4</v>
      </c>
      <c r="BG120" s="12">
        <v>1</v>
      </c>
      <c r="BH120" s="12">
        <v>3</v>
      </c>
      <c r="BI120" s="12">
        <v>8</v>
      </c>
      <c r="BJ120" s="12">
        <v>6</v>
      </c>
      <c r="BK120" s="12">
        <v>2</v>
      </c>
      <c r="BL120" s="12">
        <v>3</v>
      </c>
      <c r="BM120" s="12">
        <v>3</v>
      </c>
      <c r="BN120" s="12">
        <v>4</v>
      </c>
      <c r="BO120" s="12">
        <v>7</v>
      </c>
      <c r="BP120" s="12">
        <v>4</v>
      </c>
      <c r="BQ120" s="12">
        <v>5</v>
      </c>
      <c r="BR120" s="12">
        <v>4</v>
      </c>
      <c r="BS120" s="12">
        <v>7</v>
      </c>
      <c r="BT120" s="12">
        <v>3</v>
      </c>
      <c r="BU120" s="12">
        <v>2</v>
      </c>
      <c r="BV120" s="12">
        <v>2</v>
      </c>
      <c r="BW120" s="12">
        <v>7</v>
      </c>
      <c r="BX120" s="12">
        <v>1</v>
      </c>
      <c r="BY120" s="12">
        <v>3</v>
      </c>
      <c r="BZ120" s="12">
        <v>3</v>
      </c>
      <c r="CA120" s="12">
        <v>4</v>
      </c>
      <c r="CB120" s="12">
        <v>4</v>
      </c>
      <c r="CC120" s="12">
        <v>1</v>
      </c>
      <c r="CD120" s="12">
        <v>3</v>
      </c>
      <c r="CE120" s="12">
        <v>3</v>
      </c>
      <c r="CF120" s="12">
        <v>3</v>
      </c>
      <c r="CG120" s="12">
        <v>5</v>
      </c>
      <c r="CH120" s="12">
        <v>2</v>
      </c>
      <c r="CI120" s="12">
        <v>3</v>
      </c>
      <c r="CJ120" s="12">
        <v>4</v>
      </c>
      <c r="CK120" s="12">
        <v>4</v>
      </c>
      <c r="CL120" s="12">
        <v>3</v>
      </c>
      <c r="CM120" s="12">
        <v>0</v>
      </c>
      <c r="CN120" s="12">
        <v>3</v>
      </c>
      <c r="CO120" s="12">
        <v>2</v>
      </c>
      <c r="CP120" s="12">
        <v>3</v>
      </c>
      <c r="CQ120" s="12">
        <v>2</v>
      </c>
      <c r="CR120" s="12">
        <v>5</v>
      </c>
      <c r="CS120" s="12">
        <v>4</v>
      </c>
      <c r="CT120" s="12">
        <v>2</v>
      </c>
      <c r="CU120" s="12">
        <v>2</v>
      </c>
      <c r="CV120" s="12">
        <v>5</v>
      </c>
      <c r="CW120" s="12">
        <v>4</v>
      </c>
      <c r="CX120" s="12">
        <v>3</v>
      </c>
      <c r="CY120" s="12">
        <v>4</v>
      </c>
      <c r="CZ120" s="12">
        <v>2</v>
      </c>
      <c r="DA120" s="12">
        <v>3</v>
      </c>
      <c r="DB120" s="12">
        <v>3</v>
      </c>
      <c r="DC120" s="12">
        <v>4</v>
      </c>
      <c r="DD120" s="12">
        <v>5</v>
      </c>
      <c r="DE120" s="12">
        <v>7</v>
      </c>
      <c r="DF120" s="12">
        <v>2</v>
      </c>
      <c r="DG120" s="12">
        <v>2</v>
      </c>
      <c r="DH120" s="12">
        <v>6</v>
      </c>
      <c r="DI120" s="12">
        <v>8</v>
      </c>
      <c r="DJ120" s="12">
        <v>1</v>
      </c>
      <c r="DK120" s="12">
        <v>3</v>
      </c>
      <c r="DL120" s="12">
        <v>5</v>
      </c>
      <c r="DM120" s="12">
        <v>4</v>
      </c>
      <c r="DN120" s="12">
        <v>4</v>
      </c>
      <c r="DO120" s="12">
        <v>3</v>
      </c>
      <c r="DP120" s="12">
        <v>6</v>
      </c>
      <c r="DQ120" s="12">
        <v>5</v>
      </c>
      <c r="DR120" s="12">
        <v>2</v>
      </c>
      <c r="DS120" s="12">
        <v>1</v>
      </c>
      <c r="DT120" s="12">
        <v>3</v>
      </c>
      <c r="DU120" s="12">
        <v>1</v>
      </c>
      <c r="DV120" s="12">
        <v>4</v>
      </c>
      <c r="DW120" s="12">
        <v>2</v>
      </c>
      <c r="DX120" s="12">
        <v>2</v>
      </c>
      <c r="DY120" s="12">
        <v>2</v>
      </c>
      <c r="DZ120" s="12">
        <v>0</v>
      </c>
      <c r="EA120" s="12">
        <v>2</v>
      </c>
      <c r="EB120" s="12">
        <v>3</v>
      </c>
      <c r="EC120" s="12">
        <v>5</v>
      </c>
      <c r="ED120" s="12">
        <v>4</v>
      </c>
      <c r="EE120" s="12">
        <v>3</v>
      </c>
      <c r="EF120" s="12">
        <v>1</v>
      </c>
      <c r="EG120" s="12">
        <v>4</v>
      </c>
      <c r="EH120" s="12">
        <v>1</v>
      </c>
      <c r="EI120" s="12">
        <v>1</v>
      </c>
      <c r="EJ120" s="12">
        <v>2</v>
      </c>
      <c r="EK120" s="12">
        <v>4</v>
      </c>
      <c r="EL120" s="12">
        <v>0</v>
      </c>
      <c r="EM120" s="12">
        <v>1</v>
      </c>
      <c r="EN120" s="12">
        <v>1</v>
      </c>
      <c r="EO120" s="12">
        <v>3</v>
      </c>
      <c r="EP120" s="12" t="str">
        <f t="shared" si="29"/>
        <v>🔴 Sin venta</v>
      </c>
      <c r="EQ120" s="23">
        <f t="shared" si="22"/>
        <v>2.4583333333333335</v>
      </c>
      <c r="ER120" s="19">
        <f t="shared" si="21"/>
        <v>24415.21551724138</v>
      </c>
      <c r="ES120" s="12">
        <f t="shared" si="20"/>
        <v>63</v>
      </c>
      <c r="ET120" s="23">
        <f t="shared" si="27"/>
        <v>14</v>
      </c>
      <c r="EU120" s="23">
        <f t="shared" si="31"/>
        <v>17</v>
      </c>
      <c r="EV120" s="23">
        <f t="shared" si="23"/>
        <v>11.11</v>
      </c>
      <c r="EW120" s="23"/>
      <c r="EX120" s="12">
        <v>178</v>
      </c>
      <c r="EY120" s="19" cm="1">
        <f t="array" ref="EY120:FC120">VLOOKUP(_xlfn.SINGLE(B:B),'[1]Price List'!$B:$N,{8,4,5,6,7},0)</f>
        <v>387.54</v>
      </c>
      <c r="EZ120" s="9" t="str">
        <v>Speck iPhone 16 Presidio2 Grip +Cl Coastal Blue/Dustgrey/White</v>
      </c>
      <c r="FA120" s="12" t="str">
        <v>Cases iPhone</v>
      </c>
      <c r="FB120" s="12" t="str">
        <v>iPhone 16</v>
      </c>
      <c r="FC120" s="12" t="str">
        <v>iPhone 16</v>
      </c>
      <c r="FD120" s="23" t="str">
        <f>_xlfn.XLOOKUP(B:B,'[1]Price List'!$B:$B,'[1]Price List'!$A:$A)</f>
        <v>Speck</v>
      </c>
    </row>
    <row r="121" spans="1:160" s="9" customFormat="1" x14ac:dyDescent="0.2">
      <c r="A121" s="23" t="s">
        <v>599</v>
      </c>
      <c r="B121" s="23">
        <v>840168540396</v>
      </c>
      <c r="C121" s="9" t="s">
        <v>531</v>
      </c>
      <c r="D121" s="9" t="s">
        <v>644</v>
      </c>
      <c r="E121" s="26" t="s">
        <v>435</v>
      </c>
      <c r="F121" s="26" t="s">
        <v>435</v>
      </c>
      <c r="G121" s="9" t="s">
        <v>435</v>
      </c>
      <c r="H121" s="10" t="s">
        <v>422</v>
      </c>
      <c r="I121" s="11">
        <v>999</v>
      </c>
      <c r="J121" s="11">
        <v>387.54310344827587</v>
      </c>
      <c r="K121" s="62">
        <v>0</v>
      </c>
      <c r="L121" s="12">
        <v>0</v>
      </c>
      <c r="M121" s="13" t="s">
        <v>467</v>
      </c>
      <c r="N121" s="13" t="s">
        <v>475</v>
      </c>
      <c r="O121" s="27"/>
      <c r="P121" s="12">
        <v>0</v>
      </c>
      <c r="Q121" s="12">
        <v>0</v>
      </c>
      <c r="R121" s="12">
        <v>0</v>
      </c>
      <c r="S121" s="12">
        <v>0</v>
      </c>
      <c r="T121" s="12">
        <v>0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0</v>
      </c>
      <c r="AB121" s="12">
        <v>0</v>
      </c>
      <c r="AC121" s="12">
        <v>0</v>
      </c>
      <c r="AD121" s="12">
        <v>0</v>
      </c>
      <c r="AE121" s="12">
        <v>0</v>
      </c>
      <c r="AF121" s="12">
        <v>0</v>
      </c>
      <c r="AG121" s="12">
        <v>0</v>
      </c>
      <c r="AH121" s="12">
        <v>0</v>
      </c>
      <c r="AI121" s="12">
        <v>0</v>
      </c>
      <c r="AJ121" s="12">
        <v>0</v>
      </c>
      <c r="AK121" s="12">
        <v>0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2">
        <v>0</v>
      </c>
      <c r="AW121" s="12">
        <v>0</v>
      </c>
      <c r="AX121" s="12">
        <v>0</v>
      </c>
      <c r="AY121" s="12">
        <v>0</v>
      </c>
      <c r="AZ121" s="12">
        <v>0</v>
      </c>
      <c r="BA121" s="12">
        <v>0</v>
      </c>
      <c r="BB121" s="12">
        <v>0</v>
      </c>
      <c r="BC121" s="12">
        <v>0</v>
      </c>
      <c r="BD121" s="12">
        <v>0</v>
      </c>
      <c r="BE121" s="12">
        <v>2</v>
      </c>
      <c r="BF121" s="12">
        <v>0</v>
      </c>
      <c r="BG121" s="12">
        <v>2</v>
      </c>
      <c r="BH121" s="12">
        <v>1</v>
      </c>
      <c r="BI121" s="12">
        <v>0</v>
      </c>
      <c r="BJ121" s="12">
        <v>4</v>
      </c>
      <c r="BK121" s="12">
        <v>4</v>
      </c>
      <c r="BL121" s="12">
        <v>4</v>
      </c>
      <c r="BM121" s="12">
        <v>0</v>
      </c>
      <c r="BN121" s="12">
        <v>1</v>
      </c>
      <c r="BO121" s="12">
        <v>3</v>
      </c>
      <c r="BP121" s="12">
        <v>3</v>
      </c>
      <c r="BQ121" s="12">
        <v>0</v>
      </c>
      <c r="BR121" s="12">
        <v>0</v>
      </c>
      <c r="BS121" s="12">
        <v>0</v>
      </c>
      <c r="BT121" s="12">
        <v>2</v>
      </c>
      <c r="BU121" s="12">
        <v>1</v>
      </c>
      <c r="BV121" s="12">
        <v>0</v>
      </c>
      <c r="BW121" s="12">
        <v>0</v>
      </c>
      <c r="BX121" s="12">
        <v>1</v>
      </c>
      <c r="BY121" s="12">
        <v>0</v>
      </c>
      <c r="BZ121" s="12">
        <v>0</v>
      </c>
      <c r="CA121" s="12">
        <v>0</v>
      </c>
      <c r="CB121" s="12">
        <v>1</v>
      </c>
      <c r="CC121" s="12">
        <v>3</v>
      </c>
      <c r="CD121" s="12">
        <v>0</v>
      </c>
      <c r="CE121" s="12">
        <v>2</v>
      </c>
      <c r="CF121" s="12">
        <v>1</v>
      </c>
      <c r="CG121" s="12">
        <v>0</v>
      </c>
      <c r="CH121" s="12">
        <v>1</v>
      </c>
      <c r="CI121" s="12">
        <v>1</v>
      </c>
      <c r="CJ121" s="12">
        <v>0</v>
      </c>
      <c r="CK121" s="12">
        <v>4</v>
      </c>
      <c r="CL121" s="12">
        <v>1</v>
      </c>
      <c r="CM121" s="12">
        <v>1</v>
      </c>
      <c r="CN121" s="12">
        <v>1</v>
      </c>
      <c r="CO121" s="12">
        <v>2</v>
      </c>
      <c r="CP121" s="12">
        <v>0</v>
      </c>
      <c r="CQ121" s="12">
        <v>1</v>
      </c>
      <c r="CR121" s="12">
        <v>0</v>
      </c>
      <c r="CS121" s="12">
        <v>2</v>
      </c>
      <c r="CT121" s="12">
        <v>1</v>
      </c>
      <c r="CU121" s="12">
        <v>2</v>
      </c>
      <c r="CV121" s="12">
        <v>0</v>
      </c>
      <c r="CW121" s="12">
        <v>1</v>
      </c>
      <c r="CX121" s="12">
        <v>4</v>
      </c>
      <c r="CY121" s="12">
        <v>2</v>
      </c>
      <c r="CZ121" s="12">
        <v>2</v>
      </c>
      <c r="DA121" s="12">
        <v>1</v>
      </c>
      <c r="DB121" s="12">
        <v>2</v>
      </c>
      <c r="DC121" s="12">
        <v>0</v>
      </c>
      <c r="DD121" s="12">
        <v>3</v>
      </c>
      <c r="DE121" s="12">
        <v>3</v>
      </c>
      <c r="DF121" s="12">
        <v>1</v>
      </c>
      <c r="DG121" s="12">
        <v>1</v>
      </c>
      <c r="DH121" s="12">
        <v>0</v>
      </c>
      <c r="DI121" s="12">
        <v>2</v>
      </c>
      <c r="DJ121" s="12">
        <v>2</v>
      </c>
      <c r="DK121" s="12">
        <v>2</v>
      </c>
      <c r="DL121" s="12">
        <v>1</v>
      </c>
      <c r="DM121" s="12">
        <v>0</v>
      </c>
      <c r="DN121" s="12">
        <v>3</v>
      </c>
      <c r="DO121" s="12">
        <v>4</v>
      </c>
      <c r="DP121" s="12">
        <v>3</v>
      </c>
      <c r="DQ121" s="12">
        <v>4</v>
      </c>
      <c r="DR121" s="12">
        <v>1</v>
      </c>
      <c r="DS121" s="12">
        <v>2</v>
      </c>
      <c r="DT121" s="12">
        <v>1</v>
      </c>
      <c r="DU121" s="12">
        <v>0</v>
      </c>
      <c r="DV121" s="12">
        <v>1</v>
      </c>
      <c r="DW121" s="12">
        <v>0</v>
      </c>
      <c r="DX121" s="12">
        <v>1</v>
      </c>
      <c r="DY121" s="12">
        <v>1</v>
      </c>
      <c r="DZ121" s="12">
        <v>0</v>
      </c>
      <c r="EA121" s="12">
        <v>0</v>
      </c>
      <c r="EB121" s="12">
        <v>2</v>
      </c>
      <c r="EC121" s="12">
        <v>2</v>
      </c>
      <c r="ED121" s="12">
        <v>1</v>
      </c>
      <c r="EE121" s="12">
        <v>1</v>
      </c>
      <c r="EF121" s="12">
        <v>2</v>
      </c>
      <c r="EG121" s="12">
        <v>1</v>
      </c>
      <c r="EH121" s="12">
        <v>1</v>
      </c>
      <c r="EI121" s="12">
        <v>1</v>
      </c>
      <c r="EJ121" s="12">
        <v>0</v>
      </c>
      <c r="EK121" s="12">
        <v>0</v>
      </c>
      <c r="EL121" s="12">
        <v>0</v>
      </c>
      <c r="EM121" s="12">
        <v>3</v>
      </c>
      <c r="EN121" s="12">
        <v>1</v>
      </c>
      <c r="EO121" s="12">
        <v>0</v>
      </c>
      <c r="EP121" s="12" t="str">
        <f t="shared" si="29"/>
        <v>🔴 Sin venta</v>
      </c>
      <c r="EQ121" s="23">
        <f t="shared" si="22"/>
        <v>1.1666666666666667</v>
      </c>
      <c r="ER121" s="19">
        <f t="shared" si="21"/>
        <v>11238.75</v>
      </c>
      <c r="ES121" s="12">
        <f t="shared" si="20"/>
        <v>29</v>
      </c>
      <c r="ET121" s="23">
        <f t="shared" si="27"/>
        <v>6.5</v>
      </c>
      <c r="EU121" s="23">
        <f t="shared" si="31"/>
        <v>7</v>
      </c>
      <c r="EV121" s="23">
        <f t="shared" si="23"/>
        <v>5.1100000000000003</v>
      </c>
      <c r="EW121" s="23"/>
      <c r="EX121" s="12">
        <v>350</v>
      </c>
      <c r="EY121" s="19" cm="1">
        <f t="array" ref="EY121:FC121">VLOOKUP(_xlfn.SINGLE(B:B),'[1]Price List'!$B:$N,{8,4,5,6,7},0)</f>
        <v>387.54</v>
      </c>
      <c r="EZ121" s="9" t="str">
        <v>Speck iPhone 16 Presidio2 Grip +Cl True Pink/Shocking Pink/White</v>
      </c>
      <c r="FA121" s="12" t="str">
        <v>Cases iPhone</v>
      </c>
      <c r="FB121" s="12" t="str">
        <v>iPhone 16</v>
      </c>
      <c r="FC121" s="12" t="str">
        <v>iPhone 16</v>
      </c>
      <c r="FD121" s="23" t="str">
        <f>_xlfn.XLOOKUP(B:B,'[1]Price List'!$B:$B,'[1]Price List'!$A:$A)</f>
        <v>Speck</v>
      </c>
    </row>
    <row r="122" spans="1:160" s="9" customFormat="1" x14ac:dyDescent="0.2">
      <c r="A122" s="23" t="s">
        <v>599</v>
      </c>
      <c r="B122" s="39">
        <v>840168540846</v>
      </c>
      <c r="C122" s="9" t="s">
        <v>532</v>
      </c>
      <c r="D122" s="9" t="s">
        <v>644</v>
      </c>
      <c r="E122" s="26" t="s">
        <v>435</v>
      </c>
      <c r="F122" s="26" t="s">
        <v>436</v>
      </c>
      <c r="G122" s="9" t="s">
        <v>688</v>
      </c>
      <c r="H122" s="10" t="s">
        <v>423</v>
      </c>
      <c r="I122" s="11">
        <v>999</v>
      </c>
      <c r="J122" s="11">
        <v>387.54310344827587</v>
      </c>
      <c r="K122" s="62">
        <v>0</v>
      </c>
      <c r="L122" s="12">
        <v>0</v>
      </c>
      <c r="M122" s="13" t="s">
        <v>467</v>
      </c>
      <c r="N122" s="13" t="s">
        <v>655</v>
      </c>
      <c r="O122" s="27"/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>
        <v>0</v>
      </c>
      <c r="X122" s="12">
        <v>0</v>
      </c>
      <c r="Y122" s="12">
        <v>0</v>
      </c>
      <c r="Z122" s="12">
        <v>0</v>
      </c>
      <c r="AA122" s="12">
        <v>0</v>
      </c>
      <c r="AB122" s="12">
        <v>0</v>
      </c>
      <c r="AC122" s="12">
        <v>0</v>
      </c>
      <c r="AD122" s="12">
        <v>0</v>
      </c>
      <c r="AE122" s="12">
        <v>0</v>
      </c>
      <c r="AF122" s="12">
        <v>0</v>
      </c>
      <c r="AG122" s="12">
        <v>0</v>
      </c>
      <c r="AH122" s="12">
        <v>0</v>
      </c>
      <c r="AI122" s="12">
        <v>0</v>
      </c>
      <c r="AJ122" s="12">
        <v>0</v>
      </c>
      <c r="AK122" s="12">
        <v>0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2">
        <v>0</v>
      </c>
      <c r="AW122" s="12">
        <v>0</v>
      </c>
      <c r="AX122" s="12">
        <v>0</v>
      </c>
      <c r="AY122" s="12">
        <v>0</v>
      </c>
      <c r="AZ122" s="12">
        <v>0</v>
      </c>
      <c r="BA122" s="12">
        <v>0</v>
      </c>
      <c r="BB122" s="12">
        <v>0</v>
      </c>
      <c r="BC122" s="12">
        <v>0</v>
      </c>
      <c r="BD122" s="12">
        <v>0</v>
      </c>
      <c r="BE122" s="12">
        <v>1</v>
      </c>
      <c r="BF122" s="12">
        <v>13</v>
      </c>
      <c r="BG122" s="12">
        <v>22</v>
      </c>
      <c r="BH122" s="12">
        <v>16</v>
      </c>
      <c r="BI122" s="12">
        <v>13</v>
      </c>
      <c r="BJ122" s="12">
        <v>36</v>
      </c>
      <c r="BK122" s="12">
        <v>29</v>
      </c>
      <c r="BL122" s="12">
        <v>14</v>
      </c>
      <c r="BM122" s="12">
        <v>15</v>
      </c>
      <c r="BN122" s="12">
        <v>13</v>
      </c>
      <c r="BO122" s="12">
        <v>28</v>
      </c>
      <c r="BP122" s="12">
        <v>20</v>
      </c>
      <c r="BQ122" s="12">
        <v>25</v>
      </c>
      <c r="BR122" s="12">
        <v>16</v>
      </c>
      <c r="BS122" s="12">
        <v>13</v>
      </c>
      <c r="BT122" s="12">
        <v>9</v>
      </c>
      <c r="BU122" s="12">
        <v>12</v>
      </c>
      <c r="BV122" s="12">
        <v>4</v>
      </c>
      <c r="BW122" s="12">
        <v>9</v>
      </c>
      <c r="BX122" s="12">
        <v>8</v>
      </c>
      <c r="BY122" s="12">
        <v>9</v>
      </c>
      <c r="BZ122" s="12">
        <v>11</v>
      </c>
      <c r="CA122" s="12">
        <v>16</v>
      </c>
      <c r="CB122" s="12">
        <v>10</v>
      </c>
      <c r="CC122" s="12">
        <v>5</v>
      </c>
      <c r="CD122" s="12">
        <v>15</v>
      </c>
      <c r="CE122" s="12">
        <v>9</v>
      </c>
      <c r="CF122" s="12">
        <v>9</v>
      </c>
      <c r="CG122" s="12">
        <v>14</v>
      </c>
      <c r="CH122" s="12">
        <v>6</v>
      </c>
      <c r="CI122" s="12">
        <v>10</v>
      </c>
      <c r="CJ122" s="12">
        <v>10</v>
      </c>
      <c r="CK122" s="12">
        <v>14</v>
      </c>
      <c r="CL122" s="12">
        <v>7</v>
      </c>
      <c r="CM122" s="12">
        <v>13</v>
      </c>
      <c r="CN122" s="12">
        <v>6</v>
      </c>
      <c r="CO122" s="12">
        <v>12</v>
      </c>
      <c r="CP122" s="12">
        <v>9</v>
      </c>
      <c r="CQ122" s="12">
        <v>4</v>
      </c>
      <c r="CR122" s="12">
        <v>10</v>
      </c>
      <c r="CS122" s="12">
        <v>12</v>
      </c>
      <c r="CT122" s="12">
        <v>7</v>
      </c>
      <c r="CU122" s="12">
        <v>6</v>
      </c>
      <c r="CV122" s="12">
        <v>3</v>
      </c>
      <c r="CW122" s="12">
        <v>6</v>
      </c>
      <c r="CX122" s="12">
        <v>2</v>
      </c>
      <c r="CY122" s="12">
        <v>6</v>
      </c>
      <c r="CZ122" s="12">
        <v>5</v>
      </c>
      <c r="DA122" s="12">
        <v>5</v>
      </c>
      <c r="DB122" s="12">
        <v>9</v>
      </c>
      <c r="DC122" s="12">
        <v>4</v>
      </c>
      <c r="DD122" s="12">
        <v>2</v>
      </c>
      <c r="DE122" s="12">
        <v>4</v>
      </c>
      <c r="DF122" s="12">
        <v>5</v>
      </c>
      <c r="DG122" s="12">
        <v>3</v>
      </c>
      <c r="DH122" s="12">
        <v>2</v>
      </c>
      <c r="DI122" s="12">
        <v>7</v>
      </c>
      <c r="DJ122" s="12">
        <v>5</v>
      </c>
      <c r="DK122" s="12">
        <v>2</v>
      </c>
      <c r="DL122" s="12">
        <v>2</v>
      </c>
      <c r="DM122" s="12">
        <v>3</v>
      </c>
      <c r="DN122" s="12">
        <v>4</v>
      </c>
      <c r="DO122" s="12">
        <v>2</v>
      </c>
      <c r="DP122" s="12">
        <v>0</v>
      </c>
      <c r="DQ122" s="12">
        <v>0</v>
      </c>
      <c r="DR122" s="12">
        <v>2</v>
      </c>
      <c r="DS122" s="12">
        <v>2</v>
      </c>
      <c r="DT122" s="12">
        <v>3</v>
      </c>
      <c r="DU122" s="12">
        <v>0</v>
      </c>
      <c r="DV122" s="12">
        <v>3</v>
      </c>
      <c r="DW122" s="12">
        <v>2</v>
      </c>
      <c r="DX122" s="12">
        <v>2</v>
      </c>
      <c r="DY122" s="12">
        <v>0</v>
      </c>
      <c r="DZ122" s="12">
        <v>0</v>
      </c>
      <c r="EA122" s="12">
        <v>1</v>
      </c>
      <c r="EB122" s="12">
        <v>1</v>
      </c>
      <c r="EC122" s="12">
        <v>1</v>
      </c>
      <c r="ED122" s="12">
        <v>0</v>
      </c>
      <c r="EE122" s="12">
        <v>1</v>
      </c>
      <c r="EF122" s="12">
        <v>1</v>
      </c>
      <c r="EG122" s="12">
        <v>1</v>
      </c>
      <c r="EH122" s="12">
        <v>1</v>
      </c>
      <c r="EI122" s="12">
        <v>0</v>
      </c>
      <c r="EJ122" s="12">
        <v>0</v>
      </c>
      <c r="EK122" s="12">
        <v>0</v>
      </c>
      <c r="EL122" s="12">
        <v>1</v>
      </c>
      <c r="EM122" s="12">
        <v>0</v>
      </c>
      <c r="EN122" s="12">
        <v>1</v>
      </c>
      <c r="EO122" s="12">
        <v>2</v>
      </c>
      <c r="EP122" s="12" t="str">
        <f t="shared" si="29"/>
        <v>🟢 Bien</v>
      </c>
      <c r="EQ122" s="23">
        <f t="shared" si="22"/>
        <v>0.91666666666666663</v>
      </c>
      <c r="ER122" s="19">
        <f t="shared" si="21"/>
        <v>9688.5775862068967</v>
      </c>
      <c r="ES122" s="12">
        <f t="shared" si="20"/>
        <v>25</v>
      </c>
      <c r="ET122" s="23">
        <f t="shared" si="27"/>
        <v>18.5</v>
      </c>
      <c r="EU122" s="23">
        <f t="shared" si="31"/>
        <v>13.5</v>
      </c>
      <c r="EV122" s="23">
        <f t="shared" si="23"/>
        <v>4.4400000000000004</v>
      </c>
      <c r="EW122" s="23"/>
      <c r="EX122" s="12">
        <v>41</v>
      </c>
      <c r="EY122" s="19" cm="1">
        <f t="array" ref="EY122:FC122">VLOOKUP(_xlfn.SINGLE(B:B),'[1]Price List'!$B:$N,{8,4,5,6,7},0)</f>
        <v>387.54</v>
      </c>
      <c r="EZ122" s="9" t="str">
        <v>Speck iPhone 16 Pro Presidio Perfect Clear +Cl Clear/Chrome Fini</v>
      </c>
      <c r="FA122" s="12" t="str">
        <v>Cases iPhone</v>
      </c>
      <c r="FB122" s="12" t="str">
        <v>iPhone 16</v>
      </c>
      <c r="FC122" s="12" t="str">
        <v>iPhone 16 Pro / iPhone 17</v>
      </c>
      <c r="FD122" s="23" t="str">
        <f>_xlfn.XLOOKUP(B:B,'[1]Price List'!$B:$B,'[1]Price List'!$A:$A)</f>
        <v>Speck</v>
      </c>
    </row>
    <row r="123" spans="1:160" s="9" customFormat="1" x14ac:dyDescent="0.2">
      <c r="A123" s="23" t="s">
        <v>599</v>
      </c>
      <c r="B123" s="39">
        <v>840168540761</v>
      </c>
      <c r="C123" s="9" t="s">
        <v>533</v>
      </c>
      <c r="D123" s="9" t="s">
        <v>644</v>
      </c>
      <c r="E123" s="26" t="s">
        <v>435</v>
      </c>
      <c r="F123" s="26" t="s">
        <v>436</v>
      </c>
      <c r="G123" s="9" t="s">
        <v>688</v>
      </c>
      <c r="H123" s="10" t="s">
        <v>424</v>
      </c>
      <c r="I123" s="11">
        <v>999</v>
      </c>
      <c r="J123" s="11">
        <v>387.54310344827587</v>
      </c>
      <c r="K123" s="62">
        <v>0</v>
      </c>
      <c r="L123" s="12">
        <v>0</v>
      </c>
      <c r="M123" s="13" t="s">
        <v>467</v>
      </c>
      <c r="N123" s="13" t="s">
        <v>655</v>
      </c>
      <c r="O123" s="27"/>
      <c r="P123" s="12">
        <v>0</v>
      </c>
      <c r="Q123" s="12">
        <v>0</v>
      </c>
      <c r="R123" s="12">
        <v>0</v>
      </c>
      <c r="S123" s="12">
        <v>0</v>
      </c>
      <c r="T123" s="12">
        <v>0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2">
        <v>0</v>
      </c>
      <c r="AD123" s="12">
        <v>0</v>
      </c>
      <c r="AE123" s="12">
        <v>0</v>
      </c>
      <c r="AF123" s="12">
        <v>0</v>
      </c>
      <c r="AG123" s="12">
        <v>0</v>
      </c>
      <c r="AH123" s="12">
        <v>0</v>
      </c>
      <c r="AI123" s="12">
        <v>0</v>
      </c>
      <c r="AJ123" s="12">
        <v>0</v>
      </c>
      <c r="AK123" s="12">
        <v>0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2">
        <v>0</v>
      </c>
      <c r="AW123" s="12">
        <v>0</v>
      </c>
      <c r="AX123" s="12">
        <v>0</v>
      </c>
      <c r="AY123" s="12">
        <v>0</v>
      </c>
      <c r="AZ123" s="12">
        <v>0</v>
      </c>
      <c r="BA123" s="12">
        <v>0</v>
      </c>
      <c r="BB123" s="12">
        <v>0</v>
      </c>
      <c r="BC123" s="12">
        <v>0</v>
      </c>
      <c r="BD123" s="12">
        <v>0</v>
      </c>
      <c r="BE123" s="12">
        <v>74</v>
      </c>
      <c r="BF123" s="12">
        <v>28</v>
      </c>
      <c r="BG123" s="12">
        <v>23</v>
      </c>
      <c r="BH123" s="12">
        <v>24</v>
      </c>
      <c r="BI123" s="12">
        <v>11</v>
      </c>
      <c r="BJ123" s="12">
        <v>28</v>
      </c>
      <c r="BK123" s="12">
        <v>24</v>
      </c>
      <c r="BL123" s="12">
        <v>14</v>
      </c>
      <c r="BM123" s="12">
        <v>17</v>
      </c>
      <c r="BN123" s="12">
        <v>12</v>
      </c>
      <c r="BO123" s="12">
        <v>19</v>
      </c>
      <c r="BP123" s="12">
        <v>23</v>
      </c>
      <c r="BQ123" s="12">
        <v>23</v>
      </c>
      <c r="BR123" s="12">
        <v>11</v>
      </c>
      <c r="BS123" s="12">
        <v>17</v>
      </c>
      <c r="BT123" s="12">
        <v>15</v>
      </c>
      <c r="BU123" s="12">
        <v>10</v>
      </c>
      <c r="BV123" s="12">
        <v>12</v>
      </c>
      <c r="BW123" s="12">
        <v>11</v>
      </c>
      <c r="BX123" s="12">
        <v>6</v>
      </c>
      <c r="BY123" s="12">
        <v>11</v>
      </c>
      <c r="BZ123" s="12">
        <v>10</v>
      </c>
      <c r="CA123" s="12">
        <v>12</v>
      </c>
      <c r="CB123" s="12">
        <v>14</v>
      </c>
      <c r="CC123" s="12">
        <v>10</v>
      </c>
      <c r="CD123" s="12">
        <v>10</v>
      </c>
      <c r="CE123" s="12">
        <v>7</v>
      </c>
      <c r="CF123" s="12">
        <v>7</v>
      </c>
      <c r="CG123" s="12">
        <v>11</v>
      </c>
      <c r="CH123" s="12">
        <v>7</v>
      </c>
      <c r="CI123" s="12">
        <v>16</v>
      </c>
      <c r="CJ123" s="12">
        <v>9</v>
      </c>
      <c r="CK123" s="12">
        <v>9</v>
      </c>
      <c r="CL123" s="12">
        <v>9</v>
      </c>
      <c r="CM123" s="12">
        <v>11</v>
      </c>
      <c r="CN123" s="12">
        <v>5</v>
      </c>
      <c r="CO123" s="12">
        <v>15</v>
      </c>
      <c r="CP123" s="12">
        <v>13</v>
      </c>
      <c r="CQ123" s="12">
        <v>10</v>
      </c>
      <c r="CR123" s="12">
        <v>10</v>
      </c>
      <c r="CS123" s="12">
        <v>13</v>
      </c>
      <c r="CT123" s="12">
        <v>16</v>
      </c>
      <c r="CU123" s="12">
        <v>10</v>
      </c>
      <c r="CV123" s="12">
        <v>8</v>
      </c>
      <c r="CW123" s="12">
        <v>6</v>
      </c>
      <c r="CX123" s="12">
        <v>6</v>
      </c>
      <c r="CY123" s="12">
        <v>4</v>
      </c>
      <c r="CZ123" s="12">
        <v>5</v>
      </c>
      <c r="DA123" s="12">
        <v>8</v>
      </c>
      <c r="DB123" s="12">
        <v>9</v>
      </c>
      <c r="DC123" s="12">
        <v>6</v>
      </c>
      <c r="DD123" s="12">
        <v>4</v>
      </c>
      <c r="DE123" s="12">
        <v>4</v>
      </c>
      <c r="DF123" s="12">
        <v>1</v>
      </c>
      <c r="DG123" s="12">
        <v>2</v>
      </c>
      <c r="DH123" s="12">
        <v>0</v>
      </c>
      <c r="DI123" s="12">
        <v>2</v>
      </c>
      <c r="DJ123" s="12">
        <v>3</v>
      </c>
      <c r="DK123" s="12">
        <v>1</v>
      </c>
      <c r="DL123" s="12">
        <v>2</v>
      </c>
      <c r="DM123" s="12">
        <v>3</v>
      </c>
      <c r="DN123" s="12">
        <v>1</v>
      </c>
      <c r="DO123" s="12">
        <v>2</v>
      </c>
      <c r="DP123" s="12">
        <v>2</v>
      </c>
      <c r="DQ123" s="12">
        <v>0</v>
      </c>
      <c r="DR123" s="12">
        <v>1</v>
      </c>
      <c r="DS123" s="12">
        <v>0</v>
      </c>
      <c r="DT123" s="12">
        <v>0</v>
      </c>
      <c r="DU123" s="12">
        <v>1</v>
      </c>
      <c r="DV123" s="12">
        <v>2</v>
      </c>
      <c r="DW123" s="12">
        <v>1</v>
      </c>
      <c r="DX123" s="12">
        <v>1</v>
      </c>
      <c r="DY123" s="12">
        <v>1</v>
      </c>
      <c r="DZ123" s="12">
        <v>2</v>
      </c>
      <c r="EA123" s="12">
        <v>2</v>
      </c>
      <c r="EB123" s="12">
        <v>0</v>
      </c>
      <c r="EC123" s="12">
        <v>0</v>
      </c>
      <c r="ED123" s="12">
        <v>0</v>
      </c>
      <c r="EE123" s="12">
        <v>3</v>
      </c>
      <c r="EF123" s="12">
        <v>3</v>
      </c>
      <c r="EG123" s="12">
        <v>1</v>
      </c>
      <c r="EH123" s="12">
        <v>0</v>
      </c>
      <c r="EI123" s="12">
        <v>0</v>
      </c>
      <c r="EJ123" s="12">
        <v>1</v>
      </c>
      <c r="EK123" s="12">
        <v>0</v>
      </c>
      <c r="EL123" s="12">
        <v>2</v>
      </c>
      <c r="EM123" s="12">
        <v>0</v>
      </c>
      <c r="EN123" s="12">
        <v>0</v>
      </c>
      <c r="EO123" s="12">
        <v>2</v>
      </c>
      <c r="EP123" s="12" t="str">
        <f t="shared" si="29"/>
        <v>🟢 Bien</v>
      </c>
      <c r="EQ123" s="23">
        <f t="shared" si="22"/>
        <v>0.95833333333333337</v>
      </c>
      <c r="ER123" s="19">
        <f t="shared" si="21"/>
        <v>9688.5775862068967</v>
      </c>
      <c r="ES123" s="12">
        <f t="shared" si="20"/>
        <v>25</v>
      </c>
      <c r="ET123" s="23">
        <f t="shared" si="27"/>
        <v>19.5</v>
      </c>
      <c r="EU123" s="23">
        <f t="shared" si="31"/>
        <v>7</v>
      </c>
      <c r="EV123" s="23">
        <f t="shared" si="23"/>
        <v>4.4400000000000004</v>
      </c>
      <c r="EW123" s="23"/>
      <c r="EX123" s="12">
        <v>54</v>
      </c>
      <c r="EY123" s="19" cm="1">
        <f t="array" ref="EY123:FC123">VLOOKUP(_xlfn.SINGLE(B:B),'[1]Price List'!$B:$N,{8,4,5,6,7},0)</f>
        <v>387.54</v>
      </c>
      <c r="EZ123" s="9" t="str">
        <v>Speck iPhone 16 Pro Presidio2 Grip +Cl Black / Slate Grey /White</v>
      </c>
      <c r="FA123" s="12" t="str">
        <v>Cases iPhone</v>
      </c>
      <c r="FB123" s="12" t="str">
        <v>iPhone 16</v>
      </c>
      <c r="FC123" s="12" t="str">
        <v>iPhone 16 Pro / iPhone 17</v>
      </c>
      <c r="FD123" s="23" t="str">
        <f>_xlfn.XLOOKUP(B:B,'[1]Price List'!$B:$B,'[1]Price List'!$A:$A)</f>
        <v>Speck</v>
      </c>
    </row>
    <row r="124" spans="1:160" s="9" customFormat="1" x14ac:dyDescent="0.2">
      <c r="A124" s="23" t="s">
        <v>599</v>
      </c>
      <c r="B124" s="39">
        <v>840168540778</v>
      </c>
      <c r="C124" s="9" t="s">
        <v>534</v>
      </c>
      <c r="D124" s="9" t="s">
        <v>644</v>
      </c>
      <c r="E124" s="26" t="s">
        <v>435</v>
      </c>
      <c r="F124" s="26" t="s">
        <v>436</v>
      </c>
      <c r="G124" s="9" t="s">
        <v>688</v>
      </c>
      <c r="H124" s="10" t="s">
        <v>425</v>
      </c>
      <c r="I124" s="11">
        <v>999</v>
      </c>
      <c r="J124" s="11">
        <v>387.54310344827587</v>
      </c>
      <c r="K124" s="62">
        <v>0</v>
      </c>
      <c r="L124" s="12">
        <v>0</v>
      </c>
      <c r="M124" s="13" t="s">
        <v>467</v>
      </c>
      <c r="N124" s="13" t="s">
        <v>475</v>
      </c>
      <c r="O124" s="27"/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2">
        <v>0</v>
      </c>
      <c r="AD124" s="12">
        <v>0</v>
      </c>
      <c r="AE124" s="12">
        <v>0</v>
      </c>
      <c r="AF124" s="12">
        <v>0</v>
      </c>
      <c r="AG124" s="12">
        <v>0</v>
      </c>
      <c r="AH124" s="12">
        <v>0</v>
      </c>
      <c r="AI124" s="12">
        <v>0</v>
      </c>
      <c r="AJ124" s="12">
        <v>0</v>
      </c>
      <c r="AK124" s="12">
        <v>0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2">
        <v>0</v>
      </c>
      <c r="AW124" s="12">
        <v>0</v>
      </c>
      <c r="AX124" s="12">
        <v>0</v>
      </c>
      <c r="AY124" s="12">
        <v>0</v>
      </c>
      <c r="AZ124" s="12">
        <v>0</v>
      </c>
      <c r="BA124" s="12">
        <v>0</v>
      </c>
      <c r="BB124" s="12">
        <v>0</v>
      </c>
      <c r="BC124" s="12">
        <v>0</v>
      </c>
      <c r="BD124" s="12">
        <v>0</v>
      </c>
      <c r="BE124" s="12">
        <v>13</v>
      </c>
      <c r="BF124" s="12">
        <v>9</v>
      </c>
      <c r="BG124" s="12">
        <v>6</v>
      </c>
      <c r="BH124" s="12">
        <v>3</v>
      </c>
      <c r="BI124" s="12">
        <v>5</v>
      </c>
      <c r="BJ124" s="12">
        <v>12</v>
      </c>
      <c r="BK124" s="12">
        <v>12</v>
      </c>
      <c r="BL124" s="12">
        <v>2</v>
      </c>
      <c r="BM124" s="12">
        <v>7</v>
      </c>
      <c r="BN124" s="12">
        <v>7</v>
      </c>
      <c r="BO124" s="12">
        <v>10</v>
      </c>
      <c r="BP124" s="12">
        <v>17</v>
      </c>
      <c r="BQ124" s="12">
        <v>3</v>
      </c>
      <c r="BR124" s="12">
        <v>7</v>
      </c>
      <c r="BS124" s="12">
        <v>10</v>
      </c>
      <c r="BT124" s="12">
        <v>1</v>
      </c>
      <c r="BU124" s="12">
        <v>6</v>
      </c>
      <c r="BV124" s="12">
        <v>4</v>
      </c>
      <c r="BW124" s="12">
        <v>1</v>
      </c>
      <c r="BX124" s="12">
        <v>4</v>
      </c>
      <c r="BY124" s="12">
        <v>3</v>
      </c>
      <c r="BZ124" s="12">
        <v>2</v>
      </c>
      <c r="CA124" s="12">
        <v>8</v>
      </c>
      <c r="CB124" s="12">
        <v>5</v>
      </c>
      <c r="CC124" s="12">
        <v>2</v>
      </c>
      <c r="CD124" s="12">
        <v>1</v>
      </c>
      <c r="CE124" s="12">
        <v>5</v>
      </c>
      <c r="CF124" s="12">
        <v>5</v>
      </c>
      <c r="CG124" s="12">
        <v>3</v>
      </c>
      <c r="CH124" s="12">
        <v>4</v>
      </c>
      <c r="CI124" s="12">
        <v>6</v>
      </c>
      <c r="CJ124" s="12">
        <v>4</v>
      </c>
      <c r="CK124" s="12">
        <v>4</v>
      </c>
      <c r="CL124" s="12">
        <v>2</v>
      </c>
      <c r="CM124" s="12">
        <v>6</v>
      </c>
      <c r="CN124" s="12">
        <v>7</v>
      </c>
      <c r="CO124" s="12">
        <v>1</v>
      </c>
      <c r="CP124" s="12">
        <v>1</v>
      </c>
      <c r="CQ124" s="12">
        <v>3</v>
      </c>
      <c r="CR124" s="12">
        <v>4</v>
      </c>
      <c r="CS124" s="12">
        <v>3</v>
      </c>
      <c r="CT124" s="12">
        <v>10</v>
      </c>
      <c r="CU124" s="12">
        <v>4</v>
      </c>
      <c r="CV124" s="12">
        <v>5</v>
      </c>
      <c r="CW124" s="12">
        <v>7</v>
      </c>
      <c r="CX124" s="12">
        <v>3</v>
      </c>
      <c r="CY124" s="12">
        <v>4</v>
      </c>
      <c r="CZ124" s="12">
        <v>5</v>
      </c>
      <c r="DA124" s="12">
        <v>0</v>
      </c>
      <c r="DB124" s="12">
        <v>7</v>
      </c>
      <c r="DC124" s="12">
        <v>1</v>
      </c>
      <c r="DD124" s="12">
        <v>7</v>
      </c>
      <c r="DE124" s="12">
        <v>2</v>
      </c>
      <c r="DF124" s="12">
        <v>6</v>
      </c>
      <c r="DG124" s="12">
        <v>2</v>
      </c>
      <c r="DH124" s="12">
        <v>4</v>
      </c>
      <c r="DI124" s="12">
        <v>1</v>
      </c>
      <c r="DJ124" s="12">
        <v>1</v>
      </c>
      <c r="DK124" s="12">
        <v>3</v>
      </c>
      <c r="DL124" s="12">
        <v>1</v>
      </c>
      <c r="DM124" s="12">
        <v>3</v>
      </c>
      <c r="DN124" s="12">
        <v>4</v>
      </c>
      <c r="DO124" s="12">
        <v>4</v>
      </c>
      <c r="DP124" s="12">
        <v>1</v>
      </c>
      <c r="DQ124" s="12">
        <v>1</v>
      </c>
      <c r="DR124" s="12">
        <v>4</v>
      </c>
      <c r="DS124" s="12">
        <v>2</v>
      </c>
      <c r="DT124" s="12">
        <v>3</v>
      </c>
      <c r="DU124" s="12">
        <v>2</v>
      </c>
      <c r="DV124" s="12">
        <v>2</v>
      </c>
      <c r="DW124" s="12">
        <v>2</v>
      </c>
      <c r="DX124" s="12">
        <v>1</v>
      </c>
      <c r="DY124" s="12">
        <v>2</v>
      </c>
      <c r="DZ124" s="12">
        <v>0</v>
      </c>
      <c r="EA124" s="12">
        <v>1</v>
      </c>
      <c r="EB124" s="12">
        <v>1</v>
      </c>
      <c r="EC124" s="12">
        <v>1</v>
      </c>
      <c r="ED124" s="12">
        <v>2</v>
      </c>
      <c r="EE124" s="12">
        <v>3</v>
      </c>
      <c r="EF124" s="12">
        <v>1</v>
      </c>
      <c r="EG124" s="12">
        <v>0</v>
      </c>
      <c r="EH124" s="12">
        <v>3</v>
      </c>
      <c r="EI124" s="12">
        <v>0</v>
      </c>
      <c r="EJ124" s="12">
        <v>0</v>
      </c>
      <c r="EK124" s="12">
        <v>2</v>
      </c>
      <c r="EL124" s="12">
        <v>1</v>
      </c>
      <c r="EM124" s="12">
        <v>1</v>
      </c>
      <c r="EN124" s="12">
        <v>0</v>
      </c>
      <c r="EO124" s="12">
        <v>0</v>
      </c>
      <c r="EP124" s="12" t="str">
        <f t="shared" si="29"/>
        <v>🟢 Bien</v>
      </c>
      <c r="EQ124" s="23">
        <f t="shared" si="22"/>
        <v>1.5</v>
      </c>
      <c r="ER124" s="19">
        <f t="shared" si="21"/>
        <v>13951.551724137931</v>
      </c>
      <c r="ES124" s="12">
        <f t="shared" si="20"/>
        <v>36</v>
      </c>
      <c r="ET124" s="23">
        <f t="shared" si="27"/>
        <v>15</v>
      </c>
      <c r="EU124" s="23">
        <f t="shared" si="31"/>
        <v>10.5</v>
      </c>
      <c r="EV124" s="23">
        <f t="shared" si="23"/>
        <v>6.44</v>
      </c>
      <c r="EW124" s="23"/>
      <c r="EX124" s="12">
        <v>123</v>
      </c>
      <c r="EY124" s="19" cm="1">
        <f t="array" ref="EY124:FC124">VLOOKUP(_xlfn.SINGLE(B:B),'[1]Price List'!$B:$N,{8,4,5,6,7},0)</f>
        <v>387.54</v>
      </c>
      <c r="EZ124" s="9" t="str">
        <v>Speck iPhone 16 Pro Presidio2 Grip +Cl Coastal Blue/Dustgrey/White</v>
      </c>
      <c r="FA124" s="12" t="str">
        <v>Cases iPhone</v>
      </c>
      <c r="FB124" s="12" t="str">
        <v>iPhone 16</v>
      </c>
      <c r="FC124" s="12" t="str">
        <v>iPhone 16 Pro</v>
      </c>
      <c r="FD124" s="23" t="str">
        <f>_xlfn.XLOOKUP(B:B,'[1]Price List'!$B:$B,'[1]Price List'!$A:$A)</f>
        <v>Speck</v>
      </c>
    </row>
    <row r="125" spans="1:160" s="9" customFormat="1" x14ac:dyDescent="0.2">
      <c r="A125" s="23" t="s">
        <v>599</v>
      </c>
      <c r="B125" s="39">
        <v>840168540808</v>
      </c>
      <c r="C125" s="9" t="s">
        <v>535</v>
      </c>
      <c r="D125" s="9" t="s">
        <v>644</v>
      </c>
      <c r="E125" s="26" t="s">
        <v>435</v>
      </c>
      <c r="F125" s="26" t="s">
        <v>436</v>
      </c>
      <c r="G125" s="9" t="s">
        <v>688</v>
      </c>
      <c r="H125" s="10" t="s">
        <v>426</v>
      </c>
      <c r="I125" s="11">
        <v>999</v>
      </c>
      <c r="J125" s="11">
        <v>387.54310344827587</v>
      </c>
      <c r="K125" s="62">
        <v>0</v>
      </c>
      <c r="L125" s="12">
        <v>0</v>
      </c>
      <c r="M125" s="13" t="s">
        <v>467</v>
      </c>
      <c r="N125" s="13" t="s">
        <v>655</v>
      </c>
      <c r="O125" s="27"/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2">
        <v>0</v>
      </c>
      <c r="AD125" s="12">
        <v>0</v>
      </c>
      <c r="AE125" s="12">
        <v>0</v>
      </c>
      <c r="AF125" s="12">
        <v>0</v>
      </c>
      <c r="AG125" s="12">
        <v>0</v>
      </c>
      <c r="AH125" s="12">
        <v>0</v>
      </c>
      <c r="AI125" s="12">
        <v>0</v>
      </c>
      <c r="AJ125" s="12">
        <v>0</v>
      </c>
      <c r="AK125" s="12">
        <v>0</v>
      </c>
      <c r="AL125" s="12">
        <v>0</v>
      </c>
      <c r="AM125" s="12">
        <v>0</v>
      </c>
      <c r="AN125" s="12">
        <v>0</v>
      </c>
      <c r="AO125" s="12">
        <v>0</v>
      </c>
      <c r="AP125" s="12">
        <v>0</v>
      </c>
      <c r="AQ125" s="12">
        <v>0</v>
      </c>
      <c r="AR125" s="12">
        <v>0</v>
      </c>
      <c r="AS125" s="12">
        <v>0</v>
      </c>
      <c r="AT125" s="12">
        <v>0</v>
      </c>
      <c r="AU125" s="12">
        <v>0</v>
      </c>
      <c r="AV125" s="12">
        <v>0</v>
      </c>
      <c r="AW125" s="12">
        <v>0</v>
      </c>
      <c r="AX125" s="12">
        <v>0</v>
      </c>
      <c r="AY125" s="12">
        <v>0</v>
      </c>
      <c r="AZ125" s="12">
        <v>0</v>
      </c>
      <c r="BA125" s="12">
        <v>0</v>
      </c>
      <c r="BB125" s="12">
        <v>0</v>
      </c>
      <c r="BC125" s="12">
        <v>0</v>
      </c>
      <c r="BD125" s="12">
        <v>0</v>
      </c>
      <c r="BE125" s="12">
        <v>13</v>
      </c>
      <c r="BF125" s="12">
        <v>3</v>
      </c>
      <c r="BG125" s="12">
        <v>1</v>
      </c>
      <c r="BH125" s="12">
        <v>2</v>
      </c>
      <c r="BI125" s="12">
        <v>0</v>
      </c>
      <c r="BJ125" s="12">
        <v>3</v>
      </c>
      <c r="BK125" s="12">
        <v>5</v>
      </c>
      <c r="BL125" s="12">
        <v>0</v>
      </c>
      <c r="BM125" s="12">
        <v>2</v>
      </c>
      <c r="BN125" s="12">
        <v>2</v>
      </c>
      <c r="BO125" s="12">
        <v>4</v>
      </c>
      <c r="BP125" s="12">
        <v>2</v>
      </c>
      <c r="BQ125" s="12">
        <v>1</v>
      </c>
      <c r="BR125" s="12">
        <v>3</v>
      </c>
      <c r="BS125" s="12">
        <v>2</v>
      </c>
      <c r="BT125" s="12">
        <v>0</v>
      </c>
      <c r="BU125" s="12">
        <v>0</v>
      </c>
      <c r="BV125" s="12">
        <v>2</v>
      </c>
      <c r="BW125" s="12">
        <v>1</v>
      </c>
      <c r="BX125" s="12">
        <v>1</v>
      </c>
      <c r="BY125" s="12">
        <v>1</v>
      </c>
      <c r="BZ125" s="12">
        <v>0</v>
      </c>
      <c r="CA125" s="12">
        <v>2</v>
      </c>
      <c r="CB125" s="12">
        <v>4</v>
      </c>
      <c r="CC125" s="12">
        <v>0</v>
      </c>
      <c r="CD125" s="12">
        <v>0</v>
      </c>
      <c r="CE125" s="12">
        <v>1</v>
      </c>
      <c r="CF125" s="12">
        <v>2</v>
      </c>
      <c r="CG125" s="12">
        <v>0</v>
      </c>
      <c r="CH125" s="12">
        <v>1</v>
      </c>
      <c r="CI125" s="12">
        <v>1</v>
      </c>
      <c r="CJ125" s="12">
        <v>1</v>
      </c>
      <c r="CK125" s="12">
        <v>0</v>
      </c>
      <c r="CL125" s="12">
        <v>1</v>
      </c>
      <c r="CM125" s="12">
        <v>4</v>
      </c>
      <c r="CN125" s="12">
        <v>3</v>
      </c>
      <c r="CO125" s="12">
        <v>2</v>
      </c>
      <c r="CP125" s="12">
        <v>1</v>
      </c>
      <c r="CQ125" s="12">
        <v>3</v>
      </c>
      <c r="CR125" s="12">
        <v>3</v>
      </c>
      <c r="CS125" s="12">
        <v>2</v>
      </c>
      <c r="CT125" s="12">
        <v>1</v>
      </c>
      <c r="CU125" s="12">
        <v>1</v>
      </c>
      <c r="CV125" s="12">
        <v>1</v>
      </c>
      <c r="CW125" s="12">
        <v>0</v>
      </c>
      <c r="CX125" s="12">
        <v>5</v>
      </c>
      <c r="CY125" s="12">
        <v>2</v>
      </c>
      <c r="CZ125" s="12">
        <v>0</v>
      </c>
      <c r="DA125" s="12">
        <v>3</v>
      </c>
      <c r="DB125" s="12">
        <v>0</v>
      </c>
      <c r="DC125" s="12">
        <v>2</v>
      </c>
      <c r="DD125" s="12">
        <v>2</v>
      </c>
      <c r="DE125" s="12">
        <v>2</v>
      </c>
      <c r="DF125" s="12">
        <v>1</v>
      </c>
      <c r="DG125" s="12">
        <v>1</v>
      </c>
      <c r="DH125" s="12">
        <v>0</v>
      </c>
      <c r="DI125" s="12">
        <v>1</v>
      </c>
      <c r="DJ125" s="12">
        <v>2</v>
      </c>
      <c r="DK125" s="12">
        <v>0</v>
      </c>
      <c r="DL125" s="12">
        <v>1</v>
      </c>
      <c r="DM125" s="12">
        <v>2</v>
      </c>
      <c r="DN125" s="12">
        <v>3</v>
      </c>
      <c r="DO125" s="12">
        <v>1</v>
      </c>
      <c r="DP125" s="12">
        <v>2</v>
      </c>
      <c r="DQ125" s="12">
        <v>0</v>
      </c>
      <c r="DR125" s="12">
        <v>0</v>
      </c>
      <c r="DS125" s="12">
        <v>0</v>
      </c>
      <c r="DT125" s="12">
        <v>0</v>
      </c>
      <c r="DU125" s="12">
        <v>0</v>
      </c>
      <c r="DV125" s="12">
        <v>2</v>
      </c>
      <c r="DW125" s="12">
        <v>0</v>
      </c>
      <c r="DX125" s="12">
        <v>0</v>
      </c>
      <c r="DY125" s="12">
        <v>0</v>
      </c>
      <c r="DZ125" s="12">
        <v>0</v>
      </c>
      <c r="EA125" s="12">
        <v>2</v>
      </c>
      <c r="EB125" s="12">
        <v>1</v>
      </c>
      <c r="EC125" s="12">
        <v>1</v>
      </c>
      <c r="ED125" s="12">
        <v>0</v>
      </c>
      <c r="EE125" s="12">
        <v>3</v>
      </c>
      <c r="EF125" s="12">
        <v>0</v>
      </c>
      <c r="EG125" s="12">
        <v>1</v>
      </c>
      <c r="EH125" s="12">
        <v>0</v>
      </c>
      <c r="EI125" s="12">
        <v>1</v>
      </c>
      <c r="EJ125" s="12">
        <v>2</v>
      </c>
      <c r="EK125" s="12">
        <v>0</v>
      </c>
      <c r="EL125" s="12">
        <v>1</v>
      </c>
      <c r="EM125" s="12">
        <v>0</v>
      </c>
      <c r="EN125" s="12">
        <v>0</v>
      </c>
      <c r="EO125" s="12">
        <v>1</v>
      </c>
      <c r="EP125" s="12" t="str">
        <f t="shared" si="29"/>
        <v>🟢 Bien</v>
      </c>
      <c r="EQ125" s="23">
        <f t="shared" si="22"/>
        <v>0.66666666666666663</v>
      </c>
      <c r="ER125" s="19">
        <f t="shared" si="21"/>
        <v>6588.2327586206902</v>
      </c>
      <c r="ES125" s="12">
        <f t="shared" si="20"/>
        <v>17</v>
      </c>
      <c r="ET125" s="23">
        <f t="shared" si="27"/>
        <v>5.5</v>
      </c>
      <c r="EU125" s="23">
        <f t="shared" si="31"/>
        <v>5</v>
      </c>
      <c r="EV125" s="23">
        <f t="shared" si="23"/>
        <v>2.67</v>
      </c>
      <c r="EW125" s="23"/>
      <c r="EX125" s="12">
        <v>248</v>
      </c>
      <c r="EY125" s="19" cm="1">
        <f t="array" ref="EY125:FC125">VLOOKUP(_xlfn.SINGLE(B:B),'[1]Price List'!$B:$N,{8,4,5,6,7},0)</f>
        <v>387.54</v>
      </c>
      <c r="EZ125" s="9" t="str">
        <v>Speck iPhone 16 Pro Presidio2 Grip +Cl True Pink/Shocking Pink/White</v>
      </c>
      <c r="FA125" s="12" t="str">
        <v>Cases iPhone</v>
      </c>
      <c r="FB125" s="12" t="str">
        <v>iPhone 16</v>
      </c>
      <c r="FC125" s="12" t="str">
        <v>iPhone 16 Pro / iPhone 17</v>
      </c>
      <c r="FD125" s="23" t="str">
        <f>_xlfn.XLOOKUP(B:B,'[1]Price List'!$B:$B,'[1]Price List'!$A:$A)</f>
        <v>Speck</v>
      </c>
    </row>
    <row r="126" spans="1:160" s="9" customFormat="1" x14ac:dyDescent="0.2">
      <c r="A126" s="23" t="s">
        <v>599</v>
      </c>
      <c r="B126" s="23">
        <v>840168544561</v>
      </c>
      <c r="C126" s="9" t="s">
        <v>536</v>
      </c>
      <c r="D126" s="9" t="s">
        <v>644</v>
      </c>
      <c r="E126" s="26" t="s">
        <v>435</v>
      </c>
      <c r="F126" s="26" t="s">
        <v>437</v>
      </c>
      <c r="G126" s="9" t="s">
        <v>437</v>
      </c>
      <c r="H126" s="10" t="s">
        <v>427</v>
      </c>
      <c r="I126" s="11">
        <v>999</v>
      </c>
      <c r="J126" s="11">
        <v>387.54310344827587</v>
      </c>
      <c r="K126" s="62">
        <v>0</v>
      </c>
      <c r="L126" s="12">
        <v>0</v>
      </c>
      <c r="M126" s="13" t="s">
        <v>467</v>
      </c>
      <c r="N126" s="13" t="s">
        <v>475</v>
      </c>
      <c r="O126" s="27"/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0</v>
      </c>
      <c r="W126" s="12">
        <v>0</v>
      </c>
      <c r="X126" s="12">
        <v>0</v>
      </c>
      <c r="Y126" s="12">
        <v>0</v>
      </c>
      <c r="Z126" s="12">
        <v>0</v>
      </c>
      <c r="AA126" s="12">
        <v>0</v>
      </c>
      <c r="AB126" s="12">
        <v>0</v>
      </c>
      <c r="AC126" s="12">
        <v>0</v>
      </c>
      <c r="AD126" s="12">
        <v>0</v>
      </c>
      <c r="AE126" s="12">
        <v>0</v>
      </c>
      <c r="AF126" s="12">
        <v>0</v>
      </c>
      <c r="AG126" s="12">
        <v>0</v>
      </c>
      <c r="AH126" s="12">
        <v>0</v>
      </c>
      <c r="AI126" s="12">
        <v>0</v>
      </c>
      <c r="AJ126" s="12">
        <v>0</v>
      </c>
      <c r="AK126" s="12">
        <v>0</v>
      </c>
      <c r="AL126" s="12">
        <v>0</v>
      </c>
      <c r="AM126" s="12">
        <v>0</v>
      </c>
      <c r="AN126" s="12">
        <v>0</v>
      </c>
      <c r="AO126" s="12">
        <v>0</v>
      </c>
      <c r="AP126" s="12">
        <v>0</v>
      </c>
      <c r="AQ126" s="12">
        <v>0</v>
      </c>
      <c r="AR126" s="12">
        <v>0</v>
      </c>
      <c r="AS126" s="12">
        <v>0</v>
      </c>
      <c r="AT126" s="12">
        <v>0</v>
      </c>
      <c r="AU126" s="12">
        <v>0</v>
      </c>
      <c r="AV126" s="12">
        <v>0</v>
      </c>
      <c r="AW126" s="12">
        <v>0</v>
      </c>
      <c r="AX126" s="12">
        <v>0</v>
      </c>
      <c r="AY126" s="12">
        <v>0</v>
      </c>
      <c r="AZ126" s="12">
        <v>0</v>
      </c>
      <c r="BA126" s="12">
        <v>0</v>
      </c>
      <c r="BB126" s="12">
        <v>0</v>
      </c>
      <c r="BC126" s="12">
        <v>0</v>
      </c>
      <c r="BD126" s="12">
        <v>0</v>
      </c>
      <c r="BE126" s="12">
        <v>117</v>
      </c>
      <c r="BF126" s="12">
        <v>65</v>
      </c>
      <c r="BG126" s="12">
        <v>48</v>
      </c>
      <c r="BH126" s="12">
        <v>34</v>
      </c>
      <c r="BI126" s="12">
        <v>44</v>
      </c>
      <c r="BJ126" s="12">
        <v>81</v>
      </c>
      <c r="BK126" s="12">
        <v>57</v>
      </c>
      <c r="BL126" s="12">
        <v>42</v>
      </c>
      <c r="BM126" s="12">
        <v>31</v>
      </c>
      <c r="BN126" s="12">
        <v>35</v>
      </c>
      <c r="BO126" s="12">
        <v>41</v>
      </c>
      <c r="BP126" s="12">
        <v>81</v>
      </c>
      <c r="BQ126" s="12">
        <v>43</v>
      </c>
      <c r="BR126" s="12">
        <v>28</v>
      </c>
      <c r="BS126" s="12">
        <v>30</v>
      </c>
      <c r="BT126" s="12">
        <v>28</v>
      </c>
      <c r="BU126" s="12">
        <v>25</v>
      </c>
      <c r="BV126" s="12">
        <v>17</v>
      </c>
      <c r="BW126" s="12">
        <v>31</v>
      </c>
      <c r="BX126" s="12">
        <v>21</v>
      </c>
      <c r="BY126" s="12">
        <v>25</v>
      </c>
      <c r="BZ126" s="12">
        <v>24</v>
      </c>
      <c r="CA126" s="12">
        <v>21</v>
      </c>
      <c r="CB126" s="12">
        <v>29</v>
      </c>
      <c r="CC126" s="12">
        <v>19</v>
      </c>
      <c r="CD126" s="12">
        <v>28</v>
      </c>
      <c r="CE126" s="12">
        <v>34</v>
      </c>
      <c r="CF126" s="12">
        <v>25</v>
      </c>
      <c r="CG126" s="12">
        <v>24</v>
      </c>
      <c r="CH126" s="12">
        <v>24</v>
      </c>
      <c r="CI126" s="12">
        <v>23</v>
      </c>
      <c r="CJ126" s="12">
        <v>28</v>
      </c>
      <c r="CK126" s="12">
        <v>34</v>
      </c>
      <c r="CL126" s="12">
        <v>30</v>
      </c>
      <c r="CM126" s="12">
        <v>28</v>
      </c>
      <c r="CN126" s="12">
        <v>31</v>
      </c>
      <c r="CO126" s="12">
        <v>19</v>
      </c>
      <c r="CP126" s="12">
        <v>24</v>
      </c>
      <c r="CQ126" s="12">
        <v>26</v>
      </c>
      <c r="CR126" s="12">
        <v>28</v>
      </c>
      <c r="CS126" s="12">
        <v>35</v>
      </c>
      <c r="CT126" s="12">
        <v>31</v>
      </c>
      <c r="CU126" s="12">
        <v>29</v>
      </c>
      <c r="CV126" s="12">
        <v>17</v>
      </c>
      <c r="CW126" s="12">
        <v>15</v>
      </c>
      <c r="CX126" s="12">
        <v>18</v>
      </c>
      <c r="CY126" s="12">
        <v>15</v>
      </c>
      <c r="CZ126" s="12">
        <v>11</v>
      </c>
      <c r="DA126" s="12">
        <v>8</v>
      </c>
      <c r="DB126" s="12">
        <v>17</v>
      </c>
      <c r="DC126" s="12">
        <v>8</v>
      </c>
      <c r="DD126" s="12">
        <v>4</v>
      </c>
      <c r="DE126" s="12">
        <v>10</v>
      </c>
      <c r="DF126" s="12">
        <v>5</v>
      </c>
      <c r="DG126" s="12">
        <v>2</v>
      </c>
      <c r="DH126" s="12">
        <v>5</v>
      </c>
      <c r="DI126" s="12">
        <v>5</v>
      </c>
      <c r="DJ126" s="12">
        <v>3</v>
      </c>
      <c r="DK126" s="12">
        <v>2</v>
      </c>
      <c r="DL126" s="12">
        <v>1</v>
      </c>
      <c r="DM126" s="12">
        <v>1</v>
      </c>
      <c r="DN126" s="12">
        <v>3</v>
      </c>
      <c r="DO126" s="12">
        <v>3</v>
      </c>
      <c r="DP126" s="12">
        <v>2</v>
      </c>
      <c r="DQ126" s="12">
        <v>1</v>
      </c>
      <c r="DR126" s="12">
        <v>0</v>
      </c>
      <c r="DS126" s="12">
        <v>1</v>
      </c>
      <c r="DT126" s="12">
        <v>2</v>
      </c>
      <c r="DU126" s="12">
        <v>0</v>
      </c>
      <c r="DV126" s="12">
        <v>1</v>
      </c>
      <c r="DW126" s="12">
        <v>3</v>
      </c>
      <c r="DX126" s="12">
        <v>2</v>
      </c>
      <c r="DY126" s="12">
        <v>0</v>
      </c>
      <c r="DZ126" s="12">
        <v>0</v>
      </c>
      <c r="EA126" s="12">
        <v>4</v>
      </c>
      <c r="EB126" s="12">
        <v>0</v>
      </c>
      <c r="EC126" s="12">
        <v>0</v>
      </c>
      <c r="ED126" s="12">
        <v>0</v>
      </c>
      <c r="EE126" s="12">
        <v>0</v>
      </c>
      <c r="EF126" s="12">
        <v>0</v>
      </c>
      <c r="EG126" s="12">
        <v>1</v>
      </c>
      <c r="EH126" s="12">
        <v>0</v>
      </c>
      <c r="EI126" s="12">
        <v>0</v>
      </c>
      <c r="EJ126" s="12">
        <v>0</v>
      </c>
      <c r="EK126" s="12">
        <v>0</v>
      </c>
      <c r="EL126" s="12">
        <v>0</v>
      </c>
      <c r="EM126" s="12">
        <v>0</v>
      </c>
      <c r="EN126" s="12">
        <v>0</v>
      </c>
      <c r="EO126" s="12">
        <v>0</v>
      </c>
      <c r="EP126" s="12" t="str">
        <f t="shared" si="29"/>
        <v>🔴 Sin venta</v>
      </c>
      <c r="EQ126" s="23">
        <f t="shared" si="22"/>
        <v>0.70833333333333337</v>
      </c>
      <c r="ER126" s="19">
        <f t="shared" si="21"/>
        <v>6588.2327586206902</v>
      </c>
      <c r="ES126" s="12">
        <f t="shared" si="20"/>
        <v>17</v>
      </c>
      <c r="ET126" s="23">
        <f t="shared" si="27"/>
        <v>32.5</v>
      </c>
      <c r="EU126" s="23">
        <f t="shared" si="31"/>
        <v>11.5</v>
      </c>
      <c r="EV126" s="23">
        <f t="shared" si="23"/>
        <v>3.78</v>
      </c>
      <c r="EW126" s="23"/>
      <c r="EX126" s="12">
        <v>7</v>
      </c>
      <c r="EY126" s="19" cm="1">
        <f t="array" ref="EY126:FC126">VLOOKUP(_xlfn.SINGLE(B:B),'[1]Price List'!$B:$N,{8,4,5,6,7},0)</f>
        <v>387.54</v>
      </c>
      <c r="EZ126" s="9" t="str">
        <v>Speck iPhone 16 Pro Max Presidio Perfect Clear +Cl Clear/Clear/Chrome Finish/Serene Silver</v>
      </c>
      <c r="FA126" s="12" t="str">
        <v>Cases iPhone</v>
      </c>
      <c r="FB126" s="12" t="str">
        <v>iPhone 16</v>
      </c>
      <c r="FC126" s="12" t="str">
        <v>iPhone 16 Pro Max</v>
      </c>
      <c r="FD126" s="23" t="str">
        <f>_xlfn.XLOOKUP(B:B,'[1]Price List'!$B:$B,'[1]Price List'!$A:$A)</f>
        <v>Speck</v>
      </c>
    </row>
    <row r="127" spans="1:160" s="9" customFormat="1" x14ac:dyDescent="0.2">
      <c r="A127" s="23" t="s">
        <v>599</v>
      </c>
      <c r="B127" s="23">
        <v>840168541584</v>
      </c>
      <c r="C127" s="9" t="s">
        <v>537</v>
      </c>
      <c r="D127" s="9" t="s">
        <v>644</v>
      </c>
      <c r="E127" s="26" t="s">
        <v>435</v>
      </c>
      <c r="F127" s="26" t="s">
        <v>437</v>
      </c>
      <c r="G127" s="9" t="s">
        <v>437</v>
      </c>
      <c r="H127" s="10" t="s">
        <v>428</v>
      </c>
      <c r="I127" s="11">
        <v>999</v>
      </c>
      <c r="J127" s="11">
        <v>387.54310344827587</v>
      </c>
      <c r="K127" s="62">
        <v>0</v>
      </c>
      <c r="L127" s="12">
        <v>0</v>
      </c>
      <c r="M127" s="13" t="s">
        <v>467</v>
      </c>
      <c r="N127" s="13" t="s">
        <v>475</v>
      </c>
      <c r="O127" s="27"/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  <c r="X127" s="12">
        <v>0</v>
      </c>
      <c r="Y127" s="12">
        <v>0</v>
      </c>
      <c r="Z127" s="12">
        <v>0</v>
      </c>
      <c r="AA127" s="12">
        <v>0</v>
      </c>
      <c r="AB127" s="12">
        <v>0</v>
      </c>
      <c r="AC127" s="12">
        <v>0</v>
      </c>
      <c r="AD127" s="12">
        <v>0</v>
      </c>
      <c r="AE127" s="12">
        <v>0</v>
      </c>
      <c r="AF127" s="12">
        <v>0</v>
      </c>
      <c r="AG127" s="12">
        <v>0</v>
      </c>
      <c r="AH127" s="12">
        <v>0</v>
      </c>
      <c r="AI127" s="12">
        <v>0</v>
      </c>
      <c r="AJ127" s="12">
        <v>0</v>
      </c>
      <c r="AK127" s="12">
        <v>0</v>
      </c>
      <c r="AL127" s="12">
        <v>0</v>
      </c>
      <c r="AM127" s="12">
        <v>0</v>
      </c>
      <c r="AN127" s="12">
        <v>0</v>
      </c>
      <c r="AO127" s="12">
        <v>0</v>
      </c>
      <c r="AP127" s="12">
        <v>0</v>
      </c>
      <c r="AQ127" s="12">
        <v>0</v>
      </c>
      <c r="AR127" s="12">
        <v>0</v>
      </c>
      <c r="AS127" s="12">
        <v>0</v>
      </c>
      <c r="AT127" s="12">
        <v>0</v>
      </c>
      <c r="AU127" s="12">
        <v>0</v>
      </c>
      <c r="AV127" s="12">
        <v>0</v>
      </c>
      <c r="AW127" s="12">
        <v>0</v>
      </c>
      <c r="AX127" s="12">
        <v>0</v>
      </c>
      <c r="AY127" s="12">
        <v>0</v>
      </c>
      <c r="AZ127" s="12">
        <v>0</v>
      </c>
      <c r="BA127" s="12">
        <v>0</v>
      </c>
      <c r="BB127" s="12">
        <v>0</v>
      </c>
      <c r="BC127" s="12">
        <v>0</v>
      </c>
      <c r="BD127" s="12">
        <v>0</v>
      </c>
      <c r="BE127" s="12">
        <v>63</v>
      </c>
      <c r="BF127" s="12">
        <v>46</v>
      </c>
      <c r="BG127" s="12">
        <v>41</v>
      </c>
      <c r="BH127" s="12">
        <v>38</v>
      </c>
      <c r="BI127" s="12">
        <v>36</v>
      </c>
      <c r="BJ127" s="12">
        <v>60</v>
      </c>
      <c r="BK127" s="12">
        <v>47</v>
      </c>
      <c r="BL127" s="12">
        <v>32</v>
      </c>
      <c r="BM127" s="12">
        <v>27</v>
      </c>
      <c r="BN127" s="12">
        <v>33</v>
      </c>
      <c r="BO127" s="12">
        <v>34</v>
      </c>
      <c r="BP127" s="12">
        <v>50</v>
      </c>
      <c r="BQ127" s="12">
        <v>43</v>
      </c>
      <c r="BR127" s="12">
        <v>34</v>
      </c>
      <c r="BS127" s="12">
        <v>26</v>
      </c>
      <c r="BT127" s="12">
        <v>22</v>
      </c>
      <c r="BU127" s="12">
        <v>15</v>
      </c>
      <c r="BV127" s="12">
        <v>15</v>
      </c>
      <c r="BW127" s="12">
        <v>18</v>
      </c>
      <c r="BX127" s="12">
        <v>17</v>
      </c>
      <c r="BY127" s="12">
        <v>15</v>
      </c>
      <c r="BZ127" s="12">
        <v>16</v>
      </c>
      <c r="CA127" s="12">
        <v>17</v>
      </c>
      <c r="CB127" s="12">
        <v>17</v>
      </c>
      <c r="CC127" s="12">
        <v>13</v>
      </c>
      <c r="CD127" s="12">
        <v>17</v>
      </c>
      <c r="CE127" s="12">
        <v>14</v>
      </c>
      <c r="CF127" s="12">
        <v>14</v>
      </c>
      <c r="CG127" s="12">
        <v>16</v>
      </c>
      <c r="CH127" s="12">
        <v>18</v>
      </c>
      <c r="CI127" s="12">
        <v>23</v>
      </c>
      <c r="CJ127" s="12">
        <v>17</v>
      </c>
      <c r="CK127" s="12">
        <v>13</v>
      </c>
      <c r="CL127" s="12">
        <v>15</v>
      </c>
      <c r="CM127" s="12">
        <v>21</v>
      </c>
      <c r="CN127" s="12">
        <v>20</v>
      </c>
      <c r="CO127" s="12">
        <v>23</v>
      </c>
      <c r="CP127" s="12">
        <v>16</v>
      </c>
      <c r="CQ127" s="12">
        <v>22</v>
      </c>
      <c r="CR127" s="12">
        <v>22</v>
      </c>
      <c r="CS127" s="12">
        <v>16</v>
      </c>
      <c r="CT127" s="12">
        <v>34</v>
      </c>
      <c r="CU127" s="12">
        <v>16</v>
      </c>
      <c r="CV127" s="12">
        <v>20</v>
      </c>
      <c r="CW127" s="12">
        <v>10</v>
      </c>
      <c r="CX127" s="12">
        <v>11</v>
      </c>
      <c r="CY127" s="12">
        <v>12</v>
      </c>
      <c r="CZ127" s="12">
        <v>7</v>
      </c>
      <c r="DA127" s="12">
        <v>11</v>
      </c>
      <c r="DB127" s="12">
        <v>8</v>
      </c>
      <c r="DC127" s="12">
        <v>15</v>
      </c>
      <c r="DD127" s="12">
        <v>10</v>
      </c>
      <c r="DE127" s="12">
        <v>3</v>
      </c>
      <c r="DF127" s="12">
        <v>5</v>
      </c>
      <c r="DG127" s="12">
        <v>1</v>
      </c>
      <c r="DH127" s="12">
        <v>3</v>
      </c>
      <c r="DI127" s="12">
        <v>4</v>
      </c>
      <c r="DJ127" s="12">
        <v>1</v>
      </c>
      <c r="DK127" s="12">
        <v>1</v>
      </c>
      <c r="DL127" s="12">
        <v>2</v>
      </c>
      <c r="DM127" s="12">
        <v>1</v>
      </c>
      <c r="DN127" s="12">
        <v>4</v>
      </c>
      <c r="DO127" s="12">
        <v>3</v>
      </c>
      <c r="DP127" s="12">
        <v>2</v>
      </c>
      <c r="DQ127" s="12">
        <v>0</v>
      </c>
      <c r="DR127" s="12">
        <v>4</v>
      </c>
      <c r="DS127" s="12">
        <v>2</v>
      </c>
      <c r="DT127" s="12">
        <v>3</v>
      </c>
      <c r="DU127" s="12">
        <v>1</v>
      </c>
      <c r="DV127" s="12">
        <v>3</v>
      </c>
      <c r="DW127" s="12">
        <v>2</v>
      </c>
      <c r="DX127" s="12">
        <v>3</v>
      </c>
      <c r="DY127" s="12">
        <v>3</v>
      </c>
      <c r="DZ127" s="12">
        <v>0</v>
      </c>
      <c r="EA127" s="12">
        <v>1</v>
      </c>
      <c r="EB127" s="12">
        <v>0</v>
      </c>
      <c r="EC127" s="12">
        <v>0</v>
      </c>
      <c r="ED127" s="12">
        <v>1</v>
      </c>
      <c r="EE127" s="12">
        <v>0</v>
      </c>
      <c r="EF127" s="12">
        <v>0</v>
      </c>
      <c r="EG127" s="12">
        <v>1</v>
      </c>
      <c r="EH127" s="12">
        <v>0</v>
      </c>
      <c r="EI127" s="12">
        <v>0</v>
      </c>
      <c r="EJ127" s="12">
        <v>0</v>
      </c>
      <c r="EK127" s="12">
        <v>0</v>
      </c>
      <c r="EL127" s="12">
        <v>1</v>
      </c>
      <c r="EM127" s="12">
        <v>1</v>
      </c>
      <c r="EN127" s="12">
        <v>0</v>
      </c>
      <c r="EO127" s="12">
        <v>1</v>
      </c>
      <c r="EP127" s="12" t="str">
        <f t="shared" si="29"/>
        <v>🟢 Bien</v>
      </c>
      <c r="EQ127" s="23">
        <f t="shared" si="22"/>
        <v>1.1666666666666667</v>
      </c>
      <c r="ER127" s="19">
        <f t="shared" si="21"/>
        <v>11238.75</v>
      </c>
      <c r="ES127" s="12">
        <f t="shared" si="20"/>
        <v>29</v>
      </c>
      <c r="ET127" s="23">
        <f t="shared" si="27"/>
        <v>30</v>
      </c>
      <c r="EU127" s="23">
        <f t="shared" si="31"/>
        <v>9.5</v>
      </c>
      <c r="EV127" s="23">
        <f t="shared" si="23"/>
        <v>5.78</v>
      </c>
      <c r="EW127" s="23"/>
      <c r="EX127" s="12">
        <v>10</v>
      </c>
      <c r="EY127" s="19" cm="1">
        <f t="array" ref="EY127:FC127">VLOOKUP(_xlfn.SINGLE(B:B),'[1]Price List'!$B:$N,{8,4,5,6,7},0)</f>
        <v>387.54</v>
      </c>
      <c r="EZ127" s="9" t="str">
        <v>Speck iPhone 16 Pro Max Presidio2 Grip +Cl Black / Slate Grey</v>
      </c>
      <c r="FA127" s="12" t="str">
        <v>Cases iPhone</v>
      </c>
      <c r="FB127" s="12" t="str">
        <v>iPhone 16</v>
      </c>
      <c r="FC127" s="12" t="str">
        <v>iPhone 16 Pro Max</v>
      </c>
      <c r="FD127" s="23" t="str">
        <f>_xlfn.XLOOKUP(B:B,'[1]Price List'!$B:$B,'[1]Price List'!$A:$A)</f>
        <v>Speck</v>
      </c>
    </row>
    <row r="128" spans="1:160" s="9" customFormat="1" x14ac:dyDescent="0.2">
      <c r="A128" s="23" t="s">
        <v>599</v>
      </c>
      <c r="B128" s="23">
        <v>840168541591</v>
      </c>
      <c r="C128" s="9" t="s">
        <v>538</v>
      </c>
      <c r="D128" s="9" t="s">
        <v>644</v>
      </c>
      <c r="E128" s="26" t="s">
        <v>435</v>
      </c>
      <c r="F128" s="26" t="s">
        <v>437</v>
      </c>
      <c r="G128" s="9" t="s">
        <v>437</v>
      </c>
      <c r="H128" s="10" t="s">
        <v>429</v>
      </c>
      <c r="I128" s="11">
        <v>999</v>
      </c>
      <c r="J128" s="11">
        <v>387.54310344827587</v>
      </c>
      <c r="K128" s="62">
        <v>0</v>
      </c>
      <c r="L128" s="12">
        <v>0</v>
      </c>
      <c r="M128" s="13" t="s">
        <v>467</v>
      </c>
      <c r="N128" s="13" t="s">
        <v>475</v>
      </c>
      <c r="O128" s="27"/>
      <c r="P128" s="12">
        <v>0</v>
      </c>
      <c r="Q128" s="12">
        <v>0</v>
      </c>
      <c r="R128" s="12">
        <v>0</v>
      </c>
      <c r="S128" s="12">
        <v>0</v>
      </c>
      <c r="T128" s="12">
        <v>0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2">
        <v>0</v>
      </c>
      <c r="AD128" s="12">
        <v>0</v>
      </c>
      <c r="AE128" s="12">
        <v>0</v>
      </c>
      <c r="AF128" s="12">
        <v>0</v>
      </c>
      <c r="AG128" s="12">
        <v>0</v>
      </c>
      <c r="AH128" s="12">
        <v>0</v>
      </c>
      <c r="AI128" s="12">
        <v>0</v>
      </c>
      <c r="AJ128" s="12">
        <v>0</v>
      </c>
      <c r="AK128" s="12">
        <v>0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2">
        <v>0</v>
      </c>
      <c r="AW128" s="12">
        <v>0</v>
      </c>
      <c r="AX128" s="12">
        <v>0</v>
      </c>
      <c r="AY128" s="12">
        <v>0</v>
      </c>
      <c r="AZ128" s="12">
        <v>0</v>
      </c>
      <c r="BA128" s="12">
        <v>0</v>
      </c>
      <c r="BB128" s="12">
        <v>0</v>
      </c>
      <c r="BC128" s="12">
        <v>0</v>
      </c>
      <c r="BD128" s="12">
        <v>0</v>
      </c>
      <c r="BE128" s="12">
        <v>16</v>
      </c>
      <c r="BF128" s="12">
        <v>8</v>
      </c>
      <c r="BG128" s="12">
        <v>25</v>
      </c>
      <c r="BH128" s="12">
        <v>16</v>
      </c>
      <c r="BI128" s="12">
        <v>13</v>
      </c>
      <c r="BJ128" s="12">
        <v>17</v>
      </c>
      <c r="BK128" s="12">
        <v>15</v>
      </c>
      <c r="BL128" s="12">
        <v>15</v>
      </c>
      <c r="BM128" s="12">
        <v>14</v>
      </c>
      <c r="BN128" s="12">
        <v>21</v>
      </c>
      <c r="BO128" s="12">
        <v>22</v>
      </c>
      <c r="BP128" s="12">
        <v>12</v>
      </c>
      <c r="BQ128" s="12">
        <v>5</v>
      </c>
      <c r="BR128" s="12">
        <v>10</v>
      </c>
      <c r="BS128" s="12">
        <v>9</v>
      </c>
      <c r="BT128" s="12">
        <v>6</v>
      </c>
      <c r="BU128" s="12">
        <v>7</v>
      </c>
      <c r="BV128" s="12">
        <v>1</v>
      </c>
      <c r="BW128" s="12">
        <v>10</v>
      </c>
      <c r="BX128" s="12">
        <v>3</v>
      </c>
      <c r="BY128" s="12">
        <v>6</v>
      </c>
      <c r="BZ128" s="12">
        <v>2</v>
      </c>
      <c r="CA128" s="12">
        <v>5</v>
      </c>
      <c r="CB128" s="12">
        <v>7</v>
      </c>
      <c r="CC128" s="12">
        <v>4</v>
      </c>
      <c r="CD128" s="12">
        <v>7</v>
      </c>
      <c r="CE128" s="12">
        <v>5</v>
      </c>
      <c r="CF128" s="12">
        <v>5</v>
      </c>
      <c r="CG128" s="12">
        <v>8</v>
      </c>
      <c r="CH128" s="12">
        <v>6</v>
      </c>
      <c r="CI128" s="12">
        <v>5</v>
      </c>
      <c r="CJ128" s="12">
        <v>5</v>
      </c>
      <c r="CK128" s="12">
        <v>4</v>
      </c>
      <c r="CL128" s="12">
        <v>3</v>
      </c>
      <c r="CM128" s="12">
        <v>6</v>
      </c>
      <c r="CN128" s="12">
        <v>7</v>
      </c>
      <c r="CO128" s="12">
        <v>3</v>
      </c>
      <c r="CP128" s="12">
        <v>6</v>
      </c>
      <c r="CQ128" s="12">
        <v>4</v>
      </c>
      <c r="CR128" s="12">
        <v>3</v>
      </c>
      <c r="CS128" s="12">
        <v>3</v>
      </c>
      <c r="CT128" s="12">
        <v>5</v>
      </c>
      <c r="CU128" s="12">
        <v>5</v>
      </c>
      <c r="CV128" s="12">
        <v>4</v>
      </c>
      <c r="CW128" s="12">
        <v>6</v>
      </c>
      <c r="CX128" s="12">
        <v>3</v>
      </c>
      <c r="CY128" s="12">
        <v>2</v>
      </c>
      <c r="CZ128" s="12">
        <v>7</v>
      </c>
      <c r="DA128" s="12">
        <v>4</v>
      </c>
      <c r="DB128" s="12">
        <v>5</v>
      </c>
      <c r="DC128" s="12">
        <v>9</v>
      </c>
      <c r="DD128" s="12">
        <v>4</v>
      </c>
      <c r="DE128" s="12">
        <v>4</v>
      </c>
      <c r="DF128" s="12">
        <v>2</v>
      </c>
      <c r="DG128" s="12">
        <v>3</v>
      </c>
      <c r="DH128" s="12">
        <v>5</v>
      </c>
      <c r="DI128" s="12">
        <v>4</v>
      </c>
      <c r="DJ128" s="12">
        <v>5</v>
      </c>
      <c r="DK128" s="12">
        <v>3</v>
      </c>
      <c r="DL128" s="12">
        <v>3</v>
      </c>
      <c r="DM128" s="12">
        <v>3</v>
      </c>
      <c r="DN128" s="12">
        <v>4</v>
      </c>
      <c r="DO128" s="12">
        <v>2</v>
      </c>
      <c r="DP128" s="12">
        <v>4</v>
      </c>
      <c r="DQ128" s="12">
        <v>5</v>
      </c>
      <c r="DR128" s="12">
        <v>2</v>
      </c>
      <c r="DS128" s="12">
        <v>1</v>
      </c>
      <c r="DT128" s="12">
        <v>2</v>
      </c>
      <c r="DU128" s="12">
        <v>0</v>
      </c>
      <c r="DV128" s="12">
        <v>1</v>
      </c>
      <c r="DW128" s="12">
        <v>1</v>
      </c>
      <c r="DX128" s="12">
        <v>2</v>
      </c>
      <c r="DY128" s="12">
        <v>2</v>
      </c>
      <c r="DZ128" s="12">
        <v>2</v>
      </c>
      <c r="EA128" s="12">
        <v>2</v>
      </c>
      <c r="EB128" s="12">
        <v>1</v>
      </c>
      <c r="EC128" s="12">
        <v>1</v>
      </c>
      <c r="ED128" s="12">
        <v>1</v>
      </c>
      <c r="EE128" s="12">
        <v>0</v>
      </c>
      <c r="EF128" s="12">
        <v>0</v>
      </c>
      <c r="EG128" s="12">
        <v>3</v>
      </c>
      <c r="EH128" s="12">
        <v>3</v>
      </c>
      <c r="EI128" s="12">
        <v>1</v>
      </c>
      <c r="EJ128" s="12">
        <v>1</v>
      </c>
      <c r="EK128" s="12">
        <v>0</v>
      </c>
      <c r="EL128" s="12">
        <v>0</v>
      </c>
      <c r="EM128" s="12">
        <v>0</v>
      </c>
      <c r="EN128" s="12">
        <v>1</v>
      </c>
      <c r="EO128" s="12">
        <v>0</v>
      </c>
      <c r="EP128" s="12" t="str">
        <f t="shared" si="29"/>
        <v>🔴 Sin venta</v>
      </c>
      <c r="EQ128" s="23">
        <f t="shared" si="22"/>
        <v>1.4583333333333333</v>
      </c>
      <c r="ER128" s="19">
        <f t="shared" si="21"/>
        <v>13951.551724137931</v>
      </c>
      <c r="ES128" s="12">
        <f t="shared" si="20"/>
        <v>36</v>
      </c>
      <c r="ET128" s="23">
        <f t="shared" si="27"/>
        <v>19</v>
      </c>
      <c r="EU128" s="23">
        <f t="shared" si="31"/>
        <v>14.5</v>
      </c>
      <c r="EV128" s="23">
        <f t="shared" si="23"/>
        <v>6.67</v>
      </c>
      <c r="EW128" s="23"/>
      <c r="EX128" s="12">
        <v>21</v>
      </c>
      <c r="EY128" s="19" cm="1">
        <f t="array" ref="EY128:FC128">VLOOKUP(_xlfn.SINGLE(B:B),'[1]Price List'!$B:$N,{8,4,5,6,7},0)</f>
        <v>387.54</v>
      </c>
      <c r="EZ128" s="9" t="str">
        <v>Speck iPhone 16 Pro Max Presidio2 Grip +Cl Coastal Blue/Dustgrey/White</v>
      </c>
      <c r="FA128" s="12" t="str">
        <v>Cases iPhone</v>
      </c>
      <c r="FB128" s="12" t="str">
        <v>iPhone 16</v>
      </c>
      <c r="FC128" s="12" t="str">
        <v>iPhone 16 Pro Max</v>
      </c>
      <c r="FD128" s="23" t="str">
        <f>_xlfn.XLOOKUP(B:B,'[1]Price List'!$B:$B,'[1]Price List'!$A:$A)</f>
        <v>Speck</v>
      </c>
    </row>
    <row r="129" spans="1:160" s="9" customFormat="1" x14ac:dyDescent="0.2">
      <c r="A129" s="23" t="s">
        <v>599</v>
      </c>
      <c r="B129" s="23">
        <v>840168541621</v>
      </c>
      <c r="C129" s="9" t="s">
        <v>539</v>
      </c>
      <c r="D129" s="9" t="s">
        <v>644</v>
      </c>
      <c r="E129" s="26" t="s">
        <v>435</v>
      </c>
      <c r="F129" s="26" t="s">
        <v>437</v>
      </c>
      <c r="G129" s="9" t="s">
        <v>437</v>
      </c>
      <c r="H129" s="10" t="s">
        <v>430</v>
      </c>
      <c r="I129" s="11">
        <v>999</v>
      </c>
      <c r="J129" s="11">
        <v>387.54310344827587</v>
      </c>
      <c r="K129" s="62">
        <v>0</v>
      </c>
      <c r="L129" s="12">
        <v>0</v>
      </c>
      <c r="M129" s="13" t="s">
        <v>467</v>
      </c>
      <c r="N129" s="13" t="s">
        <v>475</v>
      </c>
      <c r="O129" s="27"/>
      <c r="P129" s="12">
        <v>0</v>
      </c>
      <c r="Q129" s="12">
        <v>0</v>
      </c>
      <c r="R129" s="12">
        <v>0</v>
      </c>
      <c r="S129" s="12">
        <v>0</v>
      </c>
      <c r="T129" s="12">
        <v>0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0</v>
      </c>
      <c r="AA129" s="12">
        <v>0</v>
      </c>
      <c r="AB129" s="12">
        <v>0</v>
      </c>
      <c r="AC129" s="12">
        <v>0</v>
      </c>
      <c r="AD129" s="12">
        <v>0</v>
      </c>
      <c r="AE129" s="12">
        <v>0</v>
      </c>
      <c r="AF129" s="12">
        <v>0</v>
      </c>
      <c r="AG129" s="12">
        <v>0</v>
      </c>
      <c r="AH129" s="12">
        <v>0</v>
      </c>
      <c r="AI129" s="12">
        <v>0</v>
      </c>
      <c r="AJ129" s="12">
        <v>0</v>
      </c>
      <c r="AK129" s="12">
        <v>0</v>
      </c>
      <c r="AL129" s="12">
        <v>0</v>
      </c>
      <c r="AM129" s="12">
        <v>0</v>
      </c>
      <c r="AN129" s="12">
        <v>0</v>
      </c>
      <c r="AO129" s="12">
        <v>0</v>
      </c>
      <c r="AP129" s="12">
        <v>0</v>
      </c>
      <c r="AQ129" s="12">
        <v>0</v>
      </c>
      <c r="AR129" s="12">
        <v>0</v>
      </c>
      <c r="AS129" s="12">
        <v>0</v>
      </c>
      <c r="AT129" s="12">
        <v>0</v>
      </c>
      <c r="AU129" s="12">
        <v>0</v>
      </c>
      <c r="AV129" s="12">
        <v>0</v>
      </c>
      <c r="AW129" s="12">
        <v>0</v>
      </c>
      <c r="AX129" s="12">
        <v>0</v>
      </c>
      <c r="AY129" s="12">
        <v>0</v>
      </c>
      <c r="AZ129" s="12">
        <v>0</v>
      </c>
      <c r="BA129" s="12">
        <v>0</v>
      </c>
      <c r="BB129" s="12">
        <v>0</v>
      </c>
      <c r="BC129" s="12">
        <v>0</v>
      </c>
      <c r="BD129" s="12">
        <v>0</v>
      </c>
      <c r="BE129" s="12">
        <v>18</v>
      </c>
      <c r="BF129" s="12">
        <v>8</v>
      </c>
      <c r="BG129" s="12">
        <v>8</v>
      </c>
      <c r="BH129" s="12">
        <v>10</v>
      </c>
      <c r="BI129" s="12">
        <v>8</v>
      </c>
      <c r="BJ129" s="12">
        <v>20</v>
      </c>
      <c r="BK129" s="12">
        <v>8</v>
      </c>
      <c r="BL129" s="12">
        <v>14</v>
      </c>
      <c r="BM129" s="12">
        <v>5</v>
      </c>
      <c r="BN129" s="12">
        <v>6</v>
      </c>
      <c r="BO129" s="12">
        <v>7</v>
      </c>
      <c r="BP129" s="12">
        <v>5</v>
      </c>
      <c r="BQ129" s="12">
        <v>7</v>
      </c>
      <c r="BR129" s="12">
        <v>8</v>
      </c>
      <c r="BS129" s="12">
        <v>4</v>
      </c>
      <c r="BT129" s="12">
        <v>7</v>
      </c>
      <c r="BU129" s="12">
        <v>4</v>
      </c>
      <c r="BV129" s="12">
        <v>2</v>
      </c>
      <c r="BW129" s="12">
        <v>7</v>
      </c>
      <c r="BX129" s="12">
        <v>4</v>
      </c>
      <c r="BY129" s="12">
        <v>4</v>
      </c>
      <c r="BZ129" s="12">
        <v>5</v>
      </c>
      <c r="CA129" s="12">
        <v>2</v>
      </c>
      <c r="CB129" s="12">
        <v>4</v>
      </c>
      <c r="CC129" s="12">
        <v>6</v>
      </c>
      <c r="CD129" s="12">
        <v>4</v>
      </c>
      <c r="CE129" s="12">
        <v>2</v>
      </c>
      <c r="CF129" s="12">
        <v>5</v>
      </c>
      <c r="CG129" s="12">
        <v>7</v>
      </c>
      <c r="CH129" s="12">
        <v>3</v>
      </c>
      <c r="CI129" s="12">
        <v>6</v>
      </c>
      <c r="CJ129" s="12">
        <v>6</v>
      </c>
      <c r="CK129" s="12">
        <v>4</v>
      </c>
      <c r="CL129" s="12">
        <v>4</v>
      </c>
      <c r="CM129" s="12">
        <v>7</v>
      </c>
      <c r="CN129" s="12">
        <v>5</v>
      </c>
      <c r="CO129" s="12">
        <v>2</v>
      </c>
      <c r="CP129" s="12">
        <v>5</v>
      </c>
      <c r="CQ129" s="12">
        <v>5</v>
      </c>
      <c r="CR129" s="12">
        <v>3</v>
      </c>
      <c r="CS129" s="12">
        <v>4</v>
      </c>
      <c r="CT129" s="12">
        <v>2</v>
      </c>
      <c r="CU129" s="12">
        <v>4</v>
      </c>
      <c r="CV129" s="12">
        <v>4</v>
      </c>
      <c r="CW129" s="12">
        <v>2</v>
      </c>
      <c r="CX129" s="12">
        <v>7</v>
      </c>
      <c r="CY129" s="12">
        <v>1</v>
      </c>
      <c r="CZ129" s="12">
        <v>8</v>
      </c>
      <c r="DA129" s="12">
        <v>4</v>
      </c>
      <c r="DB129" s="12">
        <v>3</v>
      </c>
      <c r="DC129" s="12">
        <v>5</v>
      </c>
      <c r="DD129" s="12">
        <v>2</v>
      </c>
      <c r="DE129" s="12">
        <v>7</v>
      </c>
      <c r="DF129" s="12">
        <v>2</v>
      </c>
      <c r="DG129" s="12">
        <v>1</v>
      </c>
      <c r="DH129" s="12">
        <v>1</v>
      </c>
      <c r="DI129" s="12">
        <v>2</v>
      </c>
      <c r="DJ129" s="12">
        <v>3</v>
      </c>
      <c r="DK129" s="12">
        <v>3</v>
      </c>
      <c r="DL129" s="12">
        <v>5</v>
      </c>
      <c r="DM129" s="12">
        <v>3</v>
      </c>
      <c r="DN129" s="12">
        <v>1</v>
      </c>
      <c r="DO129" s="12">
        <v>4</v>
      </c>
      <c r="DP129" s="12">
        <v>4</v>
      </c>
      <c r="DQ129" s="12">
        <v>0</v>
      </c>
      <c r="DR129" s="12">
        <v>2</v>
      </c>
      <c r="DS129" s="12">
        <v>1</v>
      </c>
      <c r="DT129" s="12">
        <v>1</v>
      </c>
      <c r="DU129" s="12">
        <v>1</v>
      </c>
      <c r="DV129" s="12">
        <v>3</v>
      </c>
      <c r="DW129" s="12">
        <v>2</v>
      </c>
      <c r="DX129" s="12">
        <v>1</v>
      </c>
      <c r="DY129" s="12">
        <v>0</v>
      </c>
      <c r="DZ129" s="12">
        <v>4</v>
      </c>
      <c r="EA129" s="12">
        <v>2</v>
      </c>
      <c r="EB129" s="12">
        <v>2</v>
      </c>
      <c r="EC129" s="12">
        <v>1</v>
      </c>
      <c r="ED129" s="12">
        <v>2</v>
      </c>
      <c r="EE129" s="12">
        <v>0</v>
      </c>
      <c r="EF129" s="12">
        <v>1</v>
      </c>
      <c r="EG129" s="12">
        <v>1</v>
      </c>
      <c r="EH129" s="12">
        <v>2</v>
      </c>
      <c r="EI129" s="12">
        <v>0</v>
      </c>
      <c r="EJ129" s="12">
        <v>1</v>
      </c>
      <c r="EK129" s="12">
        <v>1</v>
      </c>
      <c r="EL129" s="12">
        <v>1</v>
      </c>
      <c r="EM129" s="12">
        <v>0</v>
      </c>
      <c r="EN129" s="12">
        <v>1</v>
      </c>
      <c r="EO129" s="12">
        <v>1</v>
      </c>
      <c r="EP129" s="12" t="str">
        <f t="shared" si="29"/>
        <v>🟢 Bien</v>
      </c>
      <c r="EQ129" s="23">
        <f t="shared" si="22"/>
        <v>1.375</v>
      </c>
      <c r="ER129" s="19">
        <f t="shared" si="21"/>
        <v>13564.008620689656</v>
      </c>
      <c r="ES129" s="12">
        <f t="shared" si="20"/>
        <v>35</v>
      </c>
      <c r="ET129" s="23">
        <f t="shared" ref="ET129:ET146" si="32">ROUND((AVERAGE(CZ129:DG129)*4),2)</f>
        <v>16</v>
      </c>
      <c r="EU129" s="23">
        <f t="shared" si="31"/>
        <v>11</v>
      </c>
      <c r="EV129" s="23">
        <f t="shared" si="23"/>
        <v>6.22</v>
      </c>
      <c r="EW129" s="23"/>
      <c r="EX129" s="12">
        <v>72</v>
      </c>
      <c r="EY129" s="19" cm="1">
        <f t="array" ref="EY129:FC129">VLOOKUP(_xlfn.SINGLE(B:B),'[1]Price List'!$B:$N,{8,4,5,6,7},0)</f>
        <v>387.54</v>
      </c>
      <c r="EZ129" s="9" t="str">
        <v>Speck iPhone 16 Pro Max Presidio2 Grip +Cl True Pink/Shocking Pink/White</v>
      </c>
      <c r="FA129" s="12" t="str">
        <v>Cases iPhone</v>
      </c>
      <c r="FB129" s="12" t="str">
        <v>iPhone 16</v>
      </c>
      <c r="FC129" s="12" t="str">
        <v>iPhone 16 Pro Max</v>
      </c>
      <c r="FD129" s="23" t="str">
        <f>_xlfn.XLOOKUP(B:B,'[1]Price List'!$B:$B,'[1]Price List'!$A:$A)</f>
        <v>Speck</v>
      </c>
    </row>
    <row r="130" spans="1:160" s="9" customFormat="1" x14ac:dyDescent="0.2">
      <c r="A130" s="23" t="s">
        <v>599</v>
      </c>
      <c r="B130" s="23">
        <v>840168541478</v>
      </c>
      <c r="C130" s="9" t="s">
        <v>540</v>
      </c>
      <c r="D130" s="9" t="s">
        <v>644</v>
      </c>
      <c r="E130" s="26" t="s">
        <v>435</v>
      </c>
      <c r="F130" s="26" t="s">
        <v>438</v>
      </c>
      <c r="G130" s="9" t="s">
        <v>438</v>
      </c>
      <c r="H130" s="10" t="s">
        <v>431</v>
      </c>
      <c r="I130" s="11">
        <v>799</v>
      </c>
      <c r="J130" s="11">
        <v>309.95689655172413</v>
      </c>
      <c r="K130" s="62">
        <v>0</v>
      </c>
      <c r="L130" s="12">
        <v>0</v>
      </c>
      <c r="M130" s="13" t="s">
        <v>467</v>
      </c>
      <c r="N130" s="13" t="s">
        <v>475</v>
      </c>
      <c r="O130" s="27"/>
      <c r="P130" s="12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2">
        <v>0</v>
      </c>
      <c r="AD130" s="12">
        <v>0</v>
      </c>
      <c r="AE130" s="12">
        <v>0</v>
      </c>
      <c r="AF130" s="12">
        <v>0</v>
      </c>
      <c r="AG130" s="12">
        <v>0</v>
      </c>
      <c r="AH130" s="12">
        <v>0</v>
      </c>
      <c r="AI130" s="12">
        <v>0</v>
      </c>
      <c r="AJ130" s="12">
        <v>0</v>
      </c>
      <c r="AK130" s="12">
        <v>0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2">
        <v>0</v>
      </c>
      <c r="AW130" s="12">
        <v>0</v>
      </c>
      <c r="AX130" s="12">
        <v>0</v>
      </c>
      <c r="AY130" s="12">
        <v>0</v>
      </c>
      <c r="AZ130" s="12">
        <v>0</v>
      </c>
      <c r="BA130" s="12">
        <v>0</v>
      </c>
      <c r="BB130" s="12">
        <v>0</v>
      </c>
      <c r="BC130" s="12">
        <v>0</v>
      </c>
      <c r="BD130" s="12">
        <v>0</v>
      </c>
      <c r="BE130" s="12">
        <v>1</v>
      </c>
      <c r="BF130" s="12">
        <v>2</v>
      </c>
      <c r="BG130" s="12">
        <v>3</v>
      </c>
      <c r="BH130" s="12">
        <v>4</v>
      </c>
      <c r="BI130" s="12">
        <v>5</v>
      </c>
      <c r="BJ130" s="12">
        <v>6</v>
      </c>
      <c r="BK130" s="12">
        <v>2</v>
      </c>
      <c r="BL130" s="12">
        <v>6</v>
      </c>
      <c r="BM130" s="12">
        <v>4</v>
      </c>
      <c r="BN130" s="12">
        <v>3</v>
      </c>
      <c r="BO130" s="12">
        <v>7</v>
      </c>
      <c r="BP130" s="12">
        <v>8</v>
      </c>
      <c r="BQ130" s="12">
        <v>2</v>
      </c>
      <c r="BR130" s="12">
        <v>2</v>
      </c>
      <c r="BS130" s="12">
        <v>4</v>
      </c>
      <c r="BT130" s="12">
        <v>9</v>
      </c>
      <c r="BU130" s="12">
        <v>2</v>
      </c>
      <c r="BV130" s="12">
        <v>3</v>
      </c>
      <c r="BW130" s="12">
        <v>4</v>
      </c>
      <c r="BX130" s="12">
        <v>1</v>
      </c>
      <c r="BY130" s="12">
        <v>1</v>
      </c>
      <c r="BZ130" s="12">
        <v>1</v>
      </c>
      <c r="CA130" s="12">
        <v>3</v>
      </c>
      <c r="CB130" s="12">
        <v>1</v>
      </c>
      <c r="CC130" s="12">
        <v>5</v>
      </c>
      <c r="CD130" s="12">
        <v>3</v>
      </c>
      <c r="CE130" s="12">
        <v>1</v>
      </c>
      <c r="CF130" s="12">
        <v>2</v>
      </c>
      <c r="CG130" s="12">
        <v>-1</v>
      </c>
      <c r="CH130" s="12">
        <v>4</v>
      </c>
      <c r="CI130" s="12">
        <v>0</v>
      </c>
      <c r="CJ130" s="12">
        <v>4</v>
      </c>
      <c r="CK130" s="12">
        <v>1</v>
      </c>
      <c r="CL130" s="12">
        <v>2</v>
      </c>
      <c r="CM130" s="12">
        <v>2</v>
      </c>
      <c r="CN130" s="12">
        <v>1</v>
      </c>
      <c r="CO130" s="12">
        <v>0</v>
      </c>
      <c r="CP130" s="12">
        <v>0</v>
      </c>
      <c r="CQ130" s="12">
        <v>1</v>
      </c>
      <c r="CR130" s="12">
        <v>1</v>
      </c>
      <c r="CS130" s="12">
        <v>0</v>
      </c>
      <c r="CT130" s="12">
        <v>3</v>
      </c>
      <c r="CU130" s="12">
        <v>3</v>
      </c>
      <c r="CV130" s="12">
        <v>1</v>
      </c>
      <c r="CW130" s="12">
        <v>1</v>
      </c>
      <c r="CX130" s="12">
        <v>1</v>
      </c>
      <c r="CY130" s="12">
        <v>5</v>
      </c>
      <c r="CZ130" s="12">
        <v>2</v>
      </c>
      <c r="DA130" s="12">
        <v>1</v>
      </c>
      <c r="DB130" s="12">
        <v>3</v>
      </c>
      <c r="DC130" s="12">
        <v>1</v>
      </c>
      <c r="DD130" s="12">
        <v>5</v>
      </c>
      <c r="DE130" s="12">
        <v>1</v>
      </c>
      <c r="DF130" s="12">
        <v>4</v>
      </c>
      <c r="DG130" s="12">
        <v>2</v>
      </c>
      <c r="DH130" s="12">
        <v>3</v>
      </c>
      <c r="DI130" s="12">
        <v>7</v>
      </c>
      <c r="DJ130" s="12">
        <v>0</v>
      </c>
      <c r="DK130" s="12">
        <v>1</v>
      </c>
      <c r="DL130" s="12">
        <v>4</v>
      </c>
      <c r="DM130" s="12">
        <v>3</v>
      </c>
      <c r="DN130" s="12">
        <v>1</v>
      </c>
      <c r="DO130" s="12">
        <v>2</v>
      </c>
      <c r="DP130" s="12">
        <v>2</v>
      </c>
      <c r="DQ130" s="12">
        <v>4</v>
      </c>
      <c r="DR130" s="12">
        <v>5</v>
      </c>
      <c r="DS130" s="12">
        <v>0</v>
      </c>
      <c r="DT130" s="12">
        <v>0</v>
      </c>
      <c r="DU130" s="12">
        <v>2</v>
      </c>
      <c r="DV130" s="12">
        <v>1</v>
      </c>
      <c r="DW130" s="12">
        <v>0</v>
      </c>
      <c r="DX130" s="12">
        <v>2</v>
      </c>
      <c r="DY130" s="12">
        <v>1</v>
      </c>
      <c r="DZ130" s="12">
        <v>0</v>
      </c>
      <c r="EA130" s="12">
        <v>1</v>
      </c>
      <c r="EB130" s="12">
        <v>1</v>
      </c>
      <c r="EC130" s="12">
        <v>0</v>
      </c>
      <c r="ED130" s="12">
        <v>0</v>
      </c>
      <c r="EE130" s="12">
        <v>0</v>
      </c>
      <c r="EF130" s="12">
        <v>0</v>
      </c>
      <c r="EG130" s="12">
        <v>1</v>
      </c>
      <c r="EH130" s="12">
        <v>1</v>
      </c>
      <c r="EI130" s="12">
        <v>0</v>
      </c>
      <c r="EJ130" s="12">
        <v>0</v>
      </c>
      <c r="EK130" s="12">
        <v>1</v>
      </c>
      <c r="EL130" s="12">
        <v>0</v>
      </c>
      <c r="EM130" s="12">
        <v>0</v>
      </c>
      <c r="EN130" s="12">
        <v>0</v>
      </c>
      <c r="EO130" s="12">
        <v>2</v>
      </c>
      <c r="EP130" s="12" t="str">
        <f t="shared" si="29"/>
        <v>🔴 Sin venta</v>
      </c>
      <c r="EQ130" s="23">
        <f t="shared" si="22"/>
        <v>0.91666666666666663</v>
      </c>
      <c r="ER130" s="19">
        <f t="shared" si="21"/>
        <v>7438.9655172413786</v>
      </c>
      <c r="ES130" s="12">
        <f t="shared" si="20"/>
        <v>24</v>
      </c>
      <c r="ET130" s="23">
        <f t="shared" si="32"/>
        <v>9.5</v>
      </c>
      <c r="EU130" s="23">
        <f t="shared" si="31"/>
        <v>10.5</v>
      </c>
      <c r="EV130" s="23">
        <f t="shared" si="23"/>
        <v>4.4400000000000004</v>
      </c>
      <c r="EW130" s="23"/>
      <c r="EX130" s="12">
        <v>36</v>
      </c>
      <c r="EY130" s="19" cm="1">
        <f t="array" ref="EY130:FC130">VLOOKUP(_xlfn.SINGLE(B:B),'[1]Price List'!$B:$N,{8,4,5,6,7},0)</f>
        <v>309.95999999999998</v>
      </c>
      <c r="EZ130" s="9" t="str">
        <v>Speck iPhone 16 Plus Gemshell Grip +Ms Clear/Clear</v>
      </c>
      <c r="FA130" s="12" t="str">
        <v>Cases iPhone</v>
      </c>
      <c r="FB130" s="12" t="str">
        <v>iPhone 16</v>
      </c>
      <c r="FC130" s="12" t="str">
        <v>iPhone 16 Plus</v>
      </c>
      <c r="FD130" s="23" t="str">
        <f>_xlfn.XLOOKUP(B:B,'[1]Price List'!$B:$B,'[1]Price List'!$A:$A)</f>
        <v>Speck</v>
      </c>
    </row>
    <row r="131" spans="1:160" s="9" customFormat="1" x14ac:dyDescent="0.2">
      <c r="A131" s="23" t="s">
        <v>599</v>
      </c>
      <c r="B131" s="23">
        <v>840168541171</v>
      </c>
      <c r="C131" s="9" t="s">
        <v>541</v>
      </c>
      <c r="D131" s="9" t="s">
        <v>644</v>
      </c>
      <c r="E131" s="26" t="s">
        <v>435</v>
      </c>
      <c r="F131" s="26" t="s">
        <v>438</v>
      </c>
      <c r="G131" s="9" t="s">
        <v>438</v>
      </c>
      <c r="H131" s="10" t="s">
        <v>432</v>
      </c>
      <c r="I131" s="11">
        <v>999</v>
      </c>
      <c r="J131" s="11">
        <v>387.54310344827587</v>
      </c>
      <c r="K131" s="62">
        <v>0</v>
      </c>
      <c r="L131" s="12">
        <v>0</v>
      </c>
      <c r="M131" s="13" t="s">
        <v>467</v>
      </c>
      <c r="N131" s="13" t="s">
        <v>475</v>
      </c>
      <c r="O131" s="27"/>
      <c r="P131" s="12">
        <v>0</v>
      </c>
      <c r="Q131" s="12">
        <v>0</v>
      </c>
      <c r="R131" s="12">
        <v>0</v>
      </c>
      <c r="S131" s="12">
        <v>0</v>
      </c>
      <c r="T131" s="12">
        <v>0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2">
        <v>0</v>
      </c>
      <c r="AD131" s="12">
        <v>0</v>
      </c>
      <c r="AE131" s="12">
        <v>0</v>
      </c>
      <c r="AF131" s="12">
        <v>0</v>
      </c>
      <c r="AG131" s="12">
        <v>0</v>
      </c>
      <c r="AH131" s="12">
        <v>0</v>
      </c>
      <c r="AI131" s="12">
        <v>0</v>
      </c>
      <c r="AJ131" s="12">
        <v>0</v>
      </c>
      <c r="AK131" s="12">
        <v>0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2">
        <v>0</v>
      </c>
      <c r="AW131" s="12">
        <v>0</v>
      </c>
      <c r="AX131" s="12">
        <v>0</v>
      </c>
      <c r="AY131" s="12">
        <v>0</v>
      </c>
      <c r="AZ131" s="12">
        <v>0</v>
      </c>
      <c r="BA131" s="12">
        <v>0</v>
      </c>
      <c r="BB131" s="12">
        <v>0</v>
      </c>
      <c r="BC131" s="12">
        <v>0</v>
      </c>
      <c r="BD131" s="12">
        <v>0</v>
      </c>
      <c r="BE131" s="12">
        <v>5</v>
      </c>
      <c r="BF131" s="12">
        <v>4</v>
      </c>
      <c r="BG131" s="12">
        <v>8</v>
      </c>
      <c r="BH131" s="12">
        <v>2</v>
      </c>
      <c r="BI131" s="12">
        <v>2</v>
      </c>
      <c r="BJ131" s="12">
        <v>13</v>
      </c>
      <c r="BK131" s="12">
        <v>10</v>
      </c>
      <c r="BL131" s="12">
        <v>3</v>
      </c>
      <c r="BM131" s="12">
        <v>6</v>
      </c>
      <c r="BN131" s="12">
        <v>3</v>
      </c>
      <c r="BO131" s="12">
        <v>7</v>
      </c>
      <c r="BP131" s="12">
        <v>13</v>
      </c>
      <c r="BQ131" s="12">
        <v>3</v>
      </c>
      <c r="BR131" s="12">
        <v>3</v>
      </c>
      <c r="BS131" s="12">
        <v>3</v>
      </c>
      <c r="BT131" s="12">
        <v>1</v>
      </c>
      <c r="BU131" s="12">
        <v>4</v>
      </c>
      <c r="BV131" s="12">
        <v>3</v>
      </c>
      <c r="BW131" s="12">
        <v>1</v>
      </c>
      <c r="BX131" s="12">
        <v>4</v>
      </c>
      <c r="BY131" s="12">
        <v>5</v>
      </c>
      <c r="BZ131" s="12">
        <v>2</v>
      </c>
      <c r="CA131" s="12">
        <v>1</v>
      </c>
      <c r="CB131" s="12">
        <v>1</v>
      </c>
      <c r="CC131" s="12">
        <v>4</v>
      </c>
      <c r="CD131" s="12">
        <v>5</v>
      </c>
      <c r="CE131" s="12">
        <v>1</v>
      </c>
      <c r="CF131" s="12">
        <v>4</v>
      </c>
      <c r="CG131" s="12">
        <v>5</v>
      </c>
      <c r="CH131" s="12">
        <v>5</v>
      </c>
      <c r="CI131" s="12">
        <v>6</v>
      </c>
      <c r="CJ131" s="12">
        <v>2</v>
      </c>
      <c r="CK131" s="12">
        <v>3</v>
      </c>
      <c r="CL131" s="12">
        <v>2</v>
      </c>
      <c r="CM131" s="12">
        <v>7</v>
      </c>
      <c r="CN131" s="12">
        <v>5</v>
      </c>
      <c r="CO131" s="12">
        <v>3</v>
      </c>
      <c r="CP131" s="12">
        <v>1</v>
      </c>
      <c r="CQ131" s="12">
        <v>5</v>
      </c>
      <c r="CR131" s="12">
        <v>0</v>
      </c>
      <c r="CS131" s="12">
        <v>5</v>
      </c>
      <c r="CT131" s="12">
        <v>5</v>
      </c>
      <c r="CU131" s="12">
        <v>1</v>
      </c>
      <c r="CV131" s="12">
        <v>1</v>
      </c>
      <c r="CW131" s="12">
        <v>0</v>
      </c>
      <c r="CX131" s="12">
        <v>1</v>
      </c>
      <c r="CY131" s="12">
        <v>5</v>
      </c>
      <c r="CZ131" s="12">
        <v>1</v>
      </c>
      <c r="DA131" s="12">
        <v>1</v>
      </c>
      <c r="DB131" s="12">
        <v>3</v>
      </c>
      <c r="DC131" s="12">
        <v>1</v>
      </c>
      <c r="DD131" s="12">
        <v>5</v>
      </c>
      <c r="DE131" s="12">
        <v>4</v>
      </c>
      <c r="DF131" s="12">
        <v>4</v>
      </c>
      <c r="DG131" s="12">
        <v>1</v>
      </c>
      <c r="DH131" s="12">
        <v>0</v>
      </c>
      <c r="DI131" s="12">
        <v>3</v>
      </c>
      <c r="DJ131" s="12">
        <v>2</v>
      </c>
      <c r="DK131" s="12">
        <v>6</v>
      </c>
      <c r="DL131" s="12">
        <v>2</v>
      </c>
      <c r="DM131" s="12">
        <v>1</v>
      </c>
      <c r="DN131" s="12">
        <v>0</v>
      </c>
      <c r="DO131" s="12">
        <v>5</v>
      </c>
      <c r="DP131" s="12">
        <v>5</v>
      </c>
      <c r="DQ131" s="12">
        <v>2</v>
      </c>
      <c r="DR131" s="12">
        <v>1</v>
      </c>
      <c r="DS131" s="12">
        <v>0</v>
      </c>
      <c r="DT131" s="12">
        <v>1</v>
      </c>
      <c r="DU131" s="12">
        <v>2</v>
      </c>
      <c r="DV131" s="12">
        <v>3</v>
      </c>
      <c r="DW131" s="12">
        <v>1</v>
      </c>
      <c r="DX131" s="12">
        <v>1</v>
      </c>
      <c r="DY131" s="12">
        <v>1</v>
      </c>
      <c r="DZ131" s="12">
        <v>1</v>
      </c>
      <c r="EA131" s="12">
        <v>2</v>
      </c>
      <c r="EB131" s="12">
        <v>0</v>
      </c>
      <c r="EC131" s="12">
        <v>0</v>
      </c>
      <c r="ED131" s="12">
        <v>1</v>
      </c>
      <c r="EE131" s="12">
        <v>0</v>
      </c>
      <c r="EF131" s="12">
        <v>1</v>
      </c>
      <c r="EG131" s="12">
        <v>0</v>
      </c>
      <c r="EH131" s="12">
        <v>1</v>
      </c>
      <c r="EI131" s="12">
        <v>0</v>
      </c>
      <c r="EJ131" s="12">
        <v>0</v>
      </c>
      <c r="EK131" s="12">
        <v>0</v>
      </c>
      <c r="EL131" s="12">
        <v>0</v>
      </c>
      <c r="EM131" s="12">
        <v>0</v>
      </c>
      <c r="EN131" s="12">
        <v>0</v>
      </c>
      <c r="EO131" s="12">
        <v>0</v>
      </c>
      <c r="EP131" s="12" t="str">
        <f t="shared" si="29"/>
        <v>🔴 Sin venta</v>
      </c>
      <c r="EQ131" s="23">
        <f t="shared" si="22"/>
        <v>0.95833333333333337</v>
      </c>
      <c r="ER131" s="19">
        <f t="shared" si="21"/>
        <v>8913.4913793103442</v>
      </c>
      <c r="ES131" s="12">
        <f t="shared" si="20"/>
        <v>23</v>
      </c>
      <c r="ET131" s="23">
        <f t="shared" si="32"/>
        <v>10</v>
      </c>
      <c r="EU131" s="23">
        <f t="shared" si="31"/>
        <v>9.5</v>
      </c>
      <c r="EV131" s="23">
        <f t="shared" si="23"/>
        <v>4.8899999999999997</v>
      </c>
      <c r="EW131" s="23"/>
      <c r="EX131" s="12">
        <v>67</v>
      </c>
      <c r="EY131" s="19" cm="1">
        <f t="array" ref="EY131:FC131">VLOOKUP(_xlfn.SINGLE(B:B),'[1]Price List'!$B:$N,{8,4,5,6,7},0)</f>
        <v>387.54</v>
      </c>
      <c r="EZ131" s="9" t="str">
        <v>Speck iPhone 16 Plus Presidio2 Grip +Cl Black / Slate Grey / White</v>
      </c>
      <c r="FA131" s="12" t="str">
        <v>Cases iPhone</v>
      </c>
      <c r="FB131" s="12" t="str">
        <v>iPhone 16</v>
      </c>
      <c r="FC131" s="12" t="str">
        <v>iPhone 16 Plus</v>
      </c>
      <c r="FD131" s="23" t="str">
        <f>_xlfn.XLOOKUP(B:B,'[1]Price List'!$B:$B,'[1]Price List'!$A:$A)</f>
        <v>Speck</v>
      </c>
    </row>
    <row r="132" spans="1:160" s="9" customFormat="1" x14ac:dyDescent="0.2">
      <c r="A132" s="23" t="s">
        <v>598</v>
      </c>
      <c r="B132" s="23">
        <v>856500016931</v>
      </c>
      <c r="C132" s="9" t="s">
        <v>542</v>
      </c>
      <c r="D132" s="9" t="s">
        <v>644</v>
      </c>
      <c r="E132" s="26" t="s">
        <v>435</v>
      </c>
      <c r="F132" s="26" t="s">
        <v>437</v>
      </c>
      <c r="G132" s="9" t="s">
        <v>437</v>
      </c>
      <c r="H132" s="10" t="s">
        <v>440</v>
      </c>
      <c r="I132" s="11">
        <v>999</v>
      </c>
      <c r="J132" s="11">
        <v>473.66379310344831</v>
      </c>
      <c r="K132" s="62">
        <v>0</v>
      </c>
      <c r="L132" s="12">
        <v>0</v>
      </c>
      <c r="M132" s="13" t="s">
        <v>467</v>
      </c>
      <c r="N132" s="13" t="s">
        <v>475</v>
      </c>
      <c r="O132" s="27"/>
      <c r="P132" s="12">
        <v>0</v>
      </c>
      <c r="Q132" s="12">
        <v>0</v>
      </c>
      <c r="R132" s="12">
        <v>0</v>
      </c>
      <c r="S132" s="12">
        <v>0</v>
      </c>
      <c r="T132" s="12">
        <v>0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2">
        <v>0</v>
      </c>
      <c r="AD132" s="12">
        <v>0</v>
      </c>
      <c r="AE132" s="12">
        <v>0</v>
      </c>
      <c r="AF132" s="12">
        <v>0</v>
      </c>
      <c r="AG132" s="12">
        <v>0</v>
      </c>
      <c r="AH132" s="12">
        <v>0</v>
      </c>
      <c r="AI132" s="12">
        <v>0</v>
      </c>
      <c r="AJ132" s="12">
        <v>0</v>
      </c>
      <c r="AK132" s="12">
        <v>0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2">
        <v>0</v>
      </c>
      <c r="AW132" s="12">
        <v>0</v>
      </c>
      <c r="AX132" s="12">
        <v>0</v>
      </c>
      <c r="AY132" s="12">
        <v>0</v>
      </c>
      <c r="AZ132" s="12">
        <v>0</v>
      </c>
      <c r="BA132" s="12">
        <v>0</v>
      </c>
      <c r="BB132" s="12">
        <v>0</v>
      </c>
      <c r="BC132" s="12">
        <v>0</v>
      </c>
      <c r="BD132" s="12">
        <v>0</v>
      </c>
      <c r="BE132" s="12">
        <v>7</v>
      </c>
      <c r="BF132" s="12">
        <v>58</v>
      </c>
      <c r="BG132" s="12">
        <v>38</v>
      </c>
      <c r="BH132" s="12">
        <v>28</v>
      </c>
      <c r="BI132" s="12">
        <v>48</v>
      </c>
      <c r="BJ132" s="12">
        <v>60</v>
      </c>
      <c r="BK132" s="12">
        <v>32</v>
      </c>
      <c r="BL132" s="12">
        <v>18</v>
      </c>
      <c r="BM132" s="12">
        <v>18</v>
      </c>
      <c r="BN132" s="12">
        <v>18</v>
      </c>
      <c r="BO132" s="12">
        <v>19</v>
      </c>
      <c r="BP132" s="12">
        <v>40</v>
      </c>
      <c r="BQ132" s="12">
        <v>44</v>
      </c>
      <c r="BR132" s="12">
        <v>18</v>
      </c>
      <c r="BS132" s="12">
        <v>19</v>
      </c>
      <c r="BT132" s="12">
        <v>14</v>
      </c>
      <c r="BU132" s="12">
        <v>12</v>
      </c>
      <c r="BV132" s="12">
        <v>16</v>
      </c>
      <c r="BW132" s="12">
        <v>8</v>
      </c>
      <c r="BX132" s="12">
        <v>9</v>
      </c>
      <c r="BY132" s="12">
        <v>32</v>
      </c>
      <c r="BZ132" s="12">
        <v>28</v>
      </c>
      <c r="CA132" s="12">
        <v>20</v>
      </c>
      <c r="CB132" s="12">
        <v>22</v>
      </c>
      <c r="CC132" s="12">
        <v>9</v>
      </c>
      <c r="CD132" s="12">
        <v>19</v>
      </c>
      <c r="CE132" s="12">
        <v>13</v>
      </c>
      <c r="CF132" s="12">
        <v>18</v>
      </c>
      <c r="CG132" s="12">
        <v>25</v>
      </c>
      <c r="CH132" s="12">
        <v>17</v>
      </c>
      <c r="CI132" s="12">
        <v>18</v>
      </c>
      <c r="CJ132" s="12">
        <v>13</v>
      </c>
      <c r="CK132" s="12">
        <v>20</v>
      </c>
      <c r="CL132" s="12">
        <v>11</v>
      </c>
      <c r="CM132" s="12">
        <v>21</v>
      </c>
      <c r="CN132" s="12">
        <v>15</v>
      </c>
      <c r="CO132" s="12">
        <v>22</v>
      </c>
      <c r="CP132" s="12">
        <v>22</v>
      </c>
      <c r="CQ132" s="12">
        <v>11</v>
      </c>
      <c r="CR132" s="12">
        <v>12</v>
      </c>
      <c r="CS132" s="12">
        <v>8</v>
      </c>
      <c r="CT132" s="12">
        <v>12</v>
      </c>
      <c r="CU132" s="12">
        <v>13</v>
      </c>
      <c r="CV132" s="12">
        <v>10</v>
      </c>
      <c r="CW132" s="12">
        <v>9</v>
      </c>
      <c r="CX132" s="12">
        <v>7</v>
      </c>
      <c r="CY132" s="12">
        <v>3</v>
      </c>
      <c r="CZ132" s="12">
        <v>3</v>
      </c>
      <c r="DA132" s="12">
        <v>5</v>
      </c>
      <c r="DB132" s="12">
        <v>5</v>
      </c>
      <c r="DC132" s="12">
        <v>2</v>
      </c>
      <c r="DD132" s="12">
        <v>3</v>
      </c>
      <c r="DE132" s="12">
        <v>1</v>
      </c>
      <c r="DF132" s="12">
        <v>0</v>
      </c>
      <c r="DG132" s="12">
        <v>0</v>
      </c>
      <c r="DH132" s="12">
        <v>2</v>
      </c>
      <c r="DI132" s="12">
        <v>3</v>
      </c>
      <c r="DJ132" s="12">
        <v>2</v>
      </c>
      <c r="DK132" s="12">
        <v>1</v>
      </c>
      <c r="DL132" s="12">
        <v>1</v>
      </c>
      <c r="DM132" s="12">
        <v>1</v>
      </c>
      <c r="DN132" s="12">
        <v>2</v>
      </c>
      <c r="DO132" s="12">
        <v>1</v>
      </c>
      <c r="DP132" s="12">
        <v>1</v>
      </c>
      <c r="DQ132" s="12">
        <v>0</v>
      </c>
      <c r="DR132" s="12">
        <v>0</v>
      </c>
      <c r="DS132" s="12">
        <v>0</v>
      </c>
      <c r="DT132" s="12">
        <v>0</v>
      </c>
      <c r="DU132" s="12">
        <v>0</v>
      </c>
      <c r="DV132" s="12">
        <v>0</v>
      </c>
      <c r="DW132" s="12">
        <v>0</v>
      </c>
      <c r="DX132" s="12">
        <v>0</v>
      </c>
      <c r="DY132" s="12">
        <v>0</v>
      </c>
      <c r="DZ132" s="12">
        <v>0</v>
      </c>
      <c r="EA132" s="12">
        <v>0</v>
      </c>
      <c r="EB132" s="12">
        <v>0</v>
      </c>
      <c r="EC132" s="12">
        <v>0</v>
      </c>
      <c r="ED132" s="12">
        <v>0</v>
      </c>
      <c r="EE132" s="12">
        <v>0</v>
      </c>
      <c r="EF132" s="12">
        <v>0</v>
      </c>
      <c r="EG132" s="12">
        <v>0</v>
      </c>
      <c r="EH132" s="12">
        <v>0</v>
      </c>
      <c r="EI132" s="12">
        <v>0</v>
      </c>
      <c r="EJ132" s="12">
        <v>0</v>
      </c>
      <c r="EK132" s="12">
        <v>0</v>
      </c>
      <c r="EL132" s="12">
        <v>0</v>
      </c>
      <c r="EM132" s="12">
        <v>0</v>
      </c>
      <c r="EN132" s="12">
        <v>0</v>
      </c>
      <c r="EO132" s="12">
        <v>0</v>
      </c>
      <c r="EP132" s="12" t="str">
        <f t="shared" si="29"/>
        <v>🔴 Sin venta</v>
      </c>
      <c r="EQ132" s="23">
        <f t="shared" si="22"/>
        <v>4.1666666666666664E-2</v>
      </c>
      <c r="ER132" s="19">
        <f t="shared" si="21"/>
        <v>473.66379310344831</v>
      </c>
      <c r="ES132" s="12">
        <f t="shared" si="20"/>
        <v>1</v>
      </c>
      <c r="ET132" s="23">
        <f t="shared" si="32"/>
        <v>9.5</v>
      </c>
      <c r="EU132" s="23">
        <f t="shared" si="31"/>
        <v>6.5</v>
      </c>
      <c r="EV132" s="23">
        <f t="shared" si="23"/>
        <v>0.22</v>
      </c>
      <c r="EW132" s="23"/>
      <c r="EX132" s="12">
        <v>2</v>
      </c>
      <c r="EY132" s="19" cm="1">
        <f t="array" ref="EY132:FC132">VLOOKUP(_xlfn.SINGLE(B:B),'[1]Price List'!$B:$N,{8,4,5,6,7},0)</f>
        <v>473.66</v>
      </c>
      <c r="EZ132" s="9" t="str">
        <v xml:space="preserve">Nomad Modern Leather Case - iPhone 16 Pro Max  Black </v>
      </c>
      <c r="FA132" s="12" t="str">
        <v>Cases iPhone</v>
      </c>
      <c r="FB132" s="12" t="str">
        <v>iPhone 16</v>
      </c>
      <c r="FC132" s="12" t="str">
        <v>iPhone 16 Pro Max</v>
      </c>
      <c r="FD132" s="23" t="str">
        <f>_xlfn.XLOOKUP(B:B,'[1]Price List'!$B:$B,'[1]Price List'!$A:$A)</f>
        <v>Nomad</v>
      </c>
    </row>
    <row r="133" spans="1:160" s="9" customFormat="1" x14ac:dyDescent="0.2">
      <c r="A133" s="23" t="s">
        <v>598</v>
      </c>
      <c r="B133" s="23">
        <v>856500016924</v>
      </c>
      <c r="C133" s="9" t="s">
        <v>543</v>
      </c>
      <c r="D133" s="9" t="s">
        <v>644</v>
      </c>
      <c r="E133" s="26" t="s">
        <v>435</v>
      </c>
      <c r="F133" s="26" t="s">
        <v>437</v>
      </c>
      <c r="G133" s="9" t="s">
        <v>437</v>
      </c>
      <c r="H133" s="10" t="s">
        <v>441</v>
      </c>
      <c r="I133" s="11">
        <v>999</v>
      </c>
      <c r="J133" s="11">
        <v>473.66379310344831</v>
      </c>
      <c r="K133" s="62">
        <v>0</v>
      </c>
      <c r="L133" s="12">
        <v>0</v>
      </c>
      <c r="M133" s="13" t="s">
        <v>467</v>
      </c>
      <c r="N133" s="13" t="s">
        <v>475</v>
      </c>
      <c r="O133" s="27"/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0</v>
      </c>
      <c r="AB133" s="12">
        <v>0</v>
      </c>
      <c r="AC133" s="12">
        <v>0</v>
      </c>
      <c r="AD133" s="12">
        <v>0</v>
      </c>
      <c r="AE133" s="12">
        <v>0</v>
      </c>
      <c r="AF133" s="12">
        <v>0</v>
      </c>
      <c r="AG133" s="12">
        <v>0</v>
      </c>
      <c r="AH133" s="12">
        <v>0</v>
      </c>
      <c r="AI133" s="12">
        <v>0</v>
      </c>
      <c r="AJ133" s="12">
        <v>0</v>
      </c>
      <c r="AK133" s="12">
        <v>0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2">
        <v>0</v>
      </c>
      <c r="AW133" s="12">
        <v>0</v>
      </c>
      <c r="AX133" s="12">
        <v>0</v>
      </c>
      <c r="AY133" s="12">
        <v>0</v>
      </c>
      <c r="AZ133" s="12">
        <v>0</v>
      </c>
      <c r="BA133" s="12">
        <v>0</v>
      </c>
      <c r="BB133" s="12">
        <v>0</v>
      </c>
      <c r="BC133" s="12">
        <v>0</v>
      </c>
      <c r="BD133" s="12">
        <v>0</v>
      </c>
      <c r="BE133" s="12">
        <v>0</v>
      </c>
      <c r="BF133" s="12">
        <v>8</v>
      </c>
      <c r="BG133" s="12">
        <v>32</v>
      </c>
      <c r="BH133" s="12">
        <v>30</v>
      </c>
      <c r="BI133" s="12">
        <v>22</v>
      </c>
      <c r="BJ133" s="12">
        <v>30</v>
      </c>
      <c r="BK133" s="12">
        <v>24</v>
      </c>
      <c r="BL133" s="12">
        <v>10</v>
      </c>
      <c r="BM133" s="12">
        <v>9</v>
      </c>
      <c r="BN133" s="12">
        <v>11</v>
      </c>
      <c r="BO133" s="12">
        <v>18</v>
      </c>
      <c r="BP133" s="12">
        <v>24</v>
      </c>
      <c r="BQ133" s="12">
        <v>27</v>
      </c>
      <c r="BR133" s="12">
        <v>23</v>
      </c>
      <c r="BS133" s="12">
        <v>18</v>
      </c>
      <c r="BT133" s="12">
        <v>28</v>
      </c>
      <c r="BU133" s="12">
        <v>21</v>
      </c>
      <c r="BV133" s="12">
        <v>14</v>
      </c>
      <c r="BW133" s="12">
        <v>26</v>
      </c>
      <c r="BX133" s="12">
        <v>18</v>
      </c>
      <c r="BY133" s="12">
        <v>17</v>
      </c>
      <c r="BZ133" s="12">
        <v>13</v>
      </c>
      <c r="CA133" s="12">
        <v>9</v>
      </c>
      <c r="CB133" s="12">
        <v>20</v>
      </c>
      <c r="CC133" s="12">
        <v>16</v>
      </c>
      <c r="CD133" s="12">
        <v>17</v>
      </c>
      <c r="CE133" s="12">
        <v>18</v>
      </c>
      <c r="CF133" s="12">
        <v>23</v>
      </c>
      <c r="CG133" s="12">
        <v>17</v>
      </c>
      <c r="CH133" s="12">
        <v>20</v>
      </c>
      <c r="CI133" s="12">
        <v>17</v>
      </c>
      <c r="CJ133" s="12">
        <v>23</v>
      </c>
      <c r="CK133" s="12">
        <v>25</v>
      </c>
      <c r="CL133" s="12">
        <v>31</v>
      </c>
      <c r="CM133" s="12">
        <v>22</v>
      </c>
      <c r="CN133" s="12">
        <v>13</v>
      </c>
      <c r="CO133" s="12">
        <v>15</v>
      </c>
      <c r="CP133" s="12">
        <v>20</v>
      </c>
      <c r="CQ133" s="12">
        <v>14</v>
      </c>
      <c r="CR133" s="12">
        <v>17</v>
      </c>
      <c r="CS133" s="12">
        <v>18</v>
      </c>
      <c r="CT133" s="12">
        <v>24</v>
      </c>
      <c r="CU133" s="12">
        <v>21</v>
      </c>
      <c r="CV133" s="12">
        <v>11</v>
      </c>
      <c r="CW133" s="12">
        <v>12</v>
      </c>
      <c r="CX133" s="12">
        <v>14</v>
      </c>
      <c r="CY133" s="12">
        <v>13</v>
      </c>
      <c r="CZ133" s="12">
        <v>10</v>
      </c>
      <c r="DA133" s="12">
        <v>19</v>
      </c>
      <c r="DB133" s="12">
        <v>12</v>
      </c>
      <c r="DC133" s="12">
        <v>11</v>
      </c>
      <c r="DD133" s="12">
        <v>8</v>
      </c>
      <c r="DE133" s="12">
        <v>5</v>
      </c>
      <c r="DF133" s="12">
        <v>6</v>
      </c>
      <c r="DG133" s="12">
        <v>4</v>
      </c>
      <c r="DH133" s="12">
        <v>3</v>
      </c>
      <c r="DI133" s="12">
        <v>3</v>
      </c>
      <c r="DJ133" s="12">
        <v>4</v>
      </c>
      <c r="DK133" s="12">
        <v>7</v>
      </c>
      <c r="DL133" s="12">
        <v>3</v>
      </c>
      <c r="DM133" s="12">
        <v>1</v>
      </c>
      <c r="DN133" s="12">
        <v>1</v>
      </c>
      <c r="DO133" s="12">
        <v>5</v>
      </c>
      <c r="DP133" s="12">
        <v>1</v>
      </c>
      <c r="DQ133" s="12">
        <v>7</v>
      </c>
      <c r="DR133" s="12">
        <v>2</v>
      </c>
      <c r="DS133" s="12">
        <v>2</v>
      </c>
      <c r="DT133" s="12">
        <v>4</v>
      </c>
      <c r="DU133" s="12">
        <v>0</v>
      </c>
      <c r="DV133" s="12">
        <v>0</v>
      </c>
      <c r="DW133" s="12">
        <v>1</v>
      </c>
      <c r="DX133" s="12">
        <v>2</v>
      </c>
      <c r="DY133" s="12">
        <v>2</v>
      </c>
      <c r="DZ133" s="12">
        <v>0</v>
      </c>
      <c r="EA133" s="12">
        <v>1</v>
      </c>
      <c r="EB133" s="12">
        <v>1</v>
      </c>
      <c r="EC133" s="12">
        <v>0</v>
      </c>
      <c r="ED133" s="12">
        <v>2</v>
      </c>
      <c r="EE133" s="12">
        <v>0</v>
      </c>
      <c r="EF133" s="12">
        <v>0</v>
      </c>
      <c r="EG133" s="12">
        <v>0</v>
      </c>
      <c r="EH133" s="12">
        <v>1</v>
      </c>
      <c r="EI133" s="12">
        <v>0</v>
      </c>
      <c r="EJ133" s="12">
        <v>0</v>
      </c>
      <c r="EK133" s="12">
        <v>0</v>
      </c>
      <c r="EL133" s="12">
        <v>0</v>
      </c>
      <c r="EM133" s="12">
        <v>1</v>
      </c>
      <c r="EN133" s="12">
        <v>1</v>
      </c>
      <c r="EO133" s="12">
        <v>0</v>
      </c>
      <c r="EP133" s="12" t="str">
        <f t="shared" si="29"/>
        <v>🔴 Sin venta</v>
      </c>
      <c r="EQ133" s="23">
        <f t="shared" si="22"/>
        <v>1.125</v>
      </c>
      <c r="ER133" s="19">
        <f t="shared" si="21"/>
        <v>13262.586206896553</v>
      </c>
      <c r="ES133" s="12">
        <f t="shared" ref="ES133:ES196" si="33">SUM(DP133:EO133)</f>
        <v>28</v>
      </c>
      <c r="ET133" s="23">
        <f t="shared" si="32"/>
        <v>37.5</v>
      </c>
      <c r="EU133" s="23">
        <f t="shared" si="31"/>
        <v>13.5</v>
      </c>
      <c r="EV133" s="23">
        <f t="shared" si="23"/>
        <v>5.56</v>
      </c>
      <c r="EW133" s="23"/>
      <c r="EX133" s="12">
        <v>11</v>
      </c>
      <c r="EY133" s="19" cm="1">
        <f t="array" ref="EY133:FC133">VLOOKUP(_xlfn.SINGLE(B:B),'[1]Price List'!$B:$N,{8,4,5,6,7},0)</f>
        <v>473.66</v>
      </c>
      <c r="EZ133" s="9" t="str">
        <v>Nomad Modern Leather Case - iPhone 16 Pro Max | Brown | Nomad Leather</v>
      </c>
      <c r="FA133" s="12" t="str">
        <v>Cases iPhone</v>
      </c>
      <c r="FB133" s="12" t="str">
        <v>iPhone 16</v>
      </c>
      <c r="FC133" s="12" t="str">
        <v>iPhone 16 Pro Max</v>
      </c>
      <c r="FD133" s="23" t="str">
        <f>_xlfn.XLOOKUP(B:B,'[1]Price List'!$B:$B,'[1]Price List'!$A:$A)</f>
        <v>Nomad</v>
      </c>
    </row>
    <row r="134" spans="1:160" s="9" customFormat="1" x14ac:dyDescent="0.2">
      <c r="A134" s="23" t="s">
        <v>598</v>
      </c>
      <c r="B134" s="39">
        <v>856500016979</v>
      </c>
      <c r="C134" s="9" t="s">
        <v>544</v>
      </c>
      <c r="D134" s="9" t="s">
        <v>644</v>
      </c>
      <c r="E134" s="26" t="s">
        <v>435</v>
      </c>
      <c r="F134" s="26" t="s">
        <v>436</v>
      </c>
      <c r="G134" s="9" t="s">
        <v>688</v>
      </c>
      <c r="H134" s="10" t="s">
        <v>433</v>
      </c>
      <c r="I134" s="11">
        <v>999</v>
      </c>
      <c r="J134" s="11">
        <v>473.66379310344831</v>
      </c>
      <c r="K134" s="62">
        <v>0</v>
      </c>
      <c r="L134" s="12">
        <v>0</v>
      </c>
      <c r="M134" s="13" t="s">
        <v>467</v>
      </c>
      <c r="N134" s="13" t="s">
        <v>655</v>
      </c>
      <c r="O134" s="27"/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2">
        <v>0</v>
      </c>
      <c r="AD134" s="12">
        <v>0</v>
      </c>
      <c r="AE134" s="12">
        <v>0</v>
      </c>
      <c r="AF134" s="12">
        <v>0</v>
      </c>
      <c r="AG134" s="12">
        <v>0</v>
      </c>
      <c r="AH134" s="12">
        <v>0</v>
      </c>
      <c r="AI134" s="12">
        <v>0</v>
      </c>
      <c r="AJ134" s="12">
        <v>0</v>
      </c>
      <c r="AK134" s="12">
        <v>0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2">
        <v>0</v>
      </c>
      <c r="AW134" s="12">
        <v>0</v>
      </c>
      <c r="AX134" s="12">
        <v>0</v>
      </c>
      <c r="AY134" s="12">
        <v>0</v>
      </c>
      <c r="AZ134" s="12">
        <v>0</v>
      </c>
      <c r="BA134" s="12">
        <v>0</v>
      </c>
      <c r="BB134" s="12">
        <v>0</v>
      </c>
      <c r="BC134" s="12">
        <v>0</v>
      </c>
      <c r="BD134" s="12">
        <v>0</v>
      </c>
      <c r="BE134" s="12">
        <v>18</v>
      </c>
      <c r="BF134" s="12">
        <v>42</v>
      </c>
      <c r="BG134" s="12">
        <v>33</v>
      </c>
      <c r="BH134" s="12">
        <v>25</v>
      </c>
      <c r="BI134" s="12">
        <v>29</v>
      </c>
      <c r="BJ134" s="12">
        <v>45</v>
      </c>
      <c r="BK134" s="12">
        <v>35</v>
      </c>
      <c r="BL134" s="12">
        <v>21</v>
      </c>
      <c r="BM134" s="12">
        <v>29</v>
      </c>
      <c r="BN134" s="12">
        <v>19</v>
      </c>
      <c r="BO134" s="12">
        <v>40</v>
      </c>
      <c r="BP134" s="12">
        <v>61</v>
      </c>
      <c r="BQ134" s="12">
        <v>23</v>
      </c>
      <c r="BR134" s="12">
        <v>23</v>
      </c>
      <c r="BS134" s="12">
        <v>16</v>
      </c>
      <c r="BT134" s="12">
        <v>22</v>
      </c>
      <c r="BU134" s="12">
        <v>22</v>
      </c>
      <c r="BV134" s="12">
        <v>21</v>
      </c>
      <c r="BW134" s="12">
        <v>19</v>
      </c>
      <c r="BX134" s="12">
        <v>10</v>
      </c>
      <c r="BY134" s="12">
        <v>12</v>
      </c>
      <c r="BZ134" s="12">
        <v>19</v>
      </c>
      <c r="CA134" s="12">
        <v>19</v>
      </c>
      <c r="CB134" s="12">
        <v>21</v>
      </c>
      <c r="CC134" s="12">
        <v>15</v>
      </c>
      <c r="CD134" s="12">
        <v>17</v>
      </c>
      <c r="CE134" s="12">
        <v>19</v>
      </c>
      <c r="CF134" s="12">
        <v>15</v>
      </c>
      <c r="CG134" s="12">
        <v>15</v>
      </c>
      <c r="CH134" s="12">
        <v>15</v>
      </c>
      <c r="CI134" s="12">
        <v>21</v>
      </c>
      <c r="CJ134" s="12">
        <v>19</v>
      </c>
      <c r="CK134" s="12">
        <v>14</v>
      </c>
      <c r="CL134" s="12">
        <v>20</v>
      </c>
      <c r="CM134" s="12">
        <v>19</v>
      </c>
      <c r="CN134" s="12">
        <v>18</v>
      </c>
      <c r="CO134" s="12">
        <v>19</v>
      </c>
      <c r="CP134" s="12">
        <v>12</v>
      </c>
      <c r="CQ134" s="12">
        <v>17</v>
      </c>
      <c r="CR134" s="12">
        <v>13</v>
      </c>
      <c r="CS134" s="12">
        <v>12</v>
      </c>
      <c r="CT134" s="12">
        <v>15</v>
      </c>
      <c r="CU134" s="12">
        <v>12</v>
      </c>
      <c r="CV134" s="12">
        <v>7</v>
      </c>
      <c r="CW134" s="12">
        <v>6</v>
      </c>
      <c r="CX134" s="12">
        <v>10</v>
      </c>
      <c r="CY134" s="12">
        <v>12</v>
      </c>
      <c r="CZ134" s="12">
        <v>12</v>
      </c>
      <c r="DA134" s="12">
        <v>13</v>
      </c>
      <c r="DB134" s="12">
        <v>7</v>
      </c>
      <c r="DC134" s="12">
        <v>8</v>
      </c>
      <c r="DD134" s="12">
        <v>6</v>
      </c>
      <c r="DE134" s="12">
        <v>3</v>
      </c>
      <c r="DF134" s="12">
        <v>3</v>
      </c>
      <c r="DG134" s="12">
        <v>2</v>
      </c>
      <c r="DH134" s="12">
        <v>1</v>
      </c>
      <c r="DI134" s="12">
        <v>0</v>
      </c>
      <c r="DJ134" s="12">
        <v>7</v>
      </c>
      <c r="DK134" s="12">
        <v>2</v>
      </c>
      <c r="DL134" s="12">
        <v>2</v>
      </c>
      <c r="DM134" s="12">
        <v>3</v>
      </c>
      <c r="DN134" s="12">
        <v>1</v>
      </c>
      <c r="DO134" s="12">
        <v>2</v>
      </c>
      <c r="DP134" s="12">
        <v>1</v>
      </c>
      <c r="DQ134" s="12">
        <v>1</v>
      </c>
      <c r="DR134" s="12">
        <v>0</v>
      </c>
      <c r="DS134" s="12">
        <v>1</v>
      </c>
      <c r="DT134" s="12">
        <v>0</v>
      </c>
      <c r="DU134" s="12">
        <v>0</v>
      </c>
      <c r="DV134" s="12">
        <v>3</v>
      </c>
      <c r="DW134" s="12">
        <v>1</v>
      </c>
      <c r="DX134" s="12">
        <v>0</v>
      </c>
      <c r="DY134" s="12">
        <v>0</v>
      </c>
      <c r="DZ134" s="12">
        <v>1</v>
      </c>
      <c r="EA134" s="12">
        <v>1</v>
      </c>
      <c r="EB134" s="12">
        <v>0</v>
      </c>
      <c r="EC134" s="12">
        <v>1</v>
      </c>
      <c r="ED134" s="12">
        <v>1</v>
      </c>
      <c r="EE134" s="12">
        <v>0</v>
      </c>
      <c r="EF134" s="12">
        <v>0</v>
      </c>
      <c r="EG134" s="12">
        <v>0</v>
      </c>
      <c r="EH134" s="12">
        <v>1</v>
      </c>
      <c r="EI134" s="12">
        <v>0</v>
      </c>
      <c r="EJ134" s="12">
        <v>1</v>
      </c>
      <c r="EK134" s="12">
        <v>0</v>
      </c>
      <c r="EL134" s="12">
        <v>0</v>
      </c>
      <c r="EM134" s="12">
        <v>0</v>
      </c>
      <c r="EN134" s="12">
        <v>0</v>
      </c>
      <c r="EO134" s="12">
        <v>0</v>
      </c>
      <c r="EP134" s="12" t="str">
        <f t="shared" si="29"/>
        <v>🔴 Sin venta</v>
      </c>
      <c r="EQ134" s="23">
        <f t="shared" si="22"/>
        <v>0.54166666666666663</v>
      </c>
      <c r="ER134" s="19">
        <f t="shared" ref="ER134:ER197" si="34">J134*ES134</f>
        <v>6157.6293103448279</v>
      </c>
      <c r="ES134" s="12">
        <f t="shared" si="33"/>
        <v>13</v>
      </c>
      <c r="ET134" s="23">
        <f t="shared" si="32"/>
        <v>27</v>
      </c>
      <c r="EU134" s="23">
        <f t="shared" si="31"/>
        <v>9</v>
      </c>
      <c r="EV134" s="23">
        <f t="shared" si="23"/>
        <v>2.44</v>
      </c>
      <c r="EW134" s="23"/>
      <c r="EX134" s="12">
        <v>15</v>
      </c>
      <c r="EY134" s="19" cm="1">
        <f t="array" ref="EY134:FC134">VLOOKUP(_xlfn.SINGLE(B:B),'[1]Price List'!$B:$N,{8,4,5,6,7},0)</f>
        <v>473.66</v>
      </c>
      <c r="EZ134" s="9" t="str">
        <v>Nomad Modern Leather Case - iPhone 16 Pro  Black</v>
      </c>
      <c r="FA134" s="12" t="str">
        <v>Cases iPhone</v>
      </c>
      <c r="FB134" s="12" t="str">
        <v>iPhone 16</v>
      </c>
      <c r="FC134" s="12" t="str">
        <v>iPhone 16 Pro / iPhone 17</v>
      </c>
      <c r="FD134" s="23" t="str">
        <f>_xlfn.XLOOKUP(B:B,'[1]Price List'!$B:$B,'[1]Price List'!$A:$A)</f>
        <v>Nomad</v>
      </c>
    </row>
    <row r="135" spans="1:160" s="9" customFormat="1" x14ac:dyDescent="0.2">
      <c r="A135" s="23" t="s">
        <v>598</v>
      </c>
      <c r="B135" s="39">
        <v>856500016962</v>
      </c>
      <c r="C135" s="9" t="s">
        <v>545</v>
      </c>
      <c r="D135" s="9" t="s">
        <v>644</v>
      </c>
      <c r="E135" s="26" t="s">
        <v>435</v>
      </c>
      <c r="F135" s="26" t="s">
        <v>436</v>
      </c>
      <c r="G135" s="9" t="s">
        <v>688</v>
      </c>
      <c r="H135" s="10" t="s">
        <v>434</v>
      </c>
      <c r="I135" s="11">
        <v>999</v>
      </c>
      <c r="J135" s="11">
        <v>473.66379310344831</v>
      </c>
      <c r="K135" s="62">
        <v>0</v>
      </c>
      <c r="L135" s="12">
        <v>0</v>
      </c>
      <c r="M135" s="13" t="s">
        <v>467</v>
      </c>
      <c r="N135" s="13" t="s">
        <v>655</v>
      </c>
      <c r="O135" s="27"/>
      <c r="P135" s="12">
        <v>0</v>
      </c>
      <c r="Q135" s="12">
        <v>0</v>
      </c>
      <c r="R135" s="12">
        <v>0</v>
      </c>
      <c r="S135" s="12">
        <v>0</v>
      </c>
      <c r="T135" s="12">
        <v>0</v>
      </c>
      <c r="U135" s="12">
        <v>0</v>
      </c>
      <c r="V135" s="12">
        <v>0</v>
      </c>
      <c r="W135" s="12">
        <v>0</v>
      </c>
      <c r="X135" s="12">
        <v>0</v>
      </c>
      <c r="Y135" s="12">
        <v>0</v>
      </c>
      <c r="Z135" s="12">
        <v>0</v>
      </c>
      <c r="AA135" s="12">
        <v>0</v>
      </c>
      <c r="AB135" s="12">
        <v>0</v>
      </c>
      <c r="AC135" s="12">
        <v>0</v>
      </c>
      <c r="AD135" s="12">
        <v>0</v>
      </c>
      <c r="AE135" s="12">
        <v>0</v>
      </c>
      <c r="AF135" s="12">
        <v>0</v>
      </c>
      <c r="AG135" s="12">
        <v>0</v>
      </c>
      <c r="AH135" s="12">
        <v>0</v>
      </c>
      <c r="AI135" s="12">
        <v>0</v>
      </c>
      <c r="AJ135" s="12">
        <v>0</v>
      </c>
      <c r="AK135" s="12">
        <v>0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2">
        <v>0</v>
      </c>
      <c r="AW135" s="12">
        <v>0</v>
      </c>
      <c r="AX135" s="12">
        <v>0</v>
      </c>
      <c r="AY135" s="12">
        <v>0</v>
      </c>
      <c r="AZ135" s="12">
        <v>0</v>
      </c>
      <c r="BA135" s="12">
        <v>0</v>
      </c>
      <c r="BB135" s="12">
        <v>0</v>
      </c>
      <c r="BC135" s="12">
        <v>0</v>
      </c>
      <c r="BD135" s="12">
        <v>0</v>
      </c>
      <c r="BE135" s="12">
        <v>8</v>
      </c>
      <c r="BF135" s="12">
        <v>29</v>
      </c>
      <c r="BG135" s="12">
        <v>21</v>
      </c>
      <c r="BH135" s="12">
        <v>19</v>
      </c>
      <c r="BI135" s="12">
        <v>14</v>
      </c>
      <c r="BJ135" s="12">
        <v>28</v>
      </c>
      <c r="BK135" s="12">
        <v>21</v>
      </c>
      <c r="BL135" s="12">
        <v>18</v>
      </c>
      <c r="BM135" s="12">
        <v>21</v>
      </c>
      <c r="BN135" s="12">
        <v>21</v>
      </c>
      <c r="BO135" s="12">
        <v>23</v>
      </c>
      <c r="BP135" s="12">
        <v>28</v>
      </c>
      <c r="BQ135" s="12">
        <v>11</v>
      </c>
      <c r="BR135" s="12">
        <v>16</v>
      </c>
      <c r="BS135" s="12">
        <v>9</v>
      </c>
      <c r="BT135" s="12">
        <v>6</v>
      </c>
      <c r="BU135" s="12">
        <v>7</v>
      </c>
      <c r="BV135" s="12">
        <v>17</v>
      </c>
      <c r="BW135" s="12">
        <v>11</v>
      </c>
      <c r="BX135" s="12">
        <v>11</v>
      </c>
      <c r="BY135" s="12">
        <v>15</v>
      </c>
      <c r="BZ135" s="12">
        <v>7</v>
      </c>
      <c r="CA135" s="12">
        <v>10</v>
      </c>
      <c r="CB135" s="12">
        <v>8</v>
      </c>
      <c r="CC135" s="12">
        <v>8</v>
      </c>
      <c r="CD135" s="12">
        <v>7</v>
      </c>
      <c r="CE135" s="12">
        <v>12</v>
      </c>
      <c r="CF135" s="12">
        <v>11</v>
      </c>
      <c r="CG135" s="12">
        <v>16</v>
      </c>
      <c r="CH135" s="12">
        <v>15</v>
      </c>
      <c r="CI135" s="12">
        <v>13</v>
      </c>
      <c r="CJ135" s="12">
        <v>8</v>
      </c>
      <c r="CK135" s="12">
        <v>14</v>
      </c>
      <c r="CL135" s="12">
        <v>8</v>
      </c>
      <c r="CM135" s="12">
        <v>9</v>
      </c>
      <c r="CN135" s="12">
        <v>7</v>
      </c>
      <c r="CO135" s="12">
        <v>12</v>
      </c>
      <c r="CP135" s="12">
        <v>6</v>
      </c>
      <c r="CQ135" s="12">
        <v>5</v>
      </c>
      <c r="CR135" s="12">
        <v>11</v>
      </c>
      <c r="CS135" s="12">
        <v>6</v>
      </c>
      <c r="CT135" s="12">
        <v>8</v>
      </c>
      <c r="CU135" s="12">
        <v>5</v>
      </c>
      <c r="CV135" s="12">
        <v>9</v>
      </c>
      <c r="CW135" s="12">
        <v>5</v>
      </c>
      <c r="CX135" s="12">
        <v>3</v>
      </c>
      <c r="CY135" s="12">
        <v>1</v>
      </c>
      <c r="CZ135" s="12">
        <v>4</v>
      </c>
      <c r="DA135" s="12">
        <v>5</v>
      </c>
      <c r="DB135" s="12">
        <v>4</v>
      </c>
      <c r="DC135" s="12">
        <v>2</v>
      </c>
      <c r="DD135" s="12">
        <v>1</v>
      </c>
      <c r="DE135" s="12">
        <v>2</v>
      </c>
      <c r="DF135" s="12">
        <v>4</v>
      </c>
      <c r="DG135" s="12">
        <v>4</v>
      </c>
      <c r="DH135" s="12">
        <v>4</v>
      </c>
      <c r="DI135" s="12">
        <v>2</v>
      </c>
      <c r="DJ135" s="12">
        <v>0</v>
      </c>
      <c r="DK135" s="12">
        <v>1</v>
      </c>
      <c r="DL135" s="12">
        <v>0</v>
      </c>
      <c r="DM135" s="12">
        <v>2</v>
      </c>
      <c r="DN135" s="12">
        <v>1</v>
      </c>
      <c r="DO135" s="12">
        <v>3</v>
      </c>
      <c r="DP135" s="12">
        <v>2</v>
      </c>
      <c r="DQ135" s="12">
        <v>2</v>
      </c>
      <c r="DR135" s="12">
        <v>0</v>
      </c>
      <c r="DS135" s="12">
        <v>1</v>
      </c>
      <c r="DT135" s="12">
        <v>0</v>
      </c>
      <c r="DU135" s="12">
        <v>2</v>
      </c>
      <c r="DV135" s="12">
        <v>0</v>
      </c>
      <c r="DW135" s="12">
        <v>2</v>
      </c>
      <c r="DX135" s="12">
        <v>0</v>
      </c>
      <c r="DY135" s="12">
        <v>0</v>
      </c>
      <c r="DZ135" s="12">
        <v>0</v>
      </c>
      <c r="EA135" s="12">
        <v>0</v>
      </c>
      <c r="EB135" s="12">
        <v>0</v>
      </c>
      <c r="EC135" s="12">
        <v>2</v>
      </c>
      <c r="ED135" s="12">
        <v>1</v>
      </c>
      <c r="EE135" s="12">
        <v>0</v>
      </c>
      <c r="EF135" s="12">
        <v>0</v>
      </c>
      <c r="EG135" s="12">
        <v>1</v>
      </c>
      <c r="EH135" s="12">
        <v>1</v>
      </c>
      <c r="EI135" s="12">
        <v>0</v>
      </c>
      <c r="EJ135" s="12">
        <v>1</v>
      </c>
      <c r="EK135" s="12">
        <v>1</v>
      </c>
      <c r="EL135" s="12">
        <v>0</v>
      </c>
      <c r="EM135" s="12">
        <v>0</v>
      </c>
      <c r="EN135" s="12">
        <v>0</v>
      </c>
      <c r="EO135" s="12">
        <v>0</v>
      </c>
      <c r="EP135" s="12" t="str">
        <f t="shared" si="29"/>
        <v>🔴 Sin venta</v>
      </c>
      <c r="EQ135" s="23">
        <f t="shared" ref="EQ135:EQ198" si="35">AVERAGE(DP135:EM135)</f>
        <v>0.66666666666666663</v>
      </c>
      <c r="ER135" s="19">
        <f t="shared" si="34"/>
        <v>7578.620689655173</v>
      </c>
      <c r="ES135" s="12">
        <f t="shared" si="33"/>
        <v>16</v>
      </c>
      <c r="ET135" s="23">
        <f t="shared" si="32"/>
        <v>13</v>
      </c>
      <c r="EU135" s="23">
        <f t="shared" si="31"/>
        <v>6.5</v>
      </c>
      <c r="EV135" s="23">
        <f t="shared" si="23"/>
        <v>2.89</v>
      </c>
      <c r="EW135" s="23"/>
      <c r="EX135" s="12">
        <v>25</v>
      </c>
      <c r="EY135" s="19" cm="1">
        <f t="array" ref="EY135:FC135">VLOOKUP(_xlfn.SINGLE(B:B),'[1]Price List'!$B:$N,{8,4,5,6,7},0)</f>
        <v>473.66</v>
      </c>
      <c r="EZ135" s="9" t="str">
        <v>Nomad Modern Leather Case - iPhone 16 Pro  Brown</v>
      </c>
      <c r="FA135" s="12" t="str">
        <v>Cases iPhone</v>
      </c>
      <c r="FB135" s="12" t="str">
        <v>iPhone 16</v>
      </c>
      <c r="FC135" s="12" t="str">
        <v>iPhone 16 Pro / iPhone 17</v>
      </c>
      <c r="FD135" s="23" t="str">
        <f>_xlfn.XLOOKUP(B:B,'[1]Price List'!$B:$B,'[1]Price List'!$A:$A)</f>
        <v>Nomad</v>
      </c>
    </row>
    <row r="136" spans="1:160" s="9" customFormat="1" x14ac:dyDescent="0.2">
      <c r="A136" s="23" t="s">
        <v>600</v>
      </c>
      <c r="B136" s="28">
        <v>5056586735282</v>
      </c>
      <c r="C136" s="9" t="s">
        <v>551</v>
      </c>
      <c r="D136" s="9" t="s">
        <v>644</v>
      </c>
      <c r="E136" s="26" t="s">
        <v>435</v>
      </c>
      <c r="F136" s="26" t="s">
        <v>435</v>
      </c>
      <c r="G136" s="9" t="s">
        <v>435</v>
      </c>
      <c r="H136" s="28" t="s">
        <v>444</v>
      </c>
      <c r="I136" s="29">
        <v>999</v>
      </c>
      <c r="J136" s="11">
        <v>430.6</v>
      </c>
      <c r="K136" s="62">
        <v>0</v>
      </c>
      <c r="L136" s="12">
        <v>0</v>
      </c>
      <c r="M136" s="13" t="s">
        <v>467</v>
      </c>
      <c r="N136" s="13" t="s">
        <v>475</v>
      </c>
      <c r="O136" s="27"/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  <c r="V136" s="12">
        <v>0</v>
      </c>
      <c r="W136" s="12">
        <v>0</v>
      </c>
      <c r="X136" s="12">
        <v>0</v>
      </c>
      <c r="Y136" s="12">
        <v>0</v>
      </c>
      <c r="Z136" s="12">
        <v>0</v>
      </c>
      <c r="AA136" s="12">
        <v>0</v>
      </c>
      <c r="AB136" s="12">
        <v>0</v>
      </c>
      <c r="AC136" s="12">
        <v>0</v>
      </c>
      <c r="AD136" s="12">
        <v>0</v>
      </c>
      <c r="AE136" s="12">
        <v>0</v>
      </c>
      <c r="AF136" s="12">
        <v>0</v>
      </c>
      <c r="AG136" s="12">
        <v>0</v>
      </c>
      <c r="AH136" s="12">
        <v>0</v>
      </c>
      <c r="AI136" s="12">
        <v>0</v>
      </c>
      <c r="AJ136" s="12">
        <v>0</v>
      </c>
      <c r="AK136" s="12">
        <v>0</v>
      </c>
      <c r="AL136" s="12">
        <v>0</v>
      </c>
      <c r="AM136" s="12">
        <v>0</v>
      </c>
      <c r="AN136" s="12">
        <v>0</v>
      </c>
      <c r="AO136" s="12">
        <v>0</v>
      </c>
      <c r="AP136" s="12">
        <v>0</v>
      </c>
      <c r="AQ136" s="12">
        <v>0</v>
      </c>
      <c r="AR136" s="12">
        <v>0</v>
      </c>
      <c r="AS136" s="12">
        <v>0</v>
      </c>
      <c r="AT136" s="12">
        <v>0</v>
      </c>
      <c r="AU136" s="12">
        <v>0</v>
      </c>
      <c r="AV136" s="12">
        <v>0</v>
      </c>
      <c r="AW136" s="12">
        <v>0</v>
      </c>
      <c r="AX136" s="12">
        <v>0</v>
      </c>
      <c r="AY136" s="12">
        <v>0</v>
      </c>
      <c r="AZ136" s="12">
        <v>0</v>
      </c>
      <c r="BA136" s="12">
        <v>0</v>
      </c>
      <c r="BB136" s="12">
        <v>0</v>
      </c>
      <c r="BC136" s="12">
        <v>0</v>
      </c>
      <c r="BD136" s="12">
        <v>0</v>
      </c>
      <c r="BE136" s="12">
        <v>0</v>
      </c>
      <c r="BF136" s="12">
        <v>0</v>
      </c>
      <c r="BG136" s="12">
        <v>4</v>
      </c>
      <c r="BH136" s="12">
        <v>3</v>
      </c>
      <c r="BI136" s="12">
        <v>1</v>
      </c>
      <c r="BJ136" s="12">
        <v>11</v>
      </c>
      <c r="BK136" s="12">
        <v>10</v>
      </c>
      <c r="BL136" s="12">
        <v>4</v>
      </c>
      <c r="BM136" s="12">
        <v>5</v>
      </c>
      <c r="BN136" s="12">
        <v>4</v>
      </c>
      <c r="BO136" s="12">
        <v>8</v>
      </c>
      <c r="BP136" s="12">
        <v>5</v>
      </c>
      <c r="BQ136" s="12">
        <v>8</v>
      </c>
      <c r="BR136" s="12">
        <v>4</v>
      </c>
      <c r="BS136" s="12">
        <v>4</v>
      </c>
      <c r="BT136" s="12">
        <v>5</v>
      </c>
      <c r="BU136" s="12">
        <v>4</v>
      </c>
      <c r="BV136" s="12">
        <v>5</v>
      </c>
      <c r="BW136" s="12">
        <v>4</v>
      </c>
      <c r="BX136" s="12">
        <v>2</v>
      </c>
      <c r="BY136" s="12">
        <v>2</v>
      </c>
      <c r="BZ136" s="12">
        <v>2</v>
      </c>
      <c r="CA136" s="12">
        <v>1</v>
      </c>
      <c r="CB136" s="12">
        <v>8</v>
      </c>
      <c r="CC136" s="12">
        <v>9</v>
      </c>
      <c r="CD136" s="12">
        <v>3</v>
      </c>
      <c r="CE136" s="12">
        <v>1</v>
      </c>
      <c r="CF136" s="12">
        <v>4</v>
      </c>
      <c r="CG136" s="12">
        <v>5</v>
      </c>
      <c r="CH136" s="12">
        <v>2</v>
      </c>
      <c r="CI136" s="12">
        <v>4</v>
      </c>
      <c r="CJ136" s="12">
        <v>3</v>
      </c>
      <c r="CK136" s="12">
        <v>1</v>
      </c>
      <c r="CL136" s="12">
        <v>4</v>
      </c>
      <c r="CM136" s="12">
        <v>4</v>
      </c>
      <c r="CN136" s="12">
        <v>2</v>
      </c>
      <c r="CO136" s="12">
        <v>5</v>
      </c>
      <c r="CP136" s="12">
        <v>4</v>
      </c>
      <c r="CQ136" s="12">
        <v>4</v>
      </c>
      <c r="CR136" s="12">
        <v>6</v>
      </c>
      <c r="CS136" s="12">
        <v>2</v>
      </c>
      <c r="CT136" s="12">
        <v>3</v>
      </c>
      <c r="CU136" s="12">
        <v>3</v>
      </c>
      <c r="CV136" s="12">
        <v>4</v>
      </c>
      <c r="CW136" s="12">
        <v>3</v>
      </c>
      <c r="CX136" s="12">
        <v>3</v>
      </c>
      <c r="CY136" s="12">
        <v>3</v>
      </c>
      <c r="CZ136" s="12">
        <v>2</v>
      </c>
      <c r="DA136" s="12">
        <v>1</v>
      </c>
      <c r="DB136" s="12">
        <v>6</v>
      </c>
      <c r="DC136" s="12">
        <v>2</v>
      </c>
      <c r="DD136" s="12">
        <v>4</v>
      </c>
      <c r="DE136" s="12">
        <v>3</v>
      </c>
      <c r="DF136" s="12">
        <v>5</v>
      </c>
      <c r="DG136" s="12">
        <v>2</v>
      </c>
      <c r="DH136" s="12">
        <v>3</v>
      </c>
      <c r="DI136" s="12">
        <v>8</v>
      </c>
      <c r="DJ136" s="12">
        <v>3</v>
      </c>
      <c r="DK136" s="12">
        <v>5</v>
      </c>
      <c r="DL136" s="12">
        <v>5</v>
      </c>
      <c r="DM136" s="12">
        <v>6</v>
      </c>
      <c r="DN136" s="12">
        <v>10</v>
      </c>
      <c r="DO136" s="12">
        <v>3</v>
      </c>
      <c r="DP136" s="12">
        <v>2</v>
      </c>
      <c r="DQ136" s="12">
        <v>0</v>
      </c>
      <c r="DR136" s="12">
        <v>1</v>
      </c>
      <c r="DS136" s="12">
        <v>1</v>
      </c>
      <c r="DT136" s="12">
        <v>3</v>
      </c>
      <c r="DU136" s="12">
        <v>1</v>
      </c>
      <c r="DV136" s="12">
        <v>2</v>
      </c>
      <c r="DW136" s="12">
        <v>4</v>
      </c>
      <c r="DX136" s="12">
        <v>0</v>
      </c>
      <c r="DY136" s="12">
        <v>3</v>
      </c>
      <c r="DZ136" s="12">
        <v>0</v>
      </c>
      <c r="EA136" s="12">
        <v>0</v>
      </c>
      <c r="EB136" s="12">
        <v>0</v>
      </c>
      <c r="EC136" s="12">
        <v>0</v>
      </c>
      <c r="ED136" s="12">
        <v>0</v>
      </c>
      <c r="EE136" s="12">
        <v>4</v>
      </c>
      <c r="EF136" s="12">
        <v>0</v>
      </c>
      <c r="EG136" s="12">
        <v>0</v>
      </c>
      <c r="EH136" s="12">
        <v>1</v>
      </c>
      <c r="EI136" s="12">
        <v>2</v>
      </c>
      <c r="EJ136" s="12">
        <v>1</v>
      </c>
      <c r="EK136" s="12">
        <v>3</v>
      </c>
      <c r="EL136" s="12">
        <v>1</v>
      </c>
      <c r="EM136" s="12">
        <v>1</v>
      </c>
      <c r="EN136" s="12">
        <v>2</v>
      </c>
      <c r="EO136" s="12">
        <v>0</v>
      </c>
      <c r="EP136" s="12" t="str">
        <f t="shared" si="29"/>
        <v>🟢 Bien</v>
      </c>
      <c r="EQ136" s="23">
        <f t="shared" si="35"/>
        <v>1.25</v>
      </c>
      <c r="ER136" s="19">
        <f t="shared" si="34"/>
        <v>13779.2</v>
      </c>
      <c r="ES136" s="12">
        <f t="shared" si="33"/>
        <v>32</v>
      </c>
      <c r="ET136" s="23">
        <f t="shared" si="32"/>
        <v>12.5</v>
      </c>
      <c r="EU136" s="23">
        <f t="shared" si="31"/>
        <v>21.5</v>
      </c>
      <c r="EV136" s="23">
        <f t="shared" si="23"/>
        <v>4.67</v>
      </c>
      <c r="EW136" s="23"/>
      <c r="EX136" s="12">
        <v>65</v>
      </c>
      <c r="EY136" s="19" cm="1">
        <f t="array" ref="EY136:FC136">VLOOKUP(_xlfn.SINGLE(B:B),'[1]Price List'!$B:$N,{8,4,5,6,7},0)</f>
        <v>430.6</v>
      </c>
      <c r="EZ136" s="9" t="str">
        <v>Tech21 EvoCrystal w/MagSafe for iPhone 16 - Blue</v>
      </c>
      <c r="FA136" s="12" t="str">
        <v>Cases iPhone</v>
      </c>
      <c r="FB136" s="12" t="str">
        <v>iPhone 16</v>
      </c>
      <c r="FC136" s="12" t="str">
        <v>iPhone 16</v>
      </c>
      <c r="FD136" s="23" t="str">
        <f>_xlfn.XLOOKUP(B:B,'[1]Price List'!$B:$B,'[1]Price List'!$A:$A)</f>
        <v>Tech21</v>
      </c>
    </row>
    <row r="137" spans="1:160" s="9" customFormat="1" x14ac:dyDescent="0.2">
      <c r="A137" s="23" t="s">
        <v>600</v>
      </c>
      <c r="B137" s="28">
        <v>5056586735343</v>
      </c>
      <c r="C137" s="9" t="s">
        <v>552</v>
      </c>
      <c r="D137" s="9" t="s">
        <v>644</v>
      </c>
      <c r="E137" s="26" t="s">
        <v>435</v>
      </c>
      <c r="F137" s="26" t="s">
        <v>435</v>
      </c>
      <c r="G137" s="9" t="s">
        <v>435</v>
      </c>
      <c r="H137" s="28" t="s">
        <v>445</v>
      </c>
      <c r="I137" s="29">
        <v>999</v>
      </c>
      <c r="J137" s="11">
        <v>430.6</v>
      </c>
      <c r="K137" s="62">
        <v>0</v>
      </c>
      <c r="L137" s="12">
        <v>0</v>
      </c>
      <c r="M137" s="13" t="s">
        <v>467</v>
      </c>
      <c r="N137" s="13" t="s">
        <v>475</v>
      </c>
      <c r="O137" s="27"/>
      <c r="P137" s="12">
        <v>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>
        <v>0</v>
      </c>
      <c r="X137" s="12">
        <v>0</v>
      </c>
      <c r="Y137" s="12">
        <v>0</v>
      </c>
      <c r="Z137" s="12">
        <v>0</v>
      </c>
      <c r="AA137" s="12">
        <v>0</v>
      </c>
      <c r="AB137" s="12">
        <v>0</v>
      </c>
      <c r="AC137" s="12">
        <v>0</v>
      </c>
      <c r="AD137" s="12">
        <v>0</v>
      </c>
      <c r="AE137" s="12">
        <v>0</v>
      </c>
      <c r="AF137" s="12">
        <v>0</v>
      </c>
      <c r="AG137" s="12">
        <v>0</v>
      </c>
      <c r="AH137" s="12">
        <v>0</v>
      </c>
      <c r="AI137" s="12">
        <v>0</v>
      </c>
      <c r="AJ137" s="12">
        <v>0</v>
      </c>
      <c r="AK137" s="12">
        <v>0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2">
        <v>0</v>
      </c>
      <c r="AW137" s="12">
        <v>0</v>
      </c>
      <c r="AX137" s="12">
        <v>0</v>
      </c>
      <c r="AY137" s="12">
        <v>0</v>
      </c>
      <c r="AZ137" s="12">
        <v>0</v>
      </c>
      <c r="BA137" s="12">
        <v>0</v>
      </c>
      <c r="BB137" s="12">
        <v>0</v>
      </c>
      <c r="BC137" s="12">
        <v>0</v>
      </c>
      <c r="BD137" s="12">
        <v>0</v>
      </c>
      <c r="BE137" s="12">
        <v>0</v>
      </c>
      <c r="BF137" s="12">
        <v>0</v>
      </c>
      <c r="BG137" s="12">
        <v>6</v>
      </c>
      <c r="BH137" s="12">
        <v>6</v>
      </c>
      <c r="BI137" s="12">
        <v>6</v>
      </c>
      <c r="BJ137" s="12">
        <v>13</v>
      </c>
      <c r="BK137" s="12">
        <v>6</v>
      </c>
      <c r="BL137" s="12">
        <v>1</v>
      </c>
      <c r="BM137" s="12">
        <v>6</v>
      </c>
      <c r="BN137" s="12">
        <v>13</v>
      </c>
      <c r="BO137" s="12">
        <v>8</v>
      </c>
      <c r="BP137" s="12">
        <v>16</v>
      </c>
      <c r="BQ137" s="12">
        <v>5</v>
      </c>
      <c r="BR137" s="12">
        <v>7</v>
      </c>
      <c r="BS137" s="12">
        <v>6</v>
      </c>
      <c r="BT137" s="12">
        <v>7</v>
      </c>
      <c r="BU137" s="12">
        <v>5</v>
      </c>
      <c r="BV137" s="12">
        <v>7</v>
      </c>
      <c r="BW137" s="12">
        <v>7</v>
      </c>
      <c r="BX137" s="12">
        <v>6</v>
      </c>
      <c r="BY137" s="12">
        <v>5</v>
      </c>
      <c r="BZ137" s="12">
        <v>5</v>
      </c>
      <c r="CA137" s="12">
        <v>5</v>
      </c>
      <c r="CB137" s="12">
        <v>10</v>
      </c>
      <c r="CC137" s="12">
        <v>9</v>
      </c>
      <c r="CD137" s="12">
        <v>4</v>
      </c>
      <c r="CE137" s="12">
        <v>5</v>
      </c>
      <c r="CF137" s="12">
        <v>8</v>
      </c>
      <c r="CG137" s="12">
        <v>7</v>
      </c>
      <c r="CH137" s="12">
        <v>10</v>
      </c>
      <c r="CI137" s="12">
        <v>7</v>
      </c>
      <c r="CJ137" s="12">
        <v>5</v>
      </c>
      <c r="CK137" s="12">
        <v>9</v>
      </c>
      <c r="CL137" s="12">
        <v>8</v>
      </c>
      <c r="CM137" s="12">
        <v>5</v>
      </c>
      <c r="CN137" s="12">
        <v>8</v>
      </c>
      <c r="CO137" s="12">
        <v>3</v>
      </c>
      <c r="CP137" s="12">
        <v>9</v>
      </c>
      <c r="CQ137" s="12">
        <v>9</v>
      </c>
      <c r="CR137" s="12">
        <v>5</v>
      </c>
      <c r="CS137" s="12">
        <v>5</v>
      </c>
      <c r="CT137" s="12">
        <v>7</v>
      </c>
      <c r="CU137" s="12">
        <v>4</v>
      </c>
      <c r="CV137" s="12">
        <v>2</v>
      </c>
      <c r="CW137" s="12">
        <v>5</v>
      </c>
      <c r="CX137" s="12">
        <v>2</v>
      </c>
      <c r="CY137" s="12">
        <v>8</v>
      </c>
      <c r="CZ137" s="12">
        <v>5</v>
      </c>
      <c r="DA137" s="12">
        <v>5</v>
      </c>
      <c r="DB137" s="12">
        <v>6</v>
      </c>
      <c r="DC137" s="12">
        <v>3</v>
      </c>
      <c r="DD137" s="12">
        <v>2</v>
      </c>
      <c r="DE137" s="12">
        <v>7</v>
      </c>
      <c r="DF137" s="12">
        <v>3</v>
      </c>
      <c r="DG137" s="12">
        <v>1</v>
      </c>
      <c r="DH137" s="12">
        <v>4</v>
      </c>
      <c r="DI137" s="12">
        <v>8</v>
      </c>
      <c r="DJ137" s="12">
        <v>5</v>
      </c>
      <c r="DK137" s="12">
        <v>4</v>
      </c>
      <c r="DL137" s="12">
        <v>4</v>
      </c>
      <c r="DM137" s="12">
        <v>5</v>
      </c>
      <c r="DN137" s="12">
        <v>4</v>
      </c>
      <c r="DO137" s="12">
        <v>5</v>
      </c>
      <c r="DP137" s="12">
        <v>1</v>
      </c>
      <c r="DQ137" s="12">
        <v>2</v>
      </c>
      <c r="DR137" s="12">
        <v>0</v>
      </c>
      <c r="DS137" s="12">
        <v>1</v>
      </c>
      <c r="DT137" s="12">
        <v>1</v>
      </c>
      <c r="DU137" s="12">
        <v>2</v>
      </c>
      <c r="DV137" s="12">
        <v>1</v>
      </c>
      <c r="DW137" s="12">
        <v>1</v>
      </c>
      <c r="DX137" s="12">
        <v>1</v>
      </c>
      <c r="DY137" s="12">
        <v>0</v>
      </c>
      <c r="DZ137" s="12">
        <v>0</v>
      </c>
      <c r="EA137" s="12">
        <v>1</v>
      </c>
      <c r="EB137" s="12">
        <v>1</v>
      </c>
      <c r="EC137" s="12">
        <v>1</v>
      </c>
      <c r="ED137" s="12">
        <v>0</v>
      </c>
      <c r="EE137" s="12">
        <v>0</v>
      </c>
      <c r="EF137" s="12">
        <v>0</v>
      </c>
      <c r="EG137" s="12">
        <v>0</v>
      </c>
      <c r="EH137" s="12">
        <v>0</v>
      </c>
      <c r="EI137" s="12">
        <v>0</v>
      </c>
      <c r="EJ137" s="12">
        <v>0</v>
      </c>
      <c r="EK137" s="12">
        <v>0</v>
      </c>
      <c r="EL137" s="12">
        <v>1</v>
      </c>
      <c r="EM137" s="12">
        <v>0</v>
      </c>
      <c r="EN137" s="12">
        <v>0</v>
      </c>
      <c r="EO137" s="12">
        <v>0</v>
      </c>
      <c r="EP137" s="12" t="str">
        <f t="shared" si="29"/>
        <v>🟢 Bien</v>
      </c>
      <c r="EQ137" s="23">
        <f t="shared" si="35"/>
        <v>0.58333333333333337</v>
      </c>
      <c r="ER137" s="19">
        <f t="shared" si="34"/>
        <v>6028.4000000000005</v>
      </c>
      <c r="ES137" s="12">
        <f t="shared" si="33"/>
        <v>14</v>
      </c>
      <c r="ET137" s="23">
        <f t="shared" si="32"/>
        <v>16</v>
      </c>
      <c r="EU137" s="23">
        <f t="shared" si="31"/>
        <v>19.5</v>
      </c>
      <c r="EV137" s="23">
        <f t="shared" si="23"/>
        <v>2.89</v>
      </c>
      <c r="EW137" s="23"/>
      <c r="EX137" s="12">
        <v>45</v>
      </c>
      <c r="EY137" s="19" cm="1">
        <f t="array" ref="EY137:FC137">VLOOKUP(_xlfn.SINGLE(B:B),'[1]Price List'!$B:$N,{8,4,5,6,7},0)</f>
        <v>430.6</v>
      </c>
      <c r="EZ137" s="9" t="str">
        <v>Tech21 EvoCrystal w/MagSafe for iPhone 16 - Pink</v>
      </c>
      <c r="FA137" s="12" t="str">
        <v>Cases iPhone</v>
      </c>
      <c r="FB137" s="12" t="str">
        <v>iPhone 16</v>
      </c>
      <c r="FC137" s="12" t="str">
        <v>iPhone 16</v>
      </c>
      <c r="FD137" s="23" t="str">
        <f>_xlfn.XLOOKUP(B:B,'[1]Price List'!$B:$B,'[1]Price List'!$A:$A)</f>
        <v>Tech21</v>
      </c>
    </row>
    <row r="138" spans="1:160" s="9" customFormat="1" x14ac:dyDescent="0.2">
      <c r="A138" s="23" t="s">
        <v>600</v>
      </c>
      <c r="B138" s="40">
        <v>5056586738795</v>
      </c>
      <c r="C138" s="9" t="s">
        <v>553</v>
      </c>
      <c r="D138" s="9" t="s">
        <v>644</v>
      </c>
      <c r="E138" s="26" t="s">
        <v>435</v>
      </c>
      <c r="F138" s="26" t="s">
        <v>436</v>
      </c>
      <c r="G138" s="9" t="s">
        <v>688</v>
      </c>
      <c r="H138" s="28" t="s">
        <v>446</v>
      </c>
      <c r="I138" s="29">
        <v>999</v>
      </c>
      <c r="J138" s="11">
        <v>430.6</v>
      </c>
      <c r="K138" s="62">
        <v>0</v>
      </c>
      <c r="L138" s="12">
        <v>0</v>
      </c>
      <c r="M138" s="13" t="s">
        <v>467</v>
      </c>
      <c r="N138" s="13" t="s">
        <v>655</v>
      </c>
      <c r="O138" s="27"/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0</v>
      </c>
      <c r="X138" s="12">
        <v>0</v>
      </c>
      <c r="Y138" s="12">
        <v>0</v>
      </c>
      <c r="Z138" s="12">
        <v>0</v>
      </c>
      <c r="AA138" s="12">
        <v>0</v>
      </c>
      <c r="AB138" s="12">
        <v>0</v>
      </c>
      <c r="AC138" s="12">
        <v>0</v>
      </c>
      <c r="AD138" s="12">
        <v>0</v>
      </c>
      <c r="AE138" s="12">
        <v>0</v>
      </c>
      <c r="AF138" s="12">
        <v>0</v>
      </c>
      <c r="AG138" s="12">
        <v>0</v>
      </c>
      <c r="AH138" s="12">
        <v>0</v>
      </c>
      <c r="AI138" s="12">
        <v>0</v>
      </c>
      <c r="AJ138" s="12">
        <v>0</v>
      </c>
      <c r="AK138" s="12">
        <v>0</v>
      </c>
      <c r="AL138" s="12">
        <v>0</v>
      </c>
      <c r="AM138" s="12">
        <v>0</v>
      </c>
      <c r="AN138" s="12">
        <v>0</v>
      </c>
      <c r="AO138" s="12">
        <v>0</v>
      </c>
      <c r="AP138" s="12">
        <v>0</v>
      </c>
      <c r="AQ138" s="12">
        <v>0</v>
      </c>
      <c r="AR138" s="12">
        <v>0</v>
      </c>
      <c r="AS138" s="12">
        <v>0</v>
      </c>
      <c r="AT138" s="12">
        <v>0</v>
      </c>
      <c r="AU138" s="12">
        <v>0</v>
      </c>
      <c r="AV138" s="12">
        <v>0</v>
      </c>
      <c r="AW138" s="12">
        <v>0</v>
      </c>
      <c r="AX138" s="12">
        <v>0</v>
      </c>
      <c r="AY138" s="12">
        <v>0</v>
      </c>
      <c r="AZ138" s="12">
        <v>0</v>
      </c>
      <c r="BA138" s="12">
        <v>0</v>
      </c>
      <c r="BB138" s="12">
        <v>0</v>
      </c>
      <c r="BC138" s="12">
        <v>0</v>
      </c>
      <c r="BD138" s="12">
        <v>0</v>
      </c>
      <c r="BE138" s="12">
        <v>0</v>
      </c>
      <c r="BF138" s="12">
        <v>0</v>
      </c>
      <c r="BG138" s="12">
        <v>20</v>
      </c>
      <c r="BH138" s="12">
        <v>27</v>
      </c>
      <c r="BI138" s="12">
        <v>15</v>
      </c>
      <c r="BJ138" s="12">
        <v>34</v>
      </c>
      <c r="BK138" s="12">
        <v>29</v>
      </c>
      <c r="BL138" s="12">
        <v>16</v>
      </c>
      <c r="BM138" s="12">
        <v>18</v>
      </c>
      <c r="BN138" s="12">
        <v>18</v>
      </c>
      <c r="BO138" s="12">
        <v>26</v>
      </c>
      <c r="BP138" s="12">
        <v>30</v>
      </c>
      <c r="BQ138" s="12">
        <v>20</v>
      </c>
      <c r="BR138" s="12">
        <v>17</v>
      </c>
      <c r="BS138" s="12">
        <v>13</v>
      </c>
      <c r="BT138" s="12">
        <v>5</v>
      </c>
      <c r="BU138" s="12">
        <v>13</v>
      </c>
      <c r="BV138" s="12">
        <v>13</v>
      </c>
      <c r="BW138" s="12">
        <v>14</v>
      </c>
      <c r="BX138" s="12">
        <v>12</v>
      </c>
      <c r="BY138" s="12">
        <v>13</v>
      </c>
      <c r="BZ138" s="12">
        <v>12</v>
      </c>
      <c r="CA138" s="12">
        <v>13</v>
      </c>
      <c r="CB138" s="12">
        <v>10</v>
      </c>
      <c r="CC138" s="12">
        <v>11</v>
      </c>
      <c r="CD138" s="12">
        <v>13</v>
      </c>
      <c r="CE138" s="12">
        <v>10</v>
      </c>
      <c r="CF138" s="12">
        <v>22</v>
      </c>
      <c r="CG138" s="12">
        <v>11</v>
      </c>
      <c r="CH138" s="12">
        <v>9</v>
      </c>
      <c r="CI138" s="12">
        <v>12</v>
      </c>
      <c r="CJ138" s="12">
        <v>6</v>
      </c>
      <c r="CK138" s="12">
        <v>13</v>
      </c>
      <c r="CL138" s="12">
        <v>10</v>
      </c>
      <c r="CM138" s="12">
        <v>20</v>
      </c>
      <c r="CN138" s="12">
        <v>10</v>
      </c>
      <c r="CO138" s="12">
        <v>7</v>
      </c>
      <c r="CP138" s="12">
        <v>11</v>
      </c>
      <c r="CQ138" s="12">
        <v>9</v>
      </c>
      <c r="CR138" s="12">
        <v>9</v>
      </c>
      <c r="CS138" s="12">
        <v>6</v>
      </c>
      <c r="CT138" s="12">
        <v>6</v>
      </c>
      <c r="CU138" s="12">
        <v>6</v>
      </c>
      <c r="CV138" s="12">
        <v>7</v>
      </c>
      <c r="CW138" s="12">
        <v>5</v>
      </c>
      <c r="CX138" s="12">
        <v>7</v>
      </c>
      <c r="CY138" s="12">
        <v>1</v>
      </c>
      <c r="CZ138" s="12">
        <v>4</v>
      </c>
      <c r="DA138" s="12">
        <v>5</v>
      </c>
      <c r="DB138" s="12">
        <v>9</v>
      </c>
      <c r="DC138" s="12">
        <v>10</v>
      </c>
      <c r="DD138" s="12">
        <v>10</v>
      </c>
      <c r="DE138" s="12">
        <v>1</v>
      </c>
      <c r="DF138" s="12">
        <v>6</v>
      </c>
      <c r="DG138" s="12">
        <v>3</v>
      </c>
      <c r="DH138" s="12">
        <v>6</v>
      </c>
      <c r="DI138" s="12">
        <v>9</v>
      </c>
      <c r="DJ138" s="12">
        <v>4</v>
      </c>
      <c r="DK138" s="12">
        <v>3</v>
      </c>
      <c r="DL138" s="12">
        <v>2</v>
      </c>
      <c r="DM138" s="12">
        <v>4</v>
      </c>
      <c r="DN138" s="12">
        <v>3</v>
      </c>
      <c r="DO138" s="12">
        <v>2</v>
      </c>
      <c r="DP138" s="12">
        <v>6</v>
      </c>
      <c r="DQ138" s="12">
        <v>4</v>
      </c>
      <c r="DR138" s="12">
        <v>2</v>
      </c>
      <c r="DS138" s="12">
        <v>3</v>
      </c>
      <c r="DT138" s="12">
        <v>1</v>
      </c>
      <c r="DU138" s="12">
        <v>4</v>
      </c>
      <c r="DV138" s="12">
        <v>6</v>
      </c>
      <c r="DW138" s="12">
        <v>1</v>
      </c>
      <c r="DX138" s="12">
        <v>0</v>
      </c>
      <c r="DY138" s="12">
        <v>0</v>
      </c>
      <c r="DZ138" s="12">
        <v>0</v>
      </c>
      <c r="EA138" s="12">
        <v>1</v>
      </c>
      <c r="EB138" s="12">
        <v>1</v>
      </c>
      <c r="EC138" s="12">
        <v>2</v>
      </c>
      <c r="ED138" s="12">
        <v>1</v>
      </c>
      <c r="EE138" s="12">
        <v>3</v>
      </c>
      <c r="EF138" s="12">
        <v>2</v>
      </c>
      <c r="EG138" s="12">
        <v>1</v>
      </c>
      <c r="EH138" s="12">
        <v>3</v>
      </c>
      <c r="EI138" s="12">
        <v>1</v>
      </c>
      <c r="EJ138" s="12">
        <v>1</v>
      </c>
      <c r="EK138" s="12">
        <v>0</v>
      </c>
      <c r="EL138" s="12">
        <v>0</v>
      </c>
      <c r="EM138" s="12">
        <v>0</v>
      </c>
      <c r="EN138" s="12">
        <v>0</v>
      </c>
      <c r="EO138" s="12">
        <v>0</v>
      </c>
      <c r="EP138" s="12" t="str">
        <f t="shared" si="29"/>
        <v>🔴 Sin venta</v>
      </c>
      <c r="EQ138" s="23">
        <f t="shared" si="35"/>
        <v>1.7916666666666667</v>
      </c>
      <c r="ER138" s="19">
        <f t="shared" si="34"/>
        <v>18515.8</v>
      </c>
      <c r="ES138" s="12">
        <f t="shared" si="33"/>
        <v>43</v>
      </c>
      <c r="ET138" s="12">
        <f>SUM(DQ138:ER138)</f>
        <v>18554.591666666667</v>
      </c>
      <c r="EU138" s="12">
        <f>SUM(DR138:ES138)</f>
        <v>18593.591666666667</v>
      </c>
      <c r="EV138" s="12">
        <f>SUM(DS138:ET138)</f>
        <v>37146.183333333334</v>
      </c>
      <c r="EW138" s="12">
        <f>SUM(DT138:EU138)</f>
        <v>55736.775000000001</v>
      </c>
      <c r="EX138" s="12">
        <v>41</v>
      </c>
      <c r="EY138" s="19" cm="1">
        <f t="array" ref="EY138:FC138">VLOOKUP(_xlfn.SINGLE(B:B),'[1]Price List'!$B:$N,{8,4,5,6,7},0)</f>
        <v>430.6</v>
      </c>
      <c r="EZ138" s="9" t="str">
        <v>Tech21 EvoCrystal w/MagSafe for iPhone 16 Pro  - Black</v>
      </c>
      <c r="FA138" s="12" t="str">
        <v>Cases iPhone</v>
      </c>
      <c r="FB138" s="12" t="str">
        <v>iPhone 16</v>
      </c>
      <c r="FC138" s="12" t="str">
        <v>iPhone 16 Pro / iPhone 17</v>
      </c>
      <c r="FD138" s="23" t="str">
        <f>_xlfn.XLOOKUP(B:B,'[1]Price List'!$B:$B,'[1]Price List'!$A:$A)</f>
        <v>Tech21</v>
      </c>
    </row>
    <row r="139" spans="1:160" s="9" customFormat="1" x14ac:dyDescent="0.2">
      <c r="A139" s="23" t="s">
        <v>600</v>
      </c>
      <c r="B139" s="40">
        <v>5056586738825</v>
      </c>
      <c r="C139" s="9" t="s">
        <v>554</v>
      </c>
      <c r="D139" s="9" t="s">
        <v>644</v>
      </c>
      <c r="E139" s="26" t="s">
        <v>435</v>
      </c>
      <c r="F139" s="26" t="s">
        <v>436</v>
      </c>
      <c r="G139" s="9" t="s">
        <v>688</v>
      </c>
      <c r="H139" s="28" t="s">
        <v>447</v>
      </c>
      <c r="I139" s="29">
        <v>999</v>
      </c>
      <c r="J139" s="11">
        <v>430.6</v>
      </c>
      <c r="K139" s="62">
        <v>0</v>
      </c>
      <c r="L139" s="12">
        <v>0</v>
      </c>
      <c r="M139" s="13" t="s">
        <v>467</v>
      </c>
      <c r="N139" s="13" t="s">
        <v>655</v>
      </c>
      <c r="O139" s="27"/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0</v>
      </c>
      <c r="W139" s="12">
        <v>0</v>
      </c>
      <c r="X139" s="12">
        <v>0</v>
      </c>
      <c r="Y139" s="12">
        <v>0</v>
      </c>
      <c r="Z139" s="12">
        <v>0</v>
      </c>
      <c r="AA139" s="12">
        <v>0</v>
      </c>
      <c r="AB139" s="12">
        <v>0</v>
      </c>
      <c r="AC139" s="12">
        <v>0</v>
      </c>
      <c r="AD139" s="12">
        <v>0</v>
      </c>
      <c r="AE139" s="12">
        <v>0</v>
      </c>
      <c r="AF139" s="12">
        <v>0</v>
      </c>
      <c r="AG139" s="12">
        <v>0</v>
      </c>
      <c r="AH139" s="12">
        <v>0</v>
      </c>
      <c r="AI139" s="12">
        <v>0</v>
      </c>
      <c r="AJ139" s="12">
        <v>0</v>
      </c>
      <c r="AK139" s="12">
        <v>0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2">
        <v>0</v>
      </c>
      <c r="AW139" s="12">
        <v>0</v>
      </c>
      <c r="AX139" s="12">
        <v>0</v>
      </c>
      <c r="AY139" s="12">
        <v>0</v>
      </c>
      <c r="AZ139" s="12">
        <v>0</v>
      </c>
      <c r="BA139" s="12">
        <v>0</v>
      </c>
      <c r="BB139" s="12">
        <v>0</v>
      </c>
      <c r="BC139" s="12">
        <v>0</v>
      </c>
      <c r="BD139" s="12">
        <v>0</v>
      </c>
      <c r="BE139" s="12">
        <v>0</v>
      </c>
      <c r="BF139" s="12">
        <v>0</v>
      </c>
      <c r="BG139" s="12">
        <v>3</v>
      </c>
      <c r="BH139" s="12">
        <v>3</v>
      </c>
      <c r="BI139" s="12">
        <v>1</v>
      </c>
      <c r="BJ139" s="12">
        <v>7</v>
      </c>
      <c r="BK139" s="12">
        <v>8</v>
      </c>
      <c r="BL139" s="12">
        <v>4</v>
      </c>
      <c r="BM139" s="12">
        <v>2</v>
      </c>
      <c r="BN139" s="12">
        <v>4</v>
      </c>
      <c r="BO139" s="12">
        <v>6</v>
      </c>
      <c r="BP139" s="12">
        <v>3</v>
      </c>
      <c r="BQ139" s="12">
        <v>2</v>
      </c>
      <c r="BR139" s="12">
        <v>6</v>
      </c>
      <c r="BS139" s="12">
        <v>1</v>
      </c>
      <c r="BT139" s="12">
        <v>2</v>
      </c>
      <c r="BU139" s="12">
        <v>0</v>
      </c>
      <c r="BV139" s="12">
        <v>1</v>
      </c>
      <c r="BW139" s="12">
        <v>1</v>
      </c>
      <c r="BX139" s="12">
        <v>2</v>
      </c>
      <c r="BY139" s="12">
        <v>2</v>
      </c>
      <c r="BZ139" s="12">
        <v>4</v>
      </c>
      <c r="CA139" s="12">
        <v>2</v>
      </c>
      <c r="CB139" s="12">
        <v>2</v>
      </c>
      <c r="CC139" s="12">
        <v>4</v>
      </c>
      <c r="CD139" s="12">
        <v>2</v>
      </c>
      <c r="CE139" s="12">
        <v>1</v>
      </c>
      <c r="CF139" s="12">
        <v>6</v>
      </c>
      <c r="CG139" s="12">
        <v>2</v>
      </c>
      <c r="CH139" s="12">
        <v>2</v>
      </c>
      <c r="CI139" s="12">
        <v>1</v>
      </c>
      <c r="CJ139" s="12">
        <v>5</v>
      </c>
      <c r="CK139" s="12">
        <v>3</v>
      </c>
      <c r="CL139" s="12">
        <v>0</v>
      </c>
      <c r="CM139" s="12">
        <v>1</v>
      </c>
      <c r="CN139" s="12">
        <v>1</v>
      </c>
      <c r="CO139" s="12">
        <v>1</v>
      </c>
      <c r="CP139" s="12">
        <v>0</v>
      </c>
      <c r="CQ139" s="12">
        <v>2</v>
      </c>
      <c r="CR139" s="12">
        <v>1</v>
      </c>
      <c r="CS139" s="12">
        <v>0</v>
      </c>
      <c r="CT139" s="12">
        <v>1</v>
      </c>
      <c r="CU139" s="12">
        <v>1</v>
      </c>
      <c r="CV139" s="12">
        <v>0</v>
      </c>
      <c r="CW139" s="12">
        <v>1</v>
      </c>
      <c r="CX139" s="12">
        <v>1</v>
      </c>
      <c r="CY139" s="12">
        <v>3</v>
      </c>
      <c r="CZ139" s="12">
        <v>1</v>
      </c>
      <c r="DA139" s="12">
        <v>0</v>
      </c>
      <c r="DB139" s="12">
        <v>2</v>
      </c>
      <c r="DC139" s="12">
        <v>1</v>
      </c>
      <c r="DD139" s="12">
        <v>0</v>
      </c>
      <c r="DE139" s="12">
        <v>0</v>
      </c>
      <c r="DF139" s="12">
        <v>3</v>
      </c>
      <c r="DG139" s="12">
        <v>1</v>
      </c>
      <c r="DH139" s="12">
        <v>4</v>
      </c>
      <c r="DI139" s="12">
        <v>4</v>
      </c>
      <c r="DJ139" s="12">
        <v>1</v>
      </c>
      <c r="DK139" s="12">
        <v>3</v>
      </c>
      <c r="DL139" s="12">
        <v>1</v>
      </c>
      <c r="DM139" s="12">
        <v>2</v>
      </c>
      <c r="DN139" s="12">
        <v>2</v>
      </c>
      <c r="DO139" s="12">
        <v>1</v>
      </c>
      <c r="DP139" s="12">
        <v>2</v>
      </c>
      <c r="DQ139" s="12">
        <v>3</v>
      </c>
      <c r="DR139" s="12">
        <v>0</v>
      </c>
      <c r="DS139" s="12">
        <v>1</v>
      </c>
      <c r="DT139" s="12">
        <v>1</v>
      </c>
      <c r="DU139" s="12">
        <v>3</v>
      </c>
      <c r="DV139" s="12">
        <v>0</v>
      </c>
      <c r="DW139" s="12">
        <v>5</v>
      </c>
      <c r="DX139" s="12">
        <v>0</v>
      </c>
      <c r="DY139" s="12">
        <v>0</v>
      </c>
      <c r="DZ139" s="12">
        <v>1</v>
      </c>
      <c r="EA139" s="12">
        <v>1</v>
      </c>
      <c r="EB139" s="12">
        <v>1</v>
      </c>
      <c r="EC139" s="12">
        <v>0</v>
      </c>
      <c r="ED139" s="12">
        <v>0</v>
      </c>
      <c r="EE139" s="12">
        <v>0</v>
      </c>
      <c r="EF139" s="12">
        <v>2</v>
      </c>
      <c r="EG139" s="12">
        <v>1</v>
      </c>
      <c r="EH139" s="12">
        <v>2</v>
      </c>
      <c r="EI139" s="12">
        <v>3</v>
      </c>
      <c r="EJ139" s="12">
        <v>1</v>
      </c>
      <c r="EK139" s="12">
        <v>1</v>
      </c>
      <c r="EL139" s="12">
        <v>0</v>
      </c>
      <c r="EM139" s="12">
        <v>2</v>
      </c>
      <c r="EN139" s="12">
        <v>1</v>
      </c>
      <c r="EO139" s="12">
        <v>0</v>
      </c>
      <c r="EP139" s="12" t="str">
        <f t="shared" si="29"/>
        <v>🔴 Sin venta</v>
      </c>
      <c r="EQ139" s="23">
        <f t="shared" si="35"/>
        <v>1.25</v>
      </c>
      <c r="ER139" s="19">
        <f t="shared" si="34"/>
        <v>13348.6</v>
      </c>
      <c r="ES139" s="12">
        <f t="shared" si="33"/>
        <v>31</v>
      </c>
      <c r="ET139" s="23">
        <f t="shared" si="32"/>
        <v>4</v>
      </c>
      <c r="EU139" s="23">
        <f t="shared" si="31"/>
        <v>9</v>
      </c>
      <c r="EV139" s="23">
        <f t="shared" ref="EV139:EV146" si="36">ROUND((AVERAGE(DP139:EG139)*4),2)</f>
        <v>4.67</v>
      </c>
      <c r="EW139" s="23"/>
      <c r="EX139" s="12">
        <v>94</v>
      </c>
      <c r="EY139" s="19" cm="1">
        <f t="array" ref="EY139:FC139">VLOOKUP(_xlfn.SINGLE(B:B),'[1]Price List'!$B:$N,{8,4,5,6,7},0)</f>
        <v>430.6</v>
      </c>
      <c r="EZ139" s="9" t="str">
        <v>Tech21 EvoCrystal w/MagSafe for iPhone 16 Pro - Blue</v>
      </c>
      <c r="FA139" s="12" t="str">
        <v>Cases iPhone</v>
      </c>
      <c r="FB139" s="12" t="str">
        <v>iPhone 16</v>
      </c>
      <c r="FC139" s="12" t="str">
        <v>iPhone 16 Pro / iPhone 17</v>
      </c>
      <c r="FD139" s="23" t="str">
        <f>_xlfn.XLOOKUP(B:B,'[1]Price List'!$B:$B,'[1]Price List'!$A:$A)</f>
        <v>Tech21</v>
      </c>
    </row>
    <row r="140" spans="1:160" s="9" customFormat="1" x14ac:dyDescent="0.2">
      <c r="A140" s="23" t="s">
        <v>600</v>
      </c>
      <c r="B140" s="28">
        <v>5056586740569</v>
      </c>
      <c r="C140" s="9" t="s">
        <v>555</v>
      </c>
      <c r="D140" s="9" t="s">
        <v>644</v>
      </c>
      <c r="E140" s="26" t="s">
        <v>435</v>
      </c>
      <c r="F140" s="26" t="s">
        <v>437</v>
      </c>
      <c r="G140" s="9" t="s">
        <v>437</v>
      </c>
      <c r="H140" s="28" t="s">
        <v>448</v>
      </c>
      <c r="I140" s="29">
        <v>999</v>
      </c>
      <c r="J140" s="11">
        <v>430.6</v>
      </c>
      <c r="K140" s="62">
        <v>0</v>
      </c>
      <c r="L140" s="12">
        <v>0</v>
      </c>
      <c r="M140" s="13" t="s">
        <v>467</v>
      </c>
      <c r="N140" s="13" t="s">
        <v>475</v>
      </c>
      <c r="O140" s="27"/>
      <c r="P140" s="12">
        <v>0</v>
      </c>
      <c r="Q140" s="12">
        <v>0</v>
      </c>
      <c r="R140" s="12">
        <v>0</v>
      </c>
      <c r="S140" s="12">
        <v>0</v>
      </c>
      <c r="T140" s="12">
        <v>0</v>
      </c>
      <c r="U140" s="12">
        <v>0</v>
      </c>
      <c r="V140" s="12">
        <v>0</v>
      </c>
      <c r="W140" s="12">
        <v>0</v>
      </c>
      <c r="X140" s="12">
        <v>0</v>
      </c>
      <c r="Y140" s="12">
        <v>0</v>
      </c>
      <c r="Z140" s="12">
        <v>0</v>
      </c>
      <c r="AA140" s="12">
        <v>0</v>
      </c>
      <c r="AB140" s="12">
        <v>0</v>
      </c>
      <c r="AC140" s="12">
        <v>0</v>
      </c>
      <c r="AD140" s="12">
        <v>0</v>
      </c>
      <c r="AE140" s="12">
        <v>0</v>
      </c>
      <c r="AF140" s="12">
        <v>0</v>
      </c>
      <c r="AG140" s="12">
        <v>0</v>
      </c>
      <c r="AH140" s="12">
        <v>0</v>
      </c>
      <c r="AI140" s="12">
        <v>0</v>
      </c>
      <c r="AJ140" s="12">
        <v>0</v>
      </c>
      <c r="AK140" s="12">
        <v>0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2">
        <v>0</v>
      </c>
      <c r="AW140" s="12">
        <v>0</v>
      </c>
      <c r="AX140" s="12">
        <v>0</v>
      </c>
      <c r="AY140" s="12">
        <v>0</v>
      </c>
      <c r="AZ140" s="12">
        <v>0</v>
      </c>
      <c r="BA140" s="12">
        <v>0</v>
      </c>
      <c r="BB140" s="12">
        <v>0</v>
      </c>
      <c r="BC140" s="12">
        <v>0</v>
      </c>
      <c r="BD140" s="12">
        <v>0</v>
      </c>
      <c r="BE140" s="12">
        <v>0</v>
      </c>
      <c r="BF140" s="12">
        <v>0</v>
      </c>
      <c r="BG140" s="12">
        <v>45</v>
      </c>
      <c r="BH140" s="12">
        <v>30</v>
      </c>
      <c r="BI140" s="12">
        <v>48</v>
      </c>
      <c r="BJ140" s="12">
        <v>76</v>
      </c>
      <c r="BK140" s="12">
        <v>56</v>
      </c>
      <c r="BL140" s="12">
        <v>40</v>
      </c>
      <c r="BM140" s="12">
        <v>34</v>
      </c>
      <c r="BN140" s="12">
        <v>31</v>
      </c>
      <c r="BO140" s="12">
        <v>47</v>
      </c>
      <c r="BP140" s="12">
        <v>49</v>
      </c>
      <c r="BQ140" s="12">
        <v>39</v>
      </c>
      <c r="BR140" s="12">
        <v>20</v>
      </c>
      <c r="BS140" s="12">
        <v>20</v>
      </c>
      <c r="BT140" s="12">
        <v>10</v>
      </c>
      <c r="BU140" s="12">
        <v>6</v>
      </c>
      <c r="BV140" s="12">
        <v>5</v>
      </c>
      <c r="BW140" s="12">
        <v>10</v>
      </c>
      <c r="BX140" s="12">
        <v>7</v>
      </c>
      <c r="BY140" s="12">
        <v>1</v>
      </c>
      <c r="BZ140" s="12">
        <v>10</v>
      </c>
      <c r="CA140" s="12">
        <v>2</v>
      </c>
      <c r="CB140" s="12">
        <v>2</v>
      </c>
      <c r="CC140" s="12">
        <v>4</v>
      </c>
      <c r="CD140" s="12">
        <v>1</v>
      </c>
      <c r="CE140" s="12">
        <v>1</v>
      </c>
      <c r="CF140" s="12">
        <v>3</v>
      </c>
      <c r="CG140" s="12">
        <v>4</v>
      </c>
      <c r="CH140" s="12">
        <v>8</v>
      </c>
      <c r="CI140" s="12">
        <v>8</v>
      </c>
      <c r="CJ140" s="12">
        <v>8</v>
      </c>
      <c r="CK140" s="12">
        <v>16</v>
      </c>
      <c r="CL140" s="12">
        <v>19</v>
      </c>
      <c r="CM140" s="12">
        <v>16</v>
      </c>
      <c r="CN140" s="12">
        <v>11</v>
      </c>
      <c r="CO140" s="12">
        <v>16</v>
      </c>
      <c r="CP140" s="12">
        <v>14</v>
      </c>
      <c r="CQ140" s="12">
        <v>17</v>
      </c>
      <c r="CR140" s="12">
        <v>17</v>
      </c>
      <c r="CS140" s="12">
        <v>13</v>
      </c>
      <c r="CT140" s="12">
        <v>10</v>
      </c>
      <c r="CU140" s="12">
        <v>6</v>
      </c>
      <c r="CV140" s="12">
        <v>5</v>
      </c>
      <c r="CW140" s="12">
        <v>5</v>
      </c>
      <c r="CX140" s="12">
        <v>6</v>
      </c>
      <c r="CY140" s="12">
        <v>1</v>
      </c>
      <c r="CZ140" s="12">
        <v>2</v>
      </c>
      <c r="DA140" s="12">
        <v>3</v>
      </c>
      <c r="DB140" s="12">
        <v>4</v>
      </c>
      <c r="DC140" s="12">
        <v>5</v>
      </c>
      <c r="DD140" s="12">
        <v>6</v>
      </c>
      <c r="DE140" s="12">
        <v>3</v>
      </c>
      <c r="DF140" s="12">
        <v>3</v>
      </c>
      <c r="DG140" s="12">
        <v>1</v>
      </c>
      <c r="DH140" s="12">
        <v>0</v>
      </c>
      <c r="DI140" s="12">
        <v>2</v>
      </c>
      <c r="DJ140" s="12">
        <v>0</v>
      </c>
      <c r="DK140" s="12">
        <v>2</v>
      </c>
      <c r="DL140" s="12">
        <v>1</v>
      </c>
      <c r="DM140" s="12">
        <v>0</v>
      </c>
      <c r="DN140" s="12">
        <v>0</v>
      </c>
      <c r="DO140" s="12">
        <v>1</v>
      </c>
      <c r="DP140" s="12">
        <v>4</v>
      </c>
      <c r="DQ140" s="12">
        <v>2</v>
      </c>
      <c r="DR140" s="12">
        <v>0</v>
      </c>
      <c r="DS140" s="12">
        <v>1</v>
      </c>
      <c r="DT140" s="12">
        <v>0</v>
      </c>
      <c r="DU140" s="12">
        <v>1</v>
      </c>
      <c r="DV140" s="12">
        <v>0</v>
      </c>
      <c r="DW140" s="12">
        <v>1</v>
      </c>
      <c r="DX140" s="12">
        <v>0</v>
      </c>
      <c r="DY140" s="12">
        <v>0</v>
      </c>
      <c r="DZ140" s="12">
        <v>0</v>
      </c>
      <c r="EA140" s="12">
        <v>1</v>
      </c>
      <c r="EB140" s="12">
        <v>0</v>
      </c>
      <c r="EC140" s="12">
        <v>0</v>
      </c>
      <c r="ED140" s="12">
        <v>0</v>
      </c>
      <c r="EE140" s="12">
        <v>0</v>
      </c>
      <c r="EF140" s="12">
        <v>0</v>
      </c>
      <c r="EG140" s="12">
        <v>0</v>
      </c>
      <c r="EH140" s="12">
        <v>0</v>
      </c>
      <c r="EI140" s="12">
        <v>0</v>
      </c>
      <c r="EJ140" s="12">
        <v>0</v>
      </c>
      <c r="EK140" s="12">
        <v>2</v>
      </c>
      <c r="EL140" s="12">
        <v>0</v>
      </c>
      <c r="EM140" s="12">
        <v>0</v>
      </c>
      <c r="EN140" s="12">
        <v>0</v>
      </c>
      <c r="EO140" s="12">
        <v>0</v>
      </c>
      <c r="EP140" s="12" t="str">
        <f t="shared" si="29"/>
        <v>🔴 Sin venta</v>
      </c>
      <c r="EQ140" s="23">
        <f t="shared" si="35"/>
        <v>0.5</v>
      </c>
      <c r="ER140" s="19">
        <f t="shared" si="34"/>
        <v>5167.2000000000007</v>
      </c>
      <c r="ES140" s="12">
        <f t="shared" si="33"/>
        <v>12</v>
      </c>
      <c r="ET140" s="23">
        <f t="shared" si="32"/>
        <v>13.5</v>
      </c>
      <c r="EU140" s="23">
        <f t="shared" si="31"/>
        <v>3</v>
      </c>
      <c r="EV140" s="23">
        <f t="shared" si="36"/>
        <v>2.2200000000000002</v>
      </c>
      <c r="EW140" s="23"/>
      <c r="EX140" s="12">
        <v>11</v>
      </c>
      <c r="EY140" s="19" cm="1">
        <f t="array" ref="EY140:FC140">VLOOKUP(_xlfn.SINGLE(B:B),'[1]Price List'!$B:$N,{8,4,5,6,7},0)</f>
        <v>430.6</v>
      </c>
      <c r="EZ140" s="9" t="str">
        <v>Tech21 EvoCrystal w/MagSafe for iPhone 16 Pro Max - Black</v>
      </c>
      <c r="FA140" s="12" t="str">
        <v>Cases iPhone</v>
      </c>
      <c r="FB140" s="12" t="str">
        <v>iPhone 16</v>
      </c>
      <c r="FC140" s="12" t="str">
        <v>iPhone 16 Pro Max</v>
      </c>
      <c r="FD140" s="23" t="str">
        <f>_xlfn.XLOOKUP(B:B,'[1]Price List'!$B:$B,'[1]Price List'!$A:$A)</f>
        <v>Tech21</v>
      </c>
    </row>
    <row r="141" spans="1:160" s="9" customFormat="1" x14ac:dyDescent="0.2">
      <c r="A141" s="23" t="s">
        <v>600</v>
      </c>
      <c r="B141" s="28">
        <v>5056586740590</v>
      </c>
      <c r="C141" s="9" t="s">
        <v>556</v>
      </c>
      <c r="D141" s="9" t="s">
        <v>644</v>
      </c>
      <c r="E141" s="26" t="s">
        <v>435</v>
      </c>
      <c r="F141" s="26" t="s">
        <v>437</v>
      </c>
      <c r="G141" s="9" t="s">
        <v>437</v>
      </c>
      <c r="H141" s="28" t="s">
        <v>449</v>
      </c>
      <c r="I141" s="29">
        <v>999</v>
      </c>
      <c r="J141" s="11">
        <v>430.6</v>
      </c>
      <c r="K141" s="62">
        <v>0</v>
      </c>
      <c r="L141" s="12">
        <v>0</v>
      </c>
      <c r="M141" s="13" t="s">
        <v>467</v>
      </c>
      <c r="N141" s="13" t="s">
        <v>475</v>
      </c>
      <c r="O141" s="27"/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0</v>
      </c>
      <c r="AB141" s="12">
        <v>0</v>
      </c>
      <c r="AC141" s="12">
        <v>0</v>
      </c>
      <c r="AD141" s="12">
        <v>0</v>
      </c>
      <c r="AE141" s="12">
        <v>0</v>
      </c>
      <c r="AF141" s="12">
        <v>0</v>
      </c>
      <c r="AG141" s="12">
        <v>0</v>
      </c>
      <c r="AH141" s="12">
        <v>0</v>
      </c>
      <c r="AI141" s="12">
        <v>0</v>
      </c>
      <c r="AJ141" s="12">
        <v>0</v>
      </c>
      <c r="AK141" s="12">
        <v>0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2">
        <v>0</v>
      </c>
      <c r="AW141" s="12">
        <v>0</v>
      </c>
      <c r="AX141" s="12">
        <v>0</v>
      </c>
      <c r="AY141" s="12">
        <v>0</v>
      </c>
      <c r="AZ141" s="12">
        <v>0</v>
      </c>
      <c r="BA141" s="12">
        <v>0</v>
      </c>
      <c r="BB141" s="12">
        <v>0</v>
      </c>
      <c r="BC141" s="12">
        <v>0</v>
      </c>
      <c r="BD141" s="12">
        <v>0</v>
      </c>
      <c r="BE141" s="12">
        <v>0</v>
      </c>
      <c r="BF141" s="12">
        <v>0</v>
      </c>
      <c r="BG141" s="12">
        <v>16</v>
      </c>
      <c r="BH141" s="12">
        <v>14</v>
      </c>
      <c r="BI141" s="12">
        <v>16</v>
      </c>
      <c r="BJ141" s="12">
        <v>17</v>
      </c>
      <c r="BK141" s="12">
        <v>11</v>
      </c>
      <c r="BL141" s="12">
        <v>10</v>
      </c>
      <c r="BM141" s="12">
        <v>6</v>
      </c>
      <c r="BN141" s="12">
        <v>14</v>
      </c>
      <c r="BO141" s="12">
        <v>11</v>
      </c>
      <c r="BP141" s="12">
        <v>14</v>
      </c>
      <c r="BQ141" s="12">
        <v>13</v>
      </c>
      <c r="BR141" s="12">
        <v>6</v>
      </c>
      <c r="BS141" s="12">
        <v>9</v>
      </c>
      <c r="BT141" s="12">
        <v>6</v>
      </c>
      <c r="BU141" s="12">
        <v>11</v>
      </c>
      <c r="BV141" s="12">
        <v>3</v>
      </c>
      <c r="BW141" s="12">
        <v>4</v>
      </c>
      <c r="BX141" s="12">
        <v>8</v>
      </c>
      <c r="BY141" s="12">
        <v>4</v>
      </c>
      <c r="BZ141" s="12">
        <v>5</v>
      </c>
      <c r="CA141" s="12">
        <v>3</v>
      </c>
      <c r="CB141" s="12">
        <v>3</v>
      </c>
      <c r="CC141" s="12">
        <v>3</v>
      </c>
      <c r="CD141" s="12">
        <v>2</v>
      </c>
      <c r="CE141" s="12">
        <v>6</v>
      </c>
      <c r="CF141" s="12">
        <v>7</v>
      </c>
      <c r="CG141" s="12">
        <v>3</v>
      </c>
      <c r="CH141" s="12">
        <v>11</v>
      </c>
      <c r="CI141" s="12">
        <v>2</v>
      </c>
      <c r="CJ141" s="12">
        <v>4</v>
      </c>
      <c r="CK141" s="12">
        <v>14</v>
      </c>
      <c r="CL141" s="12">
        <v>3</v>
      </c>
      <c r="CM141" s="12">
        <v>9</v>
      </c>
      <c r="CN141" s="12">
        <v>5</v>
      </c>
      <c r="CO141" s="12">
        <v>4</v>
      </c>
      <c r="CP141" s="12">
        <v>4</v>
      </c>
      <c r="CQ141" s="12">
        <v>2</v>
      </c>
      <c r="CR141" s="12">
        <v>6</v>
      </c>
      <c r="CS141" s="12">
        <v>3</v>
      </c>
      <c r="CT141" s="12">
        <v>7</v>
      </c>
      <c r="CU141" s="12">
        <v>6</v>
      </c>
      <c r="CV141" s="12">
        <v>6</v>
      </c>
      <c r="CW141" s="12">
        <v>4</v>
      </c>
      <c r="CX141" s="12">
        <v>3</v>
      </c>
      <c r="CY141" s="12">
        <v>7</v>
      </c>
      <c r="CZ141" s="12">
        <v>3</v>
      </c>
      <c r="DA141" s="12">
        <v>2</v>
      </c>
      <c r="DB141" s="12">
        <v>5</v>
      </c>
      <c r="DC141" s="12">
        <v>8</v>
      </c>
      <c r="DD141" s="12">
        <v>11</v>
      </c>
      <c r="DE141" s="12">
        <v>5</v>
      </c>
      <c r="DF141" s="12">
        <v>6</v>
      </c>
      <c r="DG141" s="12">
        <v>3</v>
      </c>
      <c r="DH141" s="12">
        <v>4</v>
      </c>
      <c r="DI141" s="12">
        <v>5</v>
      </c>
      <c r="DJ141" s="12">
        <v>4</v>
      </c>
      <c r="DK141" s="12">
        <v>2</v>
      </c>
      <c r="DL141" s="12">
        <v>2</v>
      </c>
      <c r="DM141" s="12">
        <v>3</v>
      </c>
      <c r="DN141" s="12">
        <v>0</v>
      </c>
      <c r="DO141" s="12">
        <v>4</v>
      </c>
      <c r="DP141" s="12">
        <v>3</v>
      </c>
      <c r="DQ141" s="12">
        <v>4</v>
      </c>
      <c r="DR141" s="12">
        <v>0</v>
      </c>
      <c r="DS141" s="12">
        <v>0</v>
      </c>
      <c r="DT141" s="12">
        <v>2</v>
      </c>
      <c r="DU141" s="12">
        <v>4</v>
      </c>
      <c r="DV141" s="12">
        <v>1</v>
      </c>
      <c r="DW141" s="12">
        <v>2</v>
      </c>
      <c r="DX141" s="12">
        <v>0</v>
      </c>
      <c r="DY141" s="12">
        <v>0</v>
      </c>
      <c r="DZ141" s="12">
        <v>0</v>
      </c>
      <c r="EA141" s="12">
        <v>2</v>
      </c>
      <c r="EB141" s="12">
        <v>4</v>
      </c>
      <c r="EC141" s="12">
        <v>1</v>
      </c>
      <c r="ED141" s="12">
        <v>0</v>
      </c>
      <c r="EE141" s="12">
        <v>0</v>
      </c>
      <c r="EF141" s="12">
        <v>0</v>
      </c>
      <c r="EG141" s="12">
        <v>2</v>
      </c>
      <c r="EH141" s="12">
        <v>0</v>
      </c>
      <c r="EI141" s="12">
        <v>1</v>
      </c>
      <c r="EJ141" s="12">
        <v>0</v>
      </c>
      <c r="EK141" s="12">
        <v>0</v>
      </c>
      <c r="EL141" s="12">
        <v>1</v>
      </c>
      <c r="EM141" s="12">
        <v>2</v>
      </c>
      <c r="EN141" s="12">
        <v>1</v>
      </c>
      <c r="EO141" s="12">
        <v>1</v>
      </c>
      <c r="EP141" s="12" t="str">
        <f t="shared" si="29"/>
        <v>🟢 Bien</v>
      </c>
      <c r="EQ141" s="23">
        <f t="shared" si="35"/>
        <v>1.2083333333333333</v>
      </c>
      <c r="ER141" s="19">
        <f t="shared" si="34"/>
        <v>13348.6</v>
      </c>
      <c r="ES141" s="12">
        <f t="shared" si="33"/>
        <v>31</v>
      </c>
      <c r="ET141" s="23">
        <f t="shared" si="32"/>
        <v>21.5</v>
      </c>
      <c r="EU141" s="23">
        <f t="shared" si="31"/>
        <v>12</v>
      </c>
      <c r="EV141" s="23">
        <f t="shared" si="36"/>
        <v>5.56</v>
      </c>
      <c r="EW141" s="23"/>
      <c r="EX141" s="12">
        <v>46</v>
      </c>
      <c r="EY141" s="19" cm="1">
        <f t="array" ref="EY141:FC141">VLOOKUP(_xlfn.SINGLE(B:B),'[1]Price List'!$B:$N,{8,4,5,6,7},0)</f>
        <v>430.6</v>
      </c>
      <c r="EZ141" s="9" t="str">
        <v>Tech21 EvoCrystal w/MagSafe for iPhone 16 Pro Max - Blue</v>
      </c>
      <c r="FA141" s="12" t="str">
        <v>Cases iPhone</v>
      </c>
      <c r="FB141" s="12" t="str">
        <v>iPhone 16</v>
      </c>
      <c r="FC141" s="12" t="str">
        <v>iPhone 16 Pro Max</v>
      </c>
      <c r="FD141" s="23" t="str">
        <f>_xlfn.XLOOKUP(B:B,'[1]Price List'!$B:$B,'[1]Price List'!$A:$A)</f>
        <v>Tech21</v>
      </c>
    </row>
    <row r="142" spans="1:160" s="9" customFormat="1" x14ac:dyDescent="0.2">
      <c r="A142" s="23" t="s">
        <v>600</v>
      </c>
      <c r="B142" s="28">
        <v>5056586736814</v>
      </c>
      <c r="C142" s="9" t="s">
        <v>557</v>
      </c>
      <c r="D142" s="9" t="s">
        <v>644</v>
      </c>
      <c r="E142" s="26" t="s">
        <v>435</v>
      </c>
      <c r="F142" s="26" t="s">
        <v>438</v>
      </c>
      <c r="G142" s="9" t="s">
        <v>438</v>
      </c>
      <c r="H142" s="28" t="s">
        <v>450</v>
      </c>
      <c r="I142" s="29">
        <v>999</v>
      </c>
      <c r="J142" s="11">
        <v>430.6</v>
      </c>
      <c r="K142" s="62">
        <v>0</v>
      </c>
      <c r="L142" s="12">
        <v>0</v>
      </c>
      <c r="M142" s="13" t="s">
        <v>467</v>
      </c>
      <c r="N142" s="13" t="s">
        <v>475</v>
      </c>
      <c r="O142" s="27"/>
      <c r="P142" s="12">
        <v>0</v>
      </c>
      <c r="Q142" s="12">
        <v>0</v>
      </c>
      <c r="R142" s="12">
        <v>0</v>
      </c>
      <c r="S142" s="12">
        <v>0</v>
      </c>
      <c r="T142" s="12">
        <v>0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2">
        <v>0</v>
      </c>
      <c r="AD142" s="12">
        <v>0</v>
      </c>
      <c r="AE142" s="12">
        <v>0</v>
      </c>
      <c r="AF142" s="12">
        <v>0</v>
      </c>
      <c r="AG142" s="12">
        <v>0</v>
      </c>
      <c r="AH142" s="12">
        <v>0</v>
      </c>
      <c r="AI142" s="12">
        <v>0</v>
      </c>
      <c r="AJ142" s="12">
        <v>0</v>
      </c>
      <c r="AK142" s="12">
        <v>0</v>
      </c>
      <c r="AL142" s="12">
        <v>0</v>
      </c>
      <c r="AM142" s="12">
        <v>0</v>
      </c>
      <c r="AN142" s="12">
        <v>0</v>
      </c>
      <c r="AO142" s="12">
        <v>0</v>
      </c>
      <c r="AP142" s="12">
        <v>0</v>
      </c>
      <c r="AQ142" s="12">
        <v>0</v>
      </c>
      <c r="AR142" s="12">
        <v>0</v>
      </c>
      <c r="AS142" s="12">
        <v>0</v>
      </c>
      <c r="AT142" s="12">
        <v>0</v>
      </c>
      <c r="AU142" s="12">
        <v>0</v>
      </c>
      <c r="AV142" s="12">
        <v>0</v>
      </c>
      <c r="AW142" s="12">
        <v>0</v>
      </c>
      <c r="AX142" s="12">
        <v>0</v>
      </c>
      <c r="AY142" s="12">
        <v>0</v>
      </c>
      <c r="AZ142" s="12">
        <v>0</v>
      </c>
      <c r="BA142" s="12">
        <v>0</v>
      </c>
      <c r="BB142" s="12">
        <v>0</v>
      </c>
      <c r="BC142" s="12">
        <v>0</v>
      </c>
      <c r="BD142" s="12">
        <v>0</v>
      </c>
      <c r="BE142" s="12">
        <v>0</v>
      </c>
      <c r="BF142" s="12">
        <v>0</v>
      </c>
      <c r="BG142" s="12">
        <v>9</v>
      </c>
      <c r="BH142" s="12">
        <v>9</v>
      </c>
      <c r="BI142" s="12">
        <v>10</v>
      </c>
      <c r="BJ142" s="12">
        <v>17</v>
      </c>
      <c r="BK142" s="12">
        <v>11</v>
      </c>
      <c r="BL142" s="12">
        <v>8</v>
      </c>
      <c r="BM142" s="12">
        <v>11</v>
      </c>
      <c r="BN142" s="12">
        <v>10</v>
      </c>
      <c r="BO142" s="12">
        <v>16</v>
      </c>
      <c r="BP142" s="12">
        <v>17</v>
      </c>
      <c r="BQ142" s="12">
        <v>7</v>
      </c>
      <c r="BR142" s="12">
        <v>5</v>
      </c>
      <c r="BS142" s="12">
        <v>2</v>
      </c>
      <c r="BT142" s="12">
        <v>7</v>
      </c>
      <c r="BU142" s="12">
        <v>0</v>
      </c>
      <c r="BV142" s="12">
        <v>2</v>
      </c>
      <c r="BW142" s="12">
        <v>5</v>
      </c>
      <c r="BX142" s="12">
        <v>3</v>
      </c>
      <c r="BY142" s="12">
        <v>1</v>
      </c>
      <c r="BZ142" s="12">
        <v>1</v>
      </c>
      <c r="CA142" s="12">
        <v>4</v>
      </c>
      <c r="CB142" s="12">
        <v>0</v>
      </c>
      <c r="CC142" s="12">
        <v>1</v>
      </c>
      <c r="CD142" s="12">
        <v>2</v>
      </c>
      <c r="CE142" s="12">
        <v>4</v>
      </c>
      <c r="CF142" s="12">
        <v>1</v>
      </c>
      <c r="CG142" s="12">
        <v>2</v>
      </c>
      <c r="CH142" s="12">
        <v>0</v>
      </c>
      <c r="CI142" s="12">
        <v>5</v>
      </c>
      <c r="CJ142" s="12">
        <v>3</v>
      </c>
      <c r="CK142" s="12">
        <v>1</v>
      </c>
      <c r="CL142" s="12">
        <v>4</v>
      </c>
      <c r="CM142" s="12">
        <v>1</v>
      </c>
      <c r="CN142" s="12">
        <v>0</v>
      </c>
      <c r="CO142" s="12">
        <v>0</v>
      </c>
      <c r="CP142" s="12">
        <v>1</v>
      </c>
      <c r="CQ142" s="12">
        <v>1</v>
      </c>
      <c r="CR142" s="12">
        <v>1</v>
      </c>
      <c r="CS142" s="12">
        <v>2</v>
      </c>
      <c r="CT142" s="12">
        <v>2</v>
      </c>
      <c r="CU142" s="12">
        <v>3</v>
      </c>
      <c r="CV142" s="12">
        <v>2</v>
      </c>
      <c r="CW142" s="12">
        <v>0</v>
      </c>
      <c r="CX142" s="12">
        <v>1</v>
      </c>
      <c r="CY142" s="12">
        <v>0</v>
      </c>
      <c r="CZ142" s="12">
        <v>0</v>
      </c>
      <c r="DA142" s="12">
        <v>1</v>
      </c>
      <c r="DB142" s="12">
        <v>3</v>
      </c>
      <c r="DC142" s="12">
        <v>1</v>
      </c>
      <c r="DD142" s="12">
        <v>1</v>
      </c>
      <c r="DE142" s="12">
        <v>3</v>
      </c>
      <c r="DF142" s="12">
        <v>2</v>
      </c>
      <c r="DG142" s="12">
        <v>1</v>
      </c>
      <c r="DH142" s="12">
        <v>0</v>
      </c>
      <c r="DI142" s="12">
        <v>3</v>
      </c>
      <c r="DJ142" s="12">
        <v>1</v>
      </c>
      <c r="DK142" s="12">
        <v>0</v>
      </c>
      <c r="DL142" s="12">
        <v>4</v>
      </c>
      <c r="DM142" s="12">
        <v>4</v>
      </c>
      <c r="DN142" s="12">
        <v>3</v>
      </c>
      <c r="DO142" s="12">
        <v>3</v>
      </c>
      <c r="DP142" s="12">
        <v>-1</v>
      </c>
      <c r="DQ142" s="12">
        <v>0</v>
      </c>
      <c r="DR142" s="12">
        <v>1</v>
      </c>
      <c r="DS142" s="12">
        <v>0</v>
      </c>
      <c r="DT142" s="12">
        <v>0</v>
      </c>
      <c r="DU142" s="12">
        <v>2</v>
      </c>
      <c r="DV142" s="12">
        <v>1</v>
      </c>
      <c r="DW142" s="12">
        <v>0</v>
      </c>
      <c r="DX142" s="12">
        <v>0</v>
      </c>
      <c r="DY142" s="12">
        <v>0</v>
      </c>
      <c r="DZ142" s="12">
        <v>0</v>
      </c>
      <c r="EA142" s="12">
        <v>0</v>
      </c>
      <c r="EB142" s="12">
        <v>2</v>
      </c>
      <c r="EC142" s="12">
        <v>0</v>
      </c>
      <c r="ED142" s="12">
        <v>0</v>
      </c>
      <c r="EE142" s="12">
        <v>1</v>
      </c>
      <c r="EF142" s="12">
        <v>0</v>
      </c>
      <c r="EG142" s="12">
        <v>1</v>
      </c>
      <c r="EH142" s="12">
        <v>0</v>
      </c>
      <c r="EI142" s="12">
        <v>0</v>
      </c>
      <c r="EJ142" s="12">
        <v>1</v>
      </c>
      <c r="EK142" s="12">
        <v>0</v>
      </c>
      <c r="EL142" s="12">
        <v>1</v>
      </c>
      <c r="EM142" s="12">
        <v>0</v>
      </c>
      <c r="EN142" s="12">
        <v>0</v>
      </c>
      <c r="EO142" s="12">
        <v>0</v>
      </c>
      <c r="EP142" s="12" t="str">
        <f t="shared" si="29"/>
        <v>🟢 Bien</v>
      </c>
      <c r="EQ142" s="23">
        <f t="shared" si="35"/>
        <v>0.375</v>
      </c>
      <c r="ER142" s="19">
        <f t="shared" si="34"/>
        <v>3875.4</v>
      </c>
      <c r="ES142" s="12">
        <f t="shared" si="33"/>
        <v>9</v>
      </c>
      <c r="ET142" s="23">
        <f t="shared" si="32"/>
        <v>6</v>
      </c>
      <c r="EU142" s="23">
        <f t="shared" si="31"/>
        <v>9</v>
      </c>
      <c r="EV142" s="23">
        <f t="shared" si="36"/>
        <v>1.56</v>
      </c>
      <c r="EW142" s="23"/>
      <c r="EX142" s="12">
        <v>51</v>
      </c>
      <c r="EY142" s="19" cm="1">
        <f t="array" ref="EY142:FC142">VLOOKUP(_xlfn.SINGLE(B:B),'[1]Price List'!$B:$N,{8,4,5,6,7},0)</f>
        <v>430.6</v>
      </c>
      <c r="EZ142" s="9" t="str">
        <v>Tech21 EvoClear w/MagSafe for iPhone 16 Plus - Clear</v>
      </c>
      <c r="FA142" s="12" t="str">
        <v>Cases iPhone</v>
      </c>
      <c r="FB142" s="12" t="str">
        <v>iPhone 16</v>
      </c>
      <c r="FC142" s="12" t="str">
        <v>iPhone 16 Plus</v>
      </c>
      <c r="FD142" s="23" t="str">
        <f>_xlfn.XLOOKUP(B:B,'[1]Price List'!$B:$B,'[1]Price List'!$A:$A)</f>
        <v>Tech21</v>
      </c>
    </row>
    <row r="143" spans="1:160" s="9" customFormat="1" x14ac:dyDescent="0.2">
      <c r="A143" s="23" t="s">
        <v>599</v>
      </c>
      <c r="B143" s="23">
        <v>840168533626</v>
      </c>
      <c r="C143" s="9" t="s">
        <v>558</v>
      </c>
      <c r="D143" s="9" t="s">
        <v>644</v>
      </c>
      <c r="E143" s="26" t="s">
        <v>301</v>
      </c>
      <c r="F143" s="26" t="s">
        <v>300</v>
      </c>
      <c r="G143" s="9" t="s">
        <v>300</v>
      </c>
      <c r="H143" s="10" t="s">
        <v>279</v>
      </c>
      <c r="I143" s="11">
        <v>999</v>
      </c>
      <c r="J143" s="11">
        <v>387.54</v>
      </c>
      <c r="K143" s="62">
        <v>0.5</v>
      </c>
      <c r="L143" s="19">
        <f t="shared" ref="L143:L146" si="37">I143*(1-K143)</f>
        <v>499.5</v>
      </c>
      <c r="M143" s="13" t="s">
        <v>467</v>
      </c>
      <c r="N143" s="13" t="s">
        <v>475</v>
      </c>
      <c r="O143" s="27" t="s">
        <v>250</v>
      </c>
      <c r="P143" s="12">
        <v>24</v>
      </c>
      <c r="Q143" s="12">
        <v>15</v>
      </c>
      <c r="R143" s="12">
        <v>47</v>
      </c>
      <c r="S143" s="12">
        <v>78</v>
      </c>
      <c r="T143" s="12">
        <v>59</v>
      </c>
      <c r="U143" s="12">
        <v>42</v>
      </c>
      <c r="V143" s="12">
        <v>83</v>
      </c>
      <c r="W143" s="12">
        <v>53</v>
      </c>
      <c r="X143" s="12">
        <v>48</v>
      </c>
      <c r="Y143" s="12">
        <v>89</v>
      </c>
      <c r="Z143" s="12">
        <v>68</v>
      </c>
      <c r="AA143" s="12">
        <v>67</v>
      </c>
      <c r="AB143" s="12">
        <v>58</v>
      </c>
      <c r="AC143" s="12">
        <v>24</v>
      </c>
      <c r="AD143" s="12">
        <v>9</v>
      </c>
      <c r="AE143" s="12">
        <v>37</v>
      </c>
      <c r="AF143" s="12">
        <v>42</v>
      </c>
      <c r="AG143" s="12">
        <v>24</v>
      </c>
      <c r="AH143" s="12">
        <v>26</v>
      </c>
      <c r="AI143" s="12">
        <v>25</v>
      </c>
      <c r="AJ143" s="12">
        <v>46</v>
      </c>
      <c r="AK143" s="12">
        <v>29</v>
      </c>
      <c r="AL143" s="12">
        <v>36</v>
      </c>
      <c r="AM143" s="12">
        <v>30</v>
      </c>
      <c r="AN143" s="12">
        <v>19</v>
      </c>
      <c r="AO143" s="12">
        <v>27</v>
      </c>
      <c r="AP143" s="12">
        <v>29</v>
      </c>
      <c r="AQ143" s="12">
        <v>34</v>
      </c>
      <c r="AR143" s="12">
        <v>25</v>
      </c>
      <c r="AS143" s="12">
        <v>30</v>
      </c>
      <c r="AT143" s="12">
        <v>22</v>
      </c>
      <c r="AU143" s="12">
        <v>19</v>
      </c>
      <c r="AV143" s="12">
        <v>27</v>
      </c>
      <c r="AW143" s="12">
        <v>44</v>
      </c>
      <c r="AX143" s="12">
        <v>40</v>
      </c>
      <c r="AY143" s="12">
        <v>37</v>
      </c>
      <c r="AZ143" s="12">
        <v>38</v>
      </c>
      <c r="BA143" s="12">
        <v>34</v>
      </c>
      <c r="BB143" s="12">
        <v>40</v>
      </c>
      <c r="BC143" s="12">
        <v>39</v>
      </c>
      <c r="BD143" s="12">
        <v>44</v>
      </c>
      <c r="BE143" s="12">
        <v>37</v>
      </c>
      <c r="BF143" s="12">
        <v>35</v>
      </c>
      <c r="BG143" s="12">
        <v>13</v>
      </c>
      <c r="BH143" s="12">
        <v>6</v>
      </c>
      <c r="BI143" s="12">
        <v>14</v>
      </c>
      <c r="BJ143" s="12">
        <v>14</v>
      </c>
      <c r="BK143" s="12">
        <v>9</v>
      </c>
      <c r="BL143" s="12">
        <v>4</v>
      </c>
      <c r="BM143" s="12">
        <v>8</v>
      </c>
      <c r="BN143" s="12">
        <v>5</v>
      </c>
      <c r="BO143" s="12">
        <v>5</v>
      </c>
      <c r="BP143" s="12">
        <v>7</v>
      </c>
      <c r="BQ143" s="12">
        <v>1</v>
      </c>
      <c r="BR143" s="12">
        <v>4</v>
      </c>
      <c r="BS143" s="12">
        <v>2</v>
      </c>
      <c r="BT143" s="12">
        <v>0</v>
      </c>
      <c r="BU143" s="12">
        <v>1</v>
      </c>
      <c r="BV143" s="12">
        <v>3</v>
      </c>
      <c r="BW143" s="12">
        <v>1</v>
      </c>
      <c r="BX143" s="12">
        <v>3</v>
      </c>
      <c r="BY143" s="12">
        <v>1</v>
      </c>
      <c r="BZ143" s="12">
        <v>1</v>
      </c>
      <c r="CA143" s="12">
        <v>2</v>
      </c>
      <c r="CB143" s="12">
        <v>0</v>
      </c>
      <c r="CC143" s="12">
        <v>2</v>
      </c>
      <c r="CD143" s="12">
        <v>0</v>
      </c>
      <c r="CE143" s="12">
        <v>0</v>
      </c>
      <c r="CF143" s="12">
        <v>2</v>
      </c>
      <c r="CG143" s="12">
        <v>1</v>
      </c>
      <c r="CH143" s="12">
        <v>0</v>
      </c>
      <c r="CI143" s="12">
        <v>0</v>
      </c>
      <c r="CJ143" s="12">
        <v>0</v>
      </c>
      <c r="CK143" s="12">
        <v>0</v>
      </c>
      <c r="CL143" s="12">
        <v>1</v>
      </c>
      <c r="CM143" s="12">
        <v>0</v>
      </c>
      <c r="CN143" s="12">
        <v>0</v>
      </c>
      <c r="CO143" s="12">
        <v>0</v>
      </c>
      <c r="CP143" s="12">
        <v>2</v>
      </c>
      <c r="CQ143" s="12">
        <v>1</v>
      </c>
      <c r="CR143" s="12">
        <v>1</v>
      </c>
      <c r="CS143" s="12">
        <v>0</v>
      </c>
      <c r="CT143" s="12">
        <v>0</v>
      </c>
      <c r="CU143" s="12">
        <v>0</v>
      </c>
      <c r="CV143" s="12">
        <v>1</v>
      </c>
      <c r="CW143" s="12">
        <v>0</v>
      </c>
      <c r="CX143" s="12">
        <v>0</v>
      </c>
      <c r="CY143" s="12">
        <v>0</v>
      </c>
      <c r="CZ143" s="12">
        <v>0</v>
      </c>
      <c r="DA143" s="12">
        <v>0</v>
      </c>
      <c r="DB143" s="12">
        <v>0</v>
      </c>
      <c r="DC143" s="12">
        <v>0</v>
      </c>
      <c r="DD143" s="12">
        <v>0</v>
      </c>
      <c r="DE143" s="12">
        <v>0</v>
      </c>
      <c r="DF143" s="12">
        <v>0</v>
      </c>
      <c r="DG143" s="12">
        <v>0</v>
      </c>
      <c r="DH143" s="12">
        <v>0</v>
      </c>
      <c r="DI143" s="12">
        <v>0</v>
      </c>
      <c r="DJ143" s="12">
        <v>0</v>
      </c>
      <c r="DK143" s="12">
        <v>0</v>
      </c>
      <c r="DL143" s="12">
        <v>0</v>
      </c>
      <c r="DM143" s="12">
        <v>0</v>
      </c>
      <c r="DN143" s="12">
        <v>0</v>
      </c>
      <c r="DO143" s="12">
        <v>0</v>
      </c>
      <c r="DP143" s="12">
        <v>2</v>
      </c>
      <c r="DQ143" s="12">
        <v>0</v>
      </c>
      <c r="DR143" s="12">
        <v>0</v>
      </c>
      <c r="DS143" s="12">
        <v>0</v>
      </c>
      <c r="DT143" s="12">
        <v>0</v>
      </c>
      <c r="DU143" s="12">
        <v>0</v>
      </c>
      <c r="DV143" s="12">
        <v>0</v>
      </c>
      <c r="DW143" s="12">
        <v>0</v>
      </c>
      <c r="DX143" s="12">
        <v>0</v>
      </c>
      <c r="DY143" s="12">
        <v>0</v>
      </c>
      <c r="DZ143" s="12">
        <v>0</v>
      </c>
      <c r="EA143" s="12">
        <v>1</v>
      </c>
      <c r="EB143" s="12">
        <v>0</v>
      </c>
      <c r="EC143" s="12">
        <v>0</v>
      </c>
      <c r="ED143" s="12">
        <v>0</v>
      </c>
      <c r="EE143" s="12">
        <v>0</v>
      </c>
      <c r="EF143" s="12">
        <v>0</v>
      </c>
      <c r="EG143" s="12">
        <v>0</v>
      </c>
      <c r="EH143" s="12">
        <v>0</v>
      </c>
      <c r="EI143" s="12">
        <v>0</v>
      </c>
      <c r="EJ143" s="12">
        <v>0</v>
      </c>
      <c r="EK143" s="12">
        <v>0</v>
      </c>
      <c r="EL143" s="12">
        <v>0</v>
      </c>
      <c r="EM143" s="12">
        <v>0</v>
      </c>
      <c r="EN143" s="12">
        <v>0</v>
      </c>
      <c r="EO143" s="12">
        <v>0</v>
      </c>
      <c r="EP143" s="12" t="str">
        <f t="shared" si="29"/>
        <v>🔴 Sin venta</v>
      </c>
      <c r="EQ143" s="23">
        <f t="shared" si="35"/>
        <v>0.125</v>
      </c>
      <c r="ER143" s="19">
        <f t="shared" si="34"/>
        <v>1162.6200000000001</v>
      </c>
      <c r="ES143" s="12">
        <f t="shared" si="33"/>
        <v>3</v>
      </c>
      <c r="ET143" s="23">
        <f t="shared" si="32"/>
        <v>0</v>
      </c>
      <c r="EU143" s="23">
        <f t="shared" si="31"/>
        <v>0</v>
      </c>
      <c r="EV143" s="23">
        <f t="shared" si="36"/>
        <v>0.67</v>
      </c>
      <c r="EW143" s="23"/>
      <c r="EX143" s="12">
        <v>2</v>
      </c>
      <c r="EY143" s="19" cm="1">
        <f t="array" ref="EY143:FC143">VLOOKUP(_xlfn.SINGLE(B:B),'[1]Price List'!$B:$N,{8,4,5,6,7},0)</f>
        <v>387.54</v>
      </c>
      <c r="EZ143" s="9" t="str">
        <v>Speck Presidio® Perfect-Clear Magsafe® Clicklock™ Clear/Clear/ Chrome iPhone 15 Pro Max</v>
      </c>
      <c r="FA143" s="12" t="str">
        <v>Cases iPhone</v>
      </c>
      <c r="FB143" s="12" t="str">
        <v>iPhone 15</v>
      </c>
      <c r="FC143" s="12" t="str">
        <v>iPhone 15 Pro Max</v>
      </c>
      <c r="FD143" s="23" t="str">
        <f>_xlfn.XLOOKUP(B:B,'[1]Price List'!$B:$B,'[1]Price List'!$A:$A)</f>
        <v>Speck</v>
      </c>
    </row>
    <row r="144" spans="1:160" s="9" customFormat="1" x14ac:dyDescent="0.2">
      <c r="A144" s="23" t="s">
        <v>599</v>
      </c>
      <c r="B144" s="23">
        <v>840168533510</v>
      </c>
      <c r="C144" s="9" t="s">
        <v>273</v>
      </c>
      <c r="D144" s="9" t="s">
        <v>644</v>
      </c>
      <c r="E144" s="26" t="s">
        <v>301</v>
      </c>
      <c r="F144" s="26" t="s">
        <v>300</v>
      </c>
      <c r="G144" s="9" t="s">
        <v>300</v>
      </c>
      <c r="H144" s="10" t="s">
        <v>274</v>
      </c>
      <c r="I144" s="11">
        <v>999</v>
      </c>
      <c r="J144" s="11">
        <v>387.54</v>
      </c>
      <c r="K144" s="62">
        <v>0.5</v>
      </c>
      <c r="L144" s="19">
        <f t="shared" si="37"/>
        <v>499.5</v>
      </c>
      <c r="M144" s="13" t="s">
        <v>467</v>
      </c>
      <c r="N144" s="13" t="s">
        <v>475</v>
      </c>
      <c r="O144" s="27" t="s">
        <v>250</v>
      </c>
      <c r="P144" s="12">
        <v>15</v>
      </c>
      <c r="Q144" s="12">
        <v>11</v>
      </c>
      <c r="R144" s="12">
        <v>25</v>
      </c>
      <c r="S144" s="12">
        <v>30</v>
      </c>
      <c r="T144" s="12">
        <v>38</v>
      </c>
      <c r="U144" s="12">
        <v>50</v>
      </c>
      <c r="V144" s="12">
        <v>57</v>
      </c>
      <c r="W144" s="12">
        <v>36</v>
      </c>
      <c r="X144" s="12">
        <v>30</v>
      </c>
      <c r="Y144" s="12">
        <v>44</v>
      </c>
      <c r="Z144" s="12">
        <v>53</v>
      </c>
      <c r="AA144" s="12">
        <v>60</v>
      </c>
      <c r="AB144" s="12">
        <v>55</v>
      </c>
      <c r="AC144" s="12">
        <v>28</v>
      </c>
      <c r="AD144" s="12">
        <v>19</v>
      </c>
      <c r="AE144" s="12">
        <v>42</v>
      </c>
      <c r="AF144" s="12">
        <v>24</v>
      </c>
      <c r="AG144" s="12">
        <v>28</v>
      </c>
      <c r="AH144" s="12">
        <v>24</v>
      </c>
      <c r="AI144" s="12">
        <v>19</v>
      </c>
      <c r="AJ144" s="12">
        <v>19</v>
      </c>
      <c r="AK144" s="12">
        <v>16</v>
      </c>
      <c r="AL144" s="12">
        <v>34</v>
      </c>
      <c r="AM144" s="12">
        <v>20</v>
      </c>
      <c r="AN144" s="12">
        <v>24</v>
      </c>
      <c r="AO144" s="12">
        <v>17</v>
      </c>
      <c r="AP144" s="12">
        <v>24</v>
      </c>
      <c r="AQ144" s="12">
        <v>17</v>
      </c>
      <c r="AR144" s="12">
        <v>14</v>
      </c>
      <c r="AS144" s="12">
        <v>21</v>
      </c>
      <c r="AT144" s="12">
        <v>16</v>
      </c>
      <c r="AU144" s="12">
        <v>24</v>
      </c>
      <c r="AV144" s="12">
        <v>17</v>
      </c>
      <c r="AW144" s="12">
        <v>43</v>
      </c>
      <c r="AX144" s="12">
        <v>40</v>
      </c>
      <c r="AY144" s="12">
        <v>33</v>
      </c>
      <c r="AZ144" s="12">
        <v>38</v>
      </c>
      <c r="BA144" s="12">
        <v>46</v>
      </c>
      <c r="BB144" s="12">
        <v>37</v>
      </c>
      <c r="BC144" s="12">
        <v>44</v>
      </c>
      <c r="BD144" s="12">
        <v>28</v>
      </c>
      <c r="BE144" s="12">
        <v>20</v>
      </c>
      <c r="BF144" s="12">
        <v>23</v>
      </c>
      <c r="BG144" s="12">
        <v>3</v>
      </c>
      <c r="BH144" s="12">
        <v>15</v>
      </c>
      <c r="BI144" s="12">
        <v>3</v>
      </c>
      <c r="BJ144" s="12">
        <v>8</v>
      </c>
      <c r="BK144" s="12">
        <v>3</v>
      </c>
      <c r="BL144" s="12">
        <v>2</v>
      </c>
      <c r="BM144" s="12">
        <v>5</v>
      </c>
      <c r="BN144" s="12">
        <v>4</v>
      </c>
      <c r="BO144" s="12">
        <v>3</v>
      </c>
      <c r="BP144" s="12">
        <v>5</v>
      </c>
      <c r="BQ144" s="12">
        <v>4</v>
      </c>
      <c r="BR144" s="12">
        <v>2</v>
      </c>
      <c r="BS144" s="12">
        <v>2</v>
      </c>
      <c r="BT144" s="12">
        <v>0</v>
      </c>
      <c r="BU144" s="12">
        <v>2</v>
      </c>
      <c r="BV144" s="12">
        <v>0</v>
      </c>
      <c r="BW144" s="12">
        <v>2</v>
      </c>
      <c r="BX144" s="12">
        <v>0</v>
      </c>
      <c r="BY144" s="12">
        <v>0</v>
      </c>
      <c r="BZ144" s="12">
        <v>0</v>
      </c>
      <c r="CA144" s="12">
        <v>0</v>
      </c>
      <c r="CB144" s="12">
        <v>1</v>
      </c>
      <c r="CC144" s="12">
        <v>1</v>
      </c>
      <c r="CD144" s="12">
        <v>1</v>
      </c>
      <c r="CE144" s="12">
        <v>0</v>
      </c>
      <c r="CF144" s="12">
        <v>0</v>
      </c>
      <c r="CG144" s="12">
        <v>0</v>
      </c>
      <c r="CH144" s="12">
        <v>3</v>
      </c>
      <c r="CI144" s="12">
        <v>0</v>
      </c>
      <c r="CJ144" s="12">
        <v>0</v>
      </c>
      <c r="CK144" s="12">
        <v>0</v>
      </c>
      <c r="CL144" s="12">
        <v>0</v>
      </c>
      <c r="CM144" s="12">
        <v>0</v>
      </c>
      <c r="CN144" s="12">
        <v>1</v>
      </c>
      <c r="CO144" s="12">
        <v>0</v>
      </c>
      <c r="CP144" s="12">
        <v>0</v>
      </c>
      <c r="CQ144" s="12">
        <v>0</v>
      </c>
      <c r="CR144" s="12">
        <v>0</v>
      </c>
      <c r="CS144" s="12">
        <v>0</v>
      </c>
      <c r="CT144" s="12">
        <v>0</v>
      </c>
      <c r="CU144" s="12">
        <v>0</v>
      </c>
      <c r="CV144" s="12">
        <v>0</v>
      </c>
      <c r="CW144" s="12">
        <v>0</v>
      </c>
      <c r="CX144" s="12">
        <v>0</v>
      </c>
      <c r="CY144" s="12">
        <v>0</v>
      </c>
      <c r="CZ144" s="12">
        <v>0</v>
      </c>
      <c r="DA144" s="12">
        <v>0</v>
      </c>
      <c r="DB144" s="12">
        <v>0</v>
      </c>
      <c r="DC144" s="12">
        <v>0</v>
      </c>
      <c r="DD144" s="12">
        <v>0</v>
      </c>
      <c r="DE144" s="12">
        <v>0</v>
      </c>
      <c r="DF144" s="12">
        <v>0</v>
      </c>
      <c r="DG144" s="12">
        <v>0</v>
      </c>
      <c r="DH144" s="12">
        <v>0</v>
      </c>
      <c r="DI144" s="12">
        <v>0</v>
      </c>
      <c r="DJ144" s="12">
        <v>0</v>
      </c>
      <c r="DK144" s="12">
        <v>0</v>
      </c>
      <c r="DL144" s="12">
        <v>0</v>
      </c>
      <c r="DM144" s="12">
        <v>0</v>
      </c>
      <c r="DN144" s="12">
        <v>0</v>
      </c>
      <c r="DO144" s="12">
        <v>0</v>
      </c>
      <c r="DP144" s="12">
        <v>0</v>
      </c>
      <c r="DQ144" s="12">
        <v>0</v>
      </c>
      <c r="DR144" s="12">
        <v>0</v>
      </c>
      <c r="DS144" s="12">
        <v>0</v>
      </c>
      <c r="DT144" s="12">
        <v>0</v>
      </c>
      <c r="DU144" s="12">
        <v>0</v>
      </c>
      <c r="DV144" s="12">
        <v>0</v>
      </c>
      <c r="DW144" s="12">
        <v>0</v>
      </c>
      <c r="DX144" s="12">
        <v>0</v>
      </c>
      <c r="DY144" s="12">
        <v>0</v>
      </c>
      <c r="DZ144" s="12">
        <v>0</v>
      </c>
      <c r="EA144" s="12">
        <v>0</v>
      </c>
      <c r="EB144" s="12">
        <v>0</v>
      </c>
      <c r="EC144" s="12">
        <v>0</v>
      </c>
      <c r="ED144" s="12">
        <v>0</v>
      </c>
      <c r="EE144" s="12">
        <v>0</v>
      </c>
      <c r="EF144" s="12">
        <v>0</v>
      </c>
      <c r="EG144" s="12">
        <v>0</v>
      </c>
      <c r="EH144" s="12">
        <v>0</v>
      </c>
      <c r="EI144" s="12">
        <v>0</v>
      </c>
      <c r="EJ144" s="12">
        <v>0</v>
      </c>
      <c r="EK144" s="12">
        <v>0</v>
      </c>
      <c r="EL144" s="12">
        <v>0</v>
      </c>
      <c r="EM144" s="12">
        <v>0</v>
      </c>
      <c r="EN144" s="12">
        <v>0</v>
      </c>
      <c r="EO144" s="12">
        <v>0</v>
      </c>
      <c r="EP144" s="12" t="str">
        <f t="shared" si="29"/>
        <v>🔴 Sin venta</v>
      </c>
      <c r="EQ144" s="23">
        <f t="shared" si="35"/>
        <v>0</v>
      </c>
      <c r="ER144" s="19">
        <f t="shared" si="34"/>
        <v>0</v>
      </c>
      <c r="ES144" s="12">
        <f t="shared" si="33"/>
        <v>0</v>
      </c>
      <c r="ET144" s="23">
        <f t="shared" si="32"/>
        <v>0</v>
      </c>
      <c r="EU144" s="23">
        <f t="shared" si="31"/>
        <v>0</v>
      </c>
      <c r="EV144" s="23">
        <f t="shared" si="36"/>
        <v>0</v>
      </c>
      <c r="EW144" s="23"/>
      <c r="EX144" s="12">
        <v>0</v>
      </c>
      <c r="EY144" s="19" cm="1">
        <f t="array" ref="EY144:FC144">VLOOKUP(_xlfn.SINGLE(B:B),'[1]Price List'!$B:$N,{8,4,5,6,7},0)</f>
        <v>387.54</v>
      </c>
      <c r="EZ144" s="9" t="str">
        <v>Speck Presidio®2 Grip Magsafe® Clicklock™ Black / Slate Grey iPhone 15 Pro Max</v>
      </c>
      <c r="FA144" s="12" t="str">
        <v>Cases iPhone</v>
      </c>
      <c r="FB144" s="12" t="str">
        <v>iPhone 15</v>
      </c>
      <c r="FC144" s="12" t="str">
        <v>iPhone 15 Pro Max</v>
      </c>
      <c r="FD144" s="23" t="str">
        <f>_xlfn.XLOOKUP(B:B,'[1]Price List'!$B:$B,'[1]Price List'!$A:$A)</f>
        <v>Speck</v>
      </c>
    </row>
    <row r="145" spans="1:160" s="9" customFormat="1" x14ac:dyDescent="0.2">
      <c r="A145" s="23" t="s">
        <v>599</v>
      </c>
      <c r="B145" s="23">
        <v>840168533527</v>
      </c>
      <c r="C145" s="9" t="s">
        <v>275</v>
      </c>
      <c r="D145" s="9" t="s">
        <v>644</v>
      </c>
      <c r="E145" s="26" t="s">
        <v>301</v>
      </c>
      <c r="F145" s="26" t="s">
        <v>300</v>
      </c>
      <c r="G145" s="9" t="s">
        <v>300</v>
      </c>
      <c r="H145" s="10" t="s">
        <v>276</v>
      </c>
      <c r="I145" s="11">
        <v>999</v>
      </c>
      <c r="J145" s="11">
        <v>387.54</v>
      </c>
      <c r="K145" s="62">
        <v>0.5</v>
      </c>
      <c r="L145" s="19">
        <f t="shared" si="37"/>
        <v>499.5</v>
      </c>
      <c r="M145" s="13" t="s">
        <v>467</v>
      </c>
      <c r="N145" s="13" t="s">
        <v>475</v>
      </c>
      <c r="O145" s="27" t="s">
        <v>250</v>
      </c>
      <c r="P145" s="12">
        <v>16</v>
      </c>
      <c r="Q145" s="12">
        <v>7</v>
      </c>
      <c r="R145" s="12">
        <v>18</v>
      </c>
      <c r="S145" s="12">
        <v>23</v>
      </c>
      <c r="T145" s="12">
        <v>18</v>
      </c>
      <c r="U145" s="12">
        <v>31</v>
      </c>
      <c r="V145" s="12">
        <v>50</v>
      </c>
      <c r="W145" s="12">
        <v>30</v>
      </c>
      <c r="X145" s="12">
        <v>32</v>
      </c>
      <c r="Y145" s="12">
        <v>41</v>
      </c>
      <c r="Z145" s="12">
        <v>30</v>
      </c>
      <c r="AA145" s="12">
        <v>26</v>
      </c>
      <c r="AB145" s="12">
        <v>48</v>
      </c>
      <c r="AC145" s="12">
        <v>30</v>
      </c>
      <c r="AD145" s="12">
        <v>22</v>
      </c>
      <c r="AE145" s="12">
        <v>16</v>
      </c>
      <c r="AF145" s="12">
        <v>12</v>
      </c>
      <c r="AG145" s="12">
        <v>14</v>
      </c>
      <c r="AH145" s="12">
        <v>19</v>
      </c>
      <c r="AI145" s="12">
        <v>13</v>
      </c>
      <c r="AJ145" s="12">
        <v>11</v>
      </c>
      <c r="AK145" s="12">
        <v>12</v>
      </c>
      <c r="AL145" s="12">
        <v>11</v>
      </c>
      <c r="AM145" s="12">
        <v>23</v>
      </c>
      <c r="AN145" s="12">
        <v>8</v>
      </c>
      <c r="AO145" s="12">
        <v>13</v>
      </c>
      <c r="AP145" s="12">
        <v>12</v>
      </c>
      <c r="AQ145" s="12">
        <v>9</v>
      </c>
      <c r="AR145" s="12">
        <v>11</v>
      </c>
      <c r="AS145" s="12">
        <v>16</v>
      </c>
      <c r="AT145" s="12">
        <v>7</v>
      </c>
      <c r="AU145" s="12">
        <v>8</v>
      </c>
      <c r="AV145" s="12">
        <v>14</v>
      </c>
      <c r="AW145" s="12">
        <v>23</v>
      </c>
      <c r="AX145" s="12">
        <v>19</v>
      </c>
      <c r="AY145" s="12">
        <v>28</v>
      </c>
      <c r="AZ145" s="12">
        <v>19</v>
      </c>
      <c r="BA145" s="12">
        <v>22</v>
      </c>
      <c r="BB145" s="12">
        <v>22</v>
      </c>
      <c r="BC145" s="12">
        <v>20</v>
      </c>
      <c r="BD145" s="12">
        <v>14</v>
      </c>
      <c r="BE145" s="12">
        <v>7</v>
      </c>
      <c r="BF145" s="12">
        <v>20</v>
      </c>
      <c r="BG145" s="12">
        <v>3</v>
      </c>
      <c r="BH145" s="12">
        <v>6</v>
      </c>
      <c r="BI145" s="12">
        <v>5</v>
      </c>
      <c r="BJ145" s="12">
        <v>7</v>
      </c>
      <c r="BK145" s="12">
        <v>6</v>
      </c>
      <c r="BL145" s="12">
        <v>1</v>
      </c>
      <c r="BM145" s="12">
        <v>5</v>
      </c>
      <c r="BN145" s="12">
        <v>4</v>
      </c>
      <c r="BO145" s="12">
        <v>3</v>
      </c>
      <c r="BP145" s="12">
        <v>5</v>
      </c>
      <c r="BQ145" s="12">
        <v>4</v>
      </c>
      <c r="BR145" s="12">
        <v>5</v>
      </c>
      <c r="BS145" s="12">
        <v>2</v>
      </c>
      <c r="BT145" s="12">
        <v>2</v>
      </c>
      <c r="BU145" s="12">
        <v>0</v>
      </c>
      <c r="BV145" s="12">
        <v>1</v>
      </c>
      <c r="BW145" s="12">
        <v>3</v>
      </c>
      <c r="BX145" s="12">
        <v>0</v>
      </c>
      <c r="BY145" s="12">
        <v>0</v>
      </c>
      <c r="BZ145" s="12">
        <v>1</v>
      </c>
      <c r="CA145" s="12">
        <v>1</v>
      </c>
      <c r="CB145" s="12">
        <v>0</v>
      </c>
      <c r="CC145" s="12">
        <v>1</v>
      </c>
      <c r="CD145" s="12">
        <v>2</v>
      </c>
      <c r="CE145" s="12">
        <v>1</v>
      </c>
      <c r="CF145" s="12">
        <v>1</v>
      </c>
      <c r="CG145" s="12">
        <v>2</v>
      </c>
      <c r="CH145" s="12">
        <v>2</v>
      </c>
      <c r="CI145" s="12">
        <v>1</v>
      </c>
      <c r="CJ145" s="12">
        <v>0</v>
      </c>
      <c r="CK145" s="12">
        <v>0</v>
      </c>
      <c r="CL145" s="12">
        <v>0</v>
      </c>
      <c r="CM145" s="12">
        <v>0</v>
      </c>
      <c r="CN145" s="12">
        <v>1</v>
      </c>
      <c r="CO145" s="12">
        <v>0</v>
      </c>
      <c r="CP145" s="12">
        <v>0</v>
      </c>
      <c r="CQ145" s="12">
        <v>0</v>
      </c>
      <c r="CR145" s="12">
        <v>0</v>
      </c>
      <c r="CS145" s="12">
        <v>0</v>
      </c>
      <c r="CT145" s="12">
        <v>0</v>
      </c>
      <c r="CU145" s="12">
        <v>1</v>
      </c>
      <c r="CV145" s="12">
        <v>0</v>
      </c>
      <c r="CW145" s="12">
        <v>0</v>
      </c>
      <c r="CX145" s="12">
        <v>0</v>
      </c>
      <c r="CY145" s="12">
        <v>0</v>
      </c>
      <c r="CZ145" s="12">
        <v>0</v>
      </c>
      <c r="DA145" s="12">
        <v>0</v>
      </c>
      <c r="DB145" s="12">
        <v>0</v>
      </c>
      <c r="DC145" s="12">
        <v>0</v>
      </c>
      <c r="DD145" s="12">
        <v>0</v>
      </c>
      <c r="DE145" s="12">
        <v>0</v>
      </c>
      <c r="DF145" s="12">
        <v>0</v>
      </c>
      <c r="DG145" s="12">
        <v>0</v>
      </c>
      <c r="DH145" s="12">
        <v>0</v>
      </c>
      <c r="DI145" s="12">
        <v>0</v>
      </c>
      <c r="DJ145" s="12">
        <v>0</v>
      </c>
      <c r="DK145" s="12">
        <v>0</v>
      </c>
      <c r="DL145" s="12">
        <v>0</v>
      </c>
      <c r="DM145" s="12">
        <v>0</v>
      </c>
      <c r="DN145" s="12">
        <v>0</v>
      </c>
      <c r="DO145" s="12">
        <v>0</v>
      </c>
      <c r="DP145" s="12">
        <v>0</v>
      </c>
      <c r="DQ145" s="12">
        <v>0</v>
      </c>
      <c r="DR145" s="12">
        <v>0</v>
      </c>
      <c r="DS145" s="12">
        <v>0</v>
      </c>
      <c r="DT145" s="12">
        <v>0</v>
      </c>
      <c r="DU145" s="12">
        <v>0</v>
      </c>
      <c r="DV145" s="12">
        <v>0</v>
      </c>
      <c r="DW145" s="12">
        <v>0</v>
      </c>
      <c r="DX145" s="12">
        <v>0</v>
      </c>
      <c r="DY145" s="12">
        <v>0</v>
      </c>
      <c r="DZ145" s="12">
        <v>0</v>
      </c>
      <c r="EA145" s="12">
        <v>0</v>
      </c>
      <c r="EB145" s="12">
        <v>0</v>
      </c>
      <c r="EC145" s="12">
        <v>0</v>
      </c>
      <c r="ED145" s="12">
        <v>0</v>
      </c>
      <c r="EE145" s="12">
        <v>0</v>
      </c>
      <c r="EF145" s="12">
        <v>0</v>
      </c>
      <c r="EG145" s="12">
        <v>0</v>
      </c>
      <c r="EH145" s="12">
        <v>0</v>
      </c>
      <c r="EI145" s="12">
        <v>0</v>
      </c>
      <c r="EJ145" s="12">
        <v>0</v>
      </c>
      <c r="EK145" s="12">
        <v>0</v>
      </c>
      <c r="EL145" s="12">
        <v>0</v>
      </c>
      <c r="EM145" s="12">
        <v>0</v>
      </c>
      <c r="EN145" s="12">
        <v>0</v>
      </c>
      <c r="EO145" s="12">
        <v>0</v>
      </c>
      <c r="EP145" s="12" t="str">
        <f t="shared" si="29"/>
        <v>🔴 Sin venta</v>
      </c>
      <c r="EQ145" s="23">
        <f t="shared" si="35"/>
        <v>0</v>
      </c>
      <c r="ER145" s="19">
        <f t="shared" si="34"/>
        <v>0</v>
      </c>
      <c r="ES145" s="12">
        <f t="shared" si="33"/>
        <v>0</v>
      </c>
      <c r="ET145" s="23">
        <f t="shared" si="32"/>
        <v>0</v>
      </c>
      <c r="EU145" s="23">
        <f t="shared" si="31"/>
        <v>0</v>
      </c>
      <c r="EV145" s="23">
        <f t="shared" si="36"/>
        <v>0</v>
      </c>
      <c r="EW145" s="23"/>
      <c r="EX145" s="12">
        <v>2</v>
      </c>
      <c r="EY145" s="19" cm="1">
        <f t="array" ref="EY145:FC145">VLOOKUP(_xlfn.SINGLE(B:B),'[1]Price List'!$B:$N,{8,4,5,6,7},0)</f>
        <v>387.54</v>
      </c>
      <c r="EZ145" s="9" t="str">
        <v>Speck Presidio®2 Grip Magsafe® Clicklock™ Costal Blue / Dust Grey iPhone 15 Pro Max</v>
      </c>
      <c r="FA145" s="12" t="str">
        <v>Cases iPhone</v>
      </c>
      <c r="FB145" s="12" t="str">
        <v>iPhone 15</v>
      </c>
      <c r="FC145" s="12" t="str">
        <v>iPhone 15 Pro Max</v>
      </c>
      <c r="FD145" s="23" t="str">
        <f>_xlfn.XLOOKUP(B:B,'[1]Price List'!$B:$B,'[1]Price List'!$A:$A)</f>
        <v>Speck</v>
      </c>
    </row>
    <row r="146" spans="1:160" s="9" customFormat="1" x14ac:dyDescent="0.2">
      <c r="A146" s="23" t="s">
        <v>599</v>
      </c>
      <c r="B146" s="23">
        <v>840168533589</v>
      </c>
      <c r="C146" s="9" t="s">
        <v>277</v>
      </c>
      <c r="D146" s="9" t="s">
        <v>644</v>
      </c>
      <c r="E146" s="26" t="s">
        <v>301</v>
      </c>
      <c r="F146" s="26" t="s">
        <v>300</v>
      </c>
      <c r="G146" s="9" t="s">
        <v>300</v>
      </c>
      <c r="H146" s="10" t="s">
        <v>278</v>
      </c>
      <c r="I146" s="11">
        <v>999</v>
      </c>
      <c r="J146" s="11">
        <v>387.54</v>
      </c>
      <c r="K146" s="62">
        <v>0.5</v>
      </c>
      <c r="L146" s="19">
        <f t="shared" si="37"/>
        <v>499.5</v>
      </c>
      <c r="M146" s="13" t="s">
        <v>467</v>
      </c>
      <c r="N146" s="13" t="s">
        <v>475</v>
      </c>
      <c r="O146" s="27" t="s">
        <v>250</v>
      </c>
      <c r="P146" s="12">
        <v>9</v>
      </c>
      <c r="Q146" s="12">
        <v>3</v>
      </c>
      <c r="R146" s="12">
        <v>8</v>
      </c>
      <c r="S146" s="12">
        <v>22</v>
      </c>
      <c r="T146" s="12">
        <v>19</v>
      </c>
      <c r="U146" s="12">
        <v>21</v>
      </c>
      <c r="V146" s="12">
        <v>45</v>
      </c>
      <c r="W146" s="12">
        <v>30</v>
      </c>
      <c r="X146" s="12">
        <v>25</v>
      </c>
      <c r="Y146" s="12">
        <v>17</v>
      </c>
      <c r="Z146" s="12">
        <v>24</v>
      </c>
      <c r="AA146" s="12">
        <v>25</v>
      </c>
      <c r="AB146" s="12">
        <v>30</v>
      </c>
      <c r="AC146" s="12">
        <v>27</v>
      </c>
      <c r="AD146" s="12">
        <v>16</v>
      </c>
      <c r="AE146" s="12">
        <v>10</v>
      </c>
      <c r="AF146" s="12">
        <v>6</v>
      </c>
      <c r="AG146" s="12">
        <v>9</v>
      </c>
      <c r="AH146" s="12">
        <v>9</v>
      </c>
      <c r="AI146" s="12">
        <v>6</v>
      </c>
      <c r="AJ146" s="12">
        <v>4</v>
      </c>
      <c r="AK146" s="12">
        <v>8</v>
      </c>
      <c r="AL146" s="12">
        <v>4</v>
      </c>
      <c r="AM146" s="12">
        <v>5</v>
      </c>
      <c r="AN146" s="12">
        <v>5</v>
      </c>
      <c r="AO146" s="12">
        <v>3</v>
      </c>
      <c r="AP146" s="12">
        <v>5</v>
      </c>
      <c r="AQ146" s="12">
        <v>8</v>
      </c>
      <c r="AR146" s="12">
        <v>5</v>
      </c>
      <c r="AS146" s="12">
        <v>5</v>
      </c>
      <c r="AT146" s="12">
        <v>7</v>
      </c>
      <c r="AU146" s="12">
        <v>7</v>
      </c>
      <c r="AV146" s="12">
        <v>3</v>
      </c>
      <c r="AW146" s="12">
        <v>19</v>
      </c>
      <c r="AX146" s="12">
        <v>6</v>
      </c>
      <c r="AY146" s="12">
        <v>8</v>
      </c>
      <c r="AZ146" s="12">
        <v>11</v>
      </c>
      <c r="BA146" s="12">
        <v>10</v>
      </c>
      <c r="BB146" s="12">
        <v>11</v>
      </c>
      <c r="BC146" s="12">
        <v>12</v>
      </c>
      <c r="BD146" s="12">
        <v>10</v>
      </c>
      <c r="BE146" s="12">
        <v>13</v>
      </c>
      <c r="BF146" s="12">
        <v>22</v>
      </c>
      <c r="BG146" s="12">
        <v>9</v>
      </c>
      <c r="BH146" s="12">
        <v>7</v>
      </c>
      <c r="BI146" s="12">
        <v>4</v>
      </c>
      <c r="BJ146" s="12">
        <v>7</v>
      </c>
      <c r="BK146" s="12">
        <v>7</v>
      </c>
      <c r="BL146" s="12">
        <v>5</v>
      </c>
      <c r="BM146" s="12">
        <v>5</v>
      </c>
      <c r="BN146" s="12">
        <v>4</v>
      </c>
      <c r="BO146" s="12">
        <v>9</v>
      </c>
      <c r="BP146" s="12">
        <v>4</v>
      </c>
      <c r="BQ146" s="12">
        <v>7</v>
      </c>
      <c r="BR146" s="12">
        <v>3</v>
      </c>
      <c r="BS146" s="12">
        <v>2</v>
      </c>
      <c r="BT146" s="12">
        <v>1</v>
      </c>
      <c r="BU146" s="12">
        <v>1</v>
      </c>
      <c r="BV146" s="12">
        <v>0</v>
      </c>
      <c r="BW146" s="12">
        <v>2</v>
      </c>
      <c r="BX146" s="12">
        <v>0</v>
      </c>
      <c r="BY146" s="12">
        <v>1</v>
      </c>
      <c r="BZ146" s="12">
        <v>2</v>
      </c>
      <c r="CA146" s="12">
        <v>0</v>
      </c>
      <c r="CB146" s="12">
        <v>1</v>
      </c>
      <c r="CC146" s="12">
        <v>1</v>
      </c>
      <c r="CD146" s="12">
        <v>0</v>
      </c>
      <c r="CE146" s="12">
        <v>0</v>
      </c>
      <c r="CF146" s="12">
        <v>2</v>
      </c>
      <c r="CG146" s="12">
        <v>0</v>
      </c>
      <c r="CH146" s="12">
        <v>0</v>
      </c>
      <c r="CI146" s="12">
        <v>1</v>
      </c>
      <c r="CJ146" s="12">
        <v>1</v>
      </c>
      <c r="CK146" s="12">
        <v>1</v>
      </c>
      <c r="CL146" s="12">
        <v>2</v>
      </c>
      <c r="CM146" s="12">
        <v>0</v>
      </c>
      <c r="CN146" s="12">
        <v>0</v>
      </c>
      <c r="CO146" s="12">
        <v>0</v>
      </c>
      <c r="CP146" s="12">
        <v>1</v>
      </c>
      <c r="CQ146" s="12">
        <v>0</v>
      </c>
      <c r="CR146" s="12">
        <v>0</v>
      </c>
      <c r="CS146" s="12">
        <v>1</v>
      </c>
      <c r="CT146" s="12">
        <v>0</v>
      </c>
      <c r="CU146" s="12">
        <v>0</v>
      </c>
      <c r="CV146" s="12">
        <v>2</v>
      </c>
      <c r="CW146" s="12">
        <v>0</v>
      </c>
      <c r="CX146" s="12">
        <v>0</v>
      </c>
      <c r="CY146" s="12">
        <v>0</v>
      </c>
      <c r="CZ146" s="12">
        <v>0</v>
      </c>
      <c r="DA146" s="12">
        <v>0</v>
      </c>
      <c r="DB146" s="12">
        <v>0</v>
      </c>
      <c r="DC146" s="12">
        <v>0</v>
      </c>
      <c r="DD146" s="12">
        <v>0</v>
      </c>
      <c r="DE146" s="12">
        <v>0</v>
      </c>
      <c r="DF146" s="12">
        <v>0</v>
      </c>
      <c r="DG146" s="12">
        <v>0</v>
      </c>
      <c r="DH146" s="12">
        <v>0</v>
      </c>
      <c r="DI146" s="12">
        <v>0</v>
      </c>
      <c r="DJ146" s="12">
        <v>0</v>
      </c>
      <c r="DK146" s="12">
        <v>0</v>
      </c>
      <c r="DL146" s="12">
        <v>0</v>
      </c>
      <c r="DM146" s="12">
        <v>0</v>
      </c>
      <c r="DN146" s="12">
        <v>0</v>
      </c>
      <c r="DO146" s="12">
        <v>0</v>
      </c>
      <c r="DP146" s="12">
        <v>0</v>
      </c>
      <c r="DQ146" s="12">
        <v>0</v>
      </c>
      <c r="DR146" s="12">
        <v>0</v>
      </c>
      <c r="DS146" s="12">
        <v>0</v>
      </c>
      <c r="DT146" s="12">
        <v>0</v>
      </c>
      <c r="DU146" s="12">
        <v>0</v>
      </c>
      <c r="DV146" s="12">
        <v>0</v>
      </c>
      <c r="DW146" s="12">
        <v>0</v>
      </c>
      <c r="DX146" s="12">
        <v>0</v>
      </c>
      <c r="DY146" s="12">
        <v>0</v>
      </c>
      <c r="DZ146" s="12">
        <v>0</v>
      </c>
      <c r="EA146" s="12">
        <v>0</v>
      </c>
      <c r="EB146" s="12">
        <v>0</v>
      </c>
      <c r="EC146" s="12">
        <v>0</v>
      </c>
      <c r="ED146" s="12">
        <v>0</v>
      </c>
      <c r="EE146" s="12">
        <v>0</v>
      </c>
      <c r="EF146" s="12">
        <v>0</v>
      </c>
      <c r="EG146" s="12">
        <v>1</v>
      </c>
      <c r="EH146" s="12">
        <v>0</v>
      </c>
      <c r="EI146" s="12">
        <v>0</v>
      </c>
      <c r="EJ146" s="12">
        <v>0</v>
      </c>
      <c r="EK146" s="12">
        <v>0</v>
      </c>
      <c r="EL146" s="12">
        <v>0</v>
      </c>
      <c r="EM146" s="12">
        <v>0</v>
      </c>
      <c r="EN146" s="12">
        <v>0</v>
      </c>
      <c r="EO146" s="12">
        <v>0</v>
      </c>
      <c r="EP146" s="12" t="str">
        <f t="shared" si="29"/>
        <v>🔴 Sin venta</v>
      </c>
      <c r="EQ146" s="23">
        <f t="shared" si="35"/>
        <v>4.1666666666666664E-2</v>
      </c>
      <c r="ER146" s="19">
        <f t="shared" si="34"/>
        <v>387.54</v>
      </c>
      <c r="ES146" s="12">
        <f t="shared" si="33"/>
        <v>1</v>
      </c>
      <c r="ET146" s="23">
        <f t="shared" si="32"/>
        <v>0</v>
      </c>
      <c r="EU146" s="23">
        <f t="shared" si="31"/>
        <v>0</v>
      </c>
      <c r="EV146" s="23">
        <f t="shared" si="36"/>
        <v>0.22</v>
      </c>
      <c r="EW146" s="23"/>
      <c r="EX146" s="12">
        <v>3</v>
      </c>
      <c r="EY146" s="19" cm="1">
        <f t="array" ref="EY146:FC146">VLOOKUP(_xlfn.SINGLE(B:B),'[1]Price List'!$B:$N,{8,4,5,6,7},0)</f>
        <v>387.54</v>
      </c>
      <c r="EZ146" s="9" t="str">
        <v>Speck Presidio®2 Grip Magsafe® Clicklock™ Charcoal Grey/ Cool Bronze iPhone 15 Pro Max</v>
      </c>
      <c r="FA146" s="12" t="str">
        <v>Cases iPhone</v>
      </c>
      <c r="FB146" s="12" t="str">
        <v>iPhone 15</v>
      </c>
      <c r="FC146" s="12" t="str">
        <v>iPhone 15 Pro Max</v>
      </c>
      <c r="FD146" s="23" t="str">
        <f>_xlfn.XLOOKUP(B:B,'[1]Price List'!$B:$B,'[1]Price List'!$A:$A)</f>
        <v>Speck</v>
      </c>
    </row>
    <row r="147" spans="1:160" s="9" customFormat="1" x14ac:dyDescent="0.2">
      <c r="A147" s="23" t="s">
        <v>599</v>
      </c>
      <c r="B147" s="23">
        <v>840168532742</v>
      </c>
      <c r="C147" s="9" t="s">
        <v>251</v>
      </c>
      <c r="D147" s="9" t="s">
        <v>644</v>
      </c>
      <c r="E147" s="9" t="s">
        <v>301</v>
      </c>
      <c r="F147" s="9" t="s">
        <v>301</v>
      </c>
      <c r="G147" s="9" t="s">
        <v>685</v>
      </c>
      <c r="H147" s="12" t="s">
        <v>252</v>
      </c>
      <c r="I147" s="12">
        <v>999</v>
      </c>
      <c r="J147" s="11">
        <v>387.54</v>
      </c>
      <c r="K147" s="62">
        <v>0</v>
      </c>
      <c r="L147" s="12">
        <v>0</v>
      </c>
      <c r="M147" s="32" t="s">
        <v>467</v>
      </c>
      <c r="N147" s="32" t="s">
        <v>475</v>
      </c>
      <c r="O147" s="27" t="s">
        <v>250</v>
      </c>
      <c r="P147" s="12">
        <v>6</v>
      </c>
      <c r="Q147" s="12">
        <v>7</v>
      </c>
      <c r="R147" s="12">
        <v>11</v>
      </c>
      <c r="S147" s="12">
        <v>11</v>
      </c>
      <c r="T147" s="12">
        <v>6</v>
      </c>
      <c r="U147" s="12">
        <v>6</v>
      </c>
      <c r="V147" s="12">
        <v>19</v>
      </c>
      <c r="W147" s="12">
        <v>11</v>
      </c>
      <c r="X147" s="12">
        <v>11</v>
      </c>
      <c r="Y147" s="12">
        <v>14</v>
      </c>
      <c r="Z147" s="12">
        <v>16</v>
      </c>
      <c r="AA147" s="12">
        <v>15</v>
      </c>
      <c r="AB147" s="12">
        <v>23</v>
      </c>
      <c r="AC147" s="12">
        <v>15</v>
      </c>
      <c r="AD147" s="12">
        <v>9</v>
      </c>
      <c r="AE147" s="12">
        <v>14</v>
      </c>
      <c r="AF147" s="12">
        <v>12</v>
      </c>
      <c r="AG147" s="12">
        <v>9</v>
      </c>
      <c r="AH147" s="12">
        <v>8</v>
      </c>
      <c r="AI147" s="12">
        <v>6</v>
      </c>
      <c r="AJ147" s="12">
        <v>12</v>
      </c>
      <c r="AK147" s="12">
        <v>10</v>
      </c>
      <c r="AL147" s="12">
        <v>9</v>
      </c>
      <c r="AM147" s="12">
        <v>9</v>
      </c>
      <c r="AN147" s="12">
        <v>12</v>
      </c>
      <c r="AO147" s="12">
        <v>11</v>
      </c>
      <c r="AP147" s="12">
        <v>6</v>
      </c>
      <c r="AQ147" s="12">
        <v>8</v>
      </c>
      <c r="AR147" s="12">
        <v>5</v>
      </c>
      <c r="AS147" s="12">
        <v>5</v>
      </c>
      <c r="AT147" s="12">
        <v>8</v>
      </c>
      <c r="AU147" s="12">
        <v>7</v>
      </c>
      <c r="AV147" s="12">
        <v>6</v>
      </c>
      <c r="AW147" s="12">
        <v>15</v>
      </c>
      <c r="AX147" s="12">
        <v>11</v>
      </c>
      <c r="AY147" s="12">
        <v>18</v>
      </c>
      <c r="AZ147" s="12">
        <v>25</v>
      </c>
      <c r="BA147" s="12">
        <v>23</v>
      </c>
      <c r="BB147" s="12">
        <v>21</v>
      </c>
      <c r="BC147" s="12">
        <v>20</v>
      </c>
      <c r="BD147" s="12">
        <v>27</v>
      </c>
      <c r="BE147" s="12">
        <v>20</v>
      </c>
      <c r="BF147" s="12">
        <v>36</v>
      </c>
      <c r="BG147" s="12">
        <v>12</v>
      </c>
      <c r="BH147" s="12">
        <v>10</v>
      </c>
      <c r="BI147" s="12">
        <v>15</v>
      </c>
      <c r="BJ147" s="12">
        <v>21</v>
      </c>
      <c r="BK147" s="12">
        <v>28</v>
      </c>
      <c r="BL147" s="12">
        <v>17</v>
      </c>
      <c r="BM147" s="12">
        <v>10</v>
      </c>
      <c r="BN147" s="12">
        <v>13</v>
      </c>
      <c r="BO147" s="12">
        <v>31</v>
      </c>
      <c r="BP147" s="12">
        <v>41</v>
      </c>
      <c r="BQ147" s="12">
        <v>29</v>
      </c>
      <c r="BR147" s="12">
        <v>16</v>
      </c>
      <c r="BS147" s="12">
        <v>32</v>
      </c>
      <c r="BT147" s="12">
        <v>27</v>
      </c>
      <c r="BU147" s="12">
        <v>18</v>
      </c>
      <c r="BV147" s="12">
        <v>6</v>
      </c>
      <c r="BW147" s="12">
        <v>15</v>
      </c>
      <c r="BX147" s="12">
        <v>14</v>
      </c>
      <c r="BY147" s="12">
        <v>8</v>
      </c>
      <c r="BZ147" s="12">
        <v>5</v>
      </c>
      <c r="CA147" s="12">
        <v>4</v>
      </c>
      <c r="CB147" s="12">
        <v>4</v>
      </c>
      <c r="CC147" s="12">
        <v>4</v>
      </c>
      <c r="CD147" s="12">
        <v>2</v>
      </c>
      <c r="CE147" s="12">
        <v>1</v>
      </c>
      <c r="CF147" s="12">
        <v>3</v>
      </c>
      <c r="CG147" s="12">
        <v>5</v>
      </c>
      <c r="CH147" s="12">
        <v>2</v>
      </c>
      <c r="CI147" s="12">
        <v>1</v>
      </c>
      <c r="CJ147" s="12">
        <v>3</v>
      </c>
      <c r="CK147" s="12">
        <v>8</v>
      </c>
      <c r="CL147" s="12">
        <v>6</v>
      </c>
      <c r="CM147" s="12">
        <v>14</v>
      </c>
      <c r="CN147" s="12">
        <v>13</v>
      </c>
      <c r="CO147" s="12">
        <v>9</v>
      </c>
      <c r="CP147" s="12">
        <v>16</v>
      </c>
      <c r="CQ147" s="12">
        <v>9</v>
      </c>
      <c r="CR147" s="12">
        <v>6</v>
      </c>
      <c r="CS147" s="12">
        <v>7</v>
      </c>
      <c r="CT147" s="12">
        <v>17</v>
      </c>
      <c r="CU147" s="12">
        <v>21</v>
      </c>
      <c r="CV147" s="12">
        <v>15</v>
      </c>
      <c r="CW147" s="12">
        <v>15</v>
      </c>
      <c r="CX147" s="12">
        <v>8</v>
      </c>
      <c r="CY147" s="12">
        <v>12</v>
      </c>
      <c r="CZ147" s="12">
        <v>9</v>
      </c>
      <c r="DA147" s="12">
        <v>6</v>
      </c>
      <c r="DB147" s="12">
        <v>5</v>
      </c>
      <c r="DC147" s="12">
        <v>6</v>
      </c>
      <c r="DD147" s="12">
        <v>2</v>
      </c>
      <c r="DE147" s="12">
        <v>3</v>
      </c>
      <c r="DF147" s="12">
        <v>6</v>
      </c>
      <c r="DG147" s="12">
        <v>4</v>
      </c>
      <c r="DH147" s="12">
        <v>2</v>
      </c>
      <c r="DI147" s="12">
        <v>2</v>
      </c>
      <c r="DJ147" s="12">
        <v>5</v>
      </c>
      <c r="DK147" s="12">
        <v>4</v>
      </c>
      <c r="DL147" s="12">
        <v>2</v>
      </c>
      <c r="DM147" s="12">
        <v>0</v>
      </c>
      <c r="DN147" s="12">
        <v>4</v>
      </c>
      <c r="DO147" s="12">
        <v>6</v>
      </c>
      <c r="DP147" s="12">
        <v>1</v>
      </c>
      <c r="DQ147" s="12">
        <v>4</v>
      </c>
      <c r="DR147" s="12">
        <v>1</v>
      </c>
      <c r="DS147" s="12">
        <v>1</v>
      </c>
      <c r="DT147" s="12">
        <v>2</v>
      </c>
      <c r="DU147" s="12">
        <v>0</v>
      </c>
      <c r="DV147" s="12">
        <v>1</v>
      </c>
      <c r="DW147" s="12">
        <v>0</v>
      </c>
      <c r="DX147" s="12">
        <v>1</v>
      </c>
      <c r="DY147" s="12">
        <v>0</v>
      </c>
      <c r="DZ147" s="12">
        <v>0</v>
      </c>
      <c r="EA147" s="12">
        <v>1</v>
      </c>
      <c r="EB147" s="12">
        <v>1</v>
      </c>
      <c r="EC147" s="12">
        <v>0</v>
      </c>
      <c r="ED147" s="12">
        <v>1</v>
      </c>
      <c r="EE147" s="12">
        <v>0</v>
      </c>
      <c r="EF147" s="12">
        <v>0</v>
      </c>
      <c r="EG147" s="12">
        <v>0</v>
      </c>
      <c r="EH147" s="12">
        <v>0</v>
      </c>
      <c r="EI147" s="12">
        <v>1</v>
      </c>
      <c r="EJ147" s="12">
        <v>0</v>
      </c>
      <c r="EK147" s="12">
        <v>0</v>
      </c>
      <c r="EL147" s="12">
        <v>0</v>
      </c>
      <c r="EM147" s="12">
        <v>1</v>
      </c>
      <c r="EN147" s="12">
        <v>1</v>
      </c>
      <c r="EO147" s="12">
        <v>0</v>
      </c>
      <c r="EP147" s="12" t="str">
        <f>IF(EL147=0,"🔴 Sin venta",IF(EL147&lt;EQ184*0.8,"🟠 Bajo",IF(EL184&lt;=EQ147*1.2,"🟢 Bien","🔵 Sobre promedio")))</f>
        <v>🔴 Sin venta</v>
      </c>
      <c r="EQ147" s="23">
        <f t="shared" si="35"/>
        <v>0.66666666666666663</v>
      </c>
      <c r="ER147" s="19">
        <f t="shared" si="34"/>
        <v>6588.18</v>
      </c>
      <c r="ES147" s="12">
        <f t="shared" si="33"/>
        <v>17</v>
      </c>
      <c r="ET147" s="23">
        <f t="shared" ref="ET147:ET176" si="38">ROUND((AVERAGE(CZ147:DG147)*4),2)</f>
        <v>20.5</v>
      </c>
      <c r="EU147" s="23">
        <f t="shared" ref="EU147:EU176" si="39">ROUND((AVERAGE(DH147:DO147)*4),2)</f>
        <v>12.5</v>
      </c>
      <c r="EV147" s="23">
        <f t="shared" ref="EV147:EV176" si="40">ROUND((AVERAGE(DP147:ED147)*4),2)</f>
        <v>3.73</v>
      </c>
      <c r="EW147" s="23"/>
      <c r="EX147" s="12">
        <v>18</v>
      </c>
      <c r="EY147" s="19" cm="1">
        <f t="array" ref="EY147:FC147">VLOOKUP(_xlfn.SINGLE(B:B),'[1]Price List'!$B:$N,{8,4,5,6,7},0)</f>
        <v>387.54</v>
      </c>
      <c r="EZ147" s="9" t="str">
        <v>Speck Presidio®2 Grip Magsafe® Clicklock™ Costal Blue / Dust Grey iPhone 15</v>
      </c>
      <c r="FA147" s="12" t="str">
        <v>Cases iPhone</v>
      </c>
      <c r="FB147" s="12" t="str">
        <v>iPhone 15</v>
      </c>
      <c r="FC147" s="12" t="str">
        <v>iPhone 16e / 15 / 14 / 13</v>
      </c>
      <c r="FD147" s="23" t="str">
        <f>_xlfn.XLOOKUP(B:B,'[1]Price List'!$B:$B,'[1]Price List'!$A:$A)</f>
        <v>Speck</v>
      </c>
    </row>
    <row r="148" spans="1:160" s="9" customFormat="1" x14ac:dyDescent="0.2">
      <c r="A148" s="23" t="s">
        <v>599</v>
      </c>
      <c r="B148" s="23">
        <v>840168532803</v>
      </c>
      <c r="C148" s="9" t="s">
        <v>253</v>
      </c>
      <c r="D148" s="9" t="s">
        <v>644</v>
      </c>
      <c r="E148" s="9" t="s">
        <v>301</v>
      </c>
      <c r="F148" s="9" t="s">
        <v>301</v>
      </c>
      <c r="G148" s="9" t="s">
        <v>685</v>
      </c>
      <c r="H148" s="12" t="s">
        <v>254</v>
      </c>
      <c r="I148" s="12">
        <v>999</v>
      </c>
      <c r="J148" s="11">
        <v>387.54</v>
      </c>
      <c r="K148" s="62">
        <v>0</v>
      </c>
      <c r="L148" s="12">
        <v>0</v>
      </c>
      <c r="M148" s="32" t="s">
        <v>467</v>
      </c>
      <c r="N148" s="32" t="s">
        <v>475</v>
      </c>
      <c r="O148" s="27" t="s">
        <v>250</v>
      </c>
      <c r="P148" s="12">
        <v>5</v>
      </c>
      <c r="Q148" s="12">
        <v>4</v>
      </c>
      <c r="R148" s="12">
        <v>2</v>
      </c>
      <c r="S148" s="12">
        <v>4</v>
      </c>
      <c r="T148" s="12">
        <v>5</v>
      </c>
      <c r="U148" s="12">
        <v>5</v>
      </c>
      <c r="V148" s="12">
        <v>11</v>
      </c>
      <c r="W148" s="12">
        <v>12</v>
      </c>
      <c r="X148" s="12">
        <v>10</v>
      </c>
      <c r="Y148" s="12">
        <v>13</v>
      </c>
      <c r="Z148" s="12">
        <v>10</v>
      </c>
      <c r="AA148" s="12">
        <v>17</v>
      </c>
      <c r="AB148" s="12">
        <v>15</v>
      </c>
      <c r="AC148" s="12">
        <v>11</v>
      </c>
      <c r="AD148" s="12">
        <v>9</v>
      </c>
      <c r="AE148" s="12">
        <v>12</v>
      </c>
      <c r="AF148" s="12">
        <v>13</v>
      </c>
      <c r="AG148" s="12">
        <v>8</v>
      </c>
      <c r="AH148" s="12">
        <v>5</v>
      </c>
      <c r="AI148" s="12">
        <v>5</v>
      </c>
      <c r="AJ148" s="12">
        <v>5</v>
      </c>
      <c r="AK148" s="12">
        <v>9</v>
      </c>
      <c r="AL148" s="12">
        <v>7</v>
      </c>
      <c r="AM148" s="12">
        <v>11</v>
      </c>
      <c r="AN148" s="12">
        <v>10</v>
      </c>
      <c r="AO148" s="12">
        <v>7</v>
      </c>
      <c r="AP148" s="12">
        <v>12</v>
      </c>
      <c r="AQ148" s="12">
        <v>8</v>
      </c>
      <c r="AR148" s="12">
        <v>7</v>
      </c>
      <c r="AS148" s="12">
        <v>16</v>
      </c>
      <c r="AT148" s="12">
        <v>6</v>
      </c>
      <c r="AU148" s="12">
        <v>7</v>
      </c>
      <c r="AV148" s="12">
        <v>11</v>
      </c>
      <c r="AW148" s="12">
        <v>17</v>
      </c>
      <c r="AX148" s="12">
        <v>20</v>
      </c>
      <c r="AY148" s="12">
        <v>12</v>
      </c>
      <c r="AZ148" s="12">
        <v>16</v>
      </c>
      <c r="BA148" s="12">
        <v>19</v>
      </c>
      <c r="BB148" s="12">
        <v>14</v>
      </c>
      <c r="BC148" s="12">
        <v>13</v>
      </c>
      <c r="BD148" s="12">
        <v>21</v>
      </c>
      <c r="BE148" s="12">
        <v>27</v>
      </c>
      <c r="BF148" s="12">
        <v>17</v>
      </c>
      <c r="BG148" s="12">
        <v>13</v>
      </c>
      <c r="BH148" s="12">
        <v>13</v>
      </c>
      <c r="BI148" s="12">
        <v>18</v>
      </c>
      <c r="BJ148" s="12">
        <v>24</v>
      </c>
      <c r="BK148" s="12">
        <v>17</v>
      </c>
      <c r="BL148" s="12">
        <v>16</v>
      </c>
      <c r="BM148" s="12">
        <v>11</v>
      </c>
      <c r="BN148" s="12">
        <v>10</v>
      </c>
      <c r="BO148" s="12">
        <v>25</v>
      </c>
      <c r="BP148" s="12">
        <v>44</v>
      </c>
      <c r="BQ148" s="12">
        <v>26</v>
      </c>
      <c r="BR148" s="12">
        <v>21</v>
      </c>
      <c r="BS148" s="12">
        <v>15</v>
      </c>
      <c r="BT148" s="12">
        <v>11</v>
      </c>
      <c r="BU148" s="12">
        <v>10</v>
      </c>
      <c r="BV148" s="12">
        <v>10</v>
      </c>
      <c r="BW148" s="12">
        <v>5</v>
      </c>
      <c r="BX148" s="12">
        <v>4</v>
      </c>
      <c r="BY148" s="12">
        <v>19</v>
      </c>
      <c r="BZ148" s="12">
        <v>15</v>
      </c>
      <c r="CA148" s="12">
        <v>10</v>
      </c>
      <c r="CB148" s="12">
        <v>12</v>
      </c>
      <c r="CC148" s="12">
        <v>11</v>
      </c>
      <c r="CD148" s="12">
        <v>13</v>
      </c>
      <c r="CE148" s="12">
        <v>13</v>
      </c>
      <c r="CF148" s="12">
        <v>10</v>
      </c>
      <c r="CG148" s="12">
        <v>13</v>
      </c>
      <c r="CH148" s="12">
        <v>17</v>
      </c>
      <c r="CI148" s="12">
        <v>16</v>
      </c>
      <c r="CJ148" s="12">
        <v>7</v>
      </c>
      <c r="CK148" s="12">
        <v>14</v>
      </c>
      <c r="CL148" s="12">
        <v>11</v>
      </c>
      <c r="CM148" s="12">
        <v>20</v>
      </c>
      <c r="CN148" s="12">
        <v>15</v>
      </c>
      <c r="CO148" s="12">
        <v>10</v>
      </c>
      <c r="CP148" s="12">
        <v>8</v>
      </c>
      <c r="CQ148" s="12">
        <v>13</v>
      </c>
      <c r="CR148" s="12">
        <v>4</v>
      </c>
      <c r="CS148" s="12">
        <v>6</v>
      </c>
      <c r="CT148" s="12">
        <v>5</v>
      </c>
      <c r="CU148" s="12">
        <v>6</v>
      </c>
      <c r="CV148" s="12">
        <v>15</v>
      </c>
      <c r="CW148" s="12">
        <v>12</v>
      </c>
      <c r="CX148" s="12">
        <v>7</v>
      </c>
      <c r="CY148" s="12">
        <v>9</v>
      </c>
      <c r="CZ148" s="12">
        <v>4</v>
      </c>
      <c r="DA148" s="12">
        <v>7</v>
      </c>
      <c r="DB148" s="12">
        <v>3</v>
      </c>
      <c r="DC148" s="12">
        <v>2</v>
      </c>
      <c r="DD148" s="12">
        <v>4</v>
      </c>
      <c r="DE148" s="12">
        <v>3</v>
      </c>
      <c r="DF148" s="12">
        <v>4</v>
      </c>
      <c r="DG148" s="12">
        <v>3</v>
      </c>
      <c r="DH148" s="12">
        <v>3</v>
      </c>
      <c r="DI148" s="12">
        <v>6</v>
      </c>
      <c r="DJ148" s="12">
        <v>2</v>
      </c>
      <c r="DK148" s="12">
        <v>1</v>
      </c>
      <c r="DL148" s="12">
        <v>4</v>
      </c>
      <c r="DM148" s="12">
        <v>3</v>
      </c>
      <c r="DN148" s="12">
        <v>5</v>
      </c>
      <c r="DO148" s="12">
        <v>4</v>
      </c>
      <c r="DP148" s="12">
        <v>2</v>
      </c>
      <c r="DQ148" s="12">
        <v>4</v>
      </c>
      <c r="DR148" s="12">
        <v>2</v>
      </c>
      <c r="DS148" s="12">
        <v>0</v>
      </c>
      <c r="DT148" s="12">
        <v>0</v>
      </c>
      <c r="DU148" s="12">
        <v>0</v>
      </c>
      <c r="DV148" s="12">
        <v>1</v>
      </c>
      <c r="DW148" s="12">
        <v>0</v>
      </c>
      <c r="DX148" s="12">
        <v>2</v>
      </c>
      <c r="DY148" s="12">
        <v>0</v>
      </c>
      <c r="DZ148" s="12">
        <v>1</v>
      </c>
      <c r="EA148" s="12">
        <v>0</v>
      </c>
      <c r="EB148" s="12">
        <v>2</v>
      </c>
      <c r="EC148" s="12">
        <v>1</v>
      </c>
      <c r="ED148" s="12">
        <v>2</v>
      </c>
      <c r="EE148" s="12">
        <v>0</v>
      </c>
      <c r="EF148" s="12">
        <v>0</v>
      </c>
      <c r="EG148" s="12">
        <v>0</v>
      </c>
      <c r="EH148" s="12">
        <v>0</v>
      </c>
      <c r="EI148" s="12">
        <v>0</v>
      </c>
      <c r="EJ148" s="12">
        <v>0</v>
      </c>
      <c r="EK148" s="12">
        <v>0</v>
      </c>
      <c r="EL148" s="12">
        <v>0</v>
      </c>
      <c r="EM148" s="12">
        <v>0</v>
      </c>
      <c r="EN148" s="12">
        <v>0</v>
      </c>
      <c r="EO148" s="12">
        <v>0</v>
      </c>
      <c r="EP148" s="12" t="str">
        <f t="shared" ref="EP148:EP198" si="41">IF(EL148=0,"🔴 Sin venta",IF(EL148&lt;EQ186*0.8,"🟠 Bajo",IF(EL186&lt;=EQ148*1.2,"🟢 Bien","🔵 Sobre promedio")))</f>
        <v>🔴 Sin venta</v>
      </c>
      <c r="EQ148" s="23">
        <f t="shared" si="35"/>
        <v>0.70833333333333337</v>
      </c>
      <c r="ER148" s="19">
        <f t="shared" si="34"/>
        <v>6588.18</v>
      </c>
      <c r="ES148" s="12">
        <f t="shared" si="33"/>
        <v>17</v>
      </c>
      <c r="ET148" s="23">
        <f t="shared" si="38"/>
        <v>15</v>
      </c>
      <c r="EU148" s="23">
        <f t="shared" si="39"/>
        <v>14</v>
      </c>
      <c r="EV148" s="23">
        <f t="shared" si="40"/>
        <v>4.53</v>
      </c>
      <c r="EW148" s="23"/>
      <c r="EX148" s="12">
        <v>15</v>
      </c>
      <c r="EY148" s="19" cm="1">
        <f t="array" ref="EY148:FC148">VLOOKUP(_xlfn.SINGLE(B:B),'[1]Price List'!$B:$N,{8,4,5,6,7},0)</f>
        <v>387.54</v>
      </c>
      <c r="EZ148" s="9" t="str">
        <v>Speck Presidio®2 Grip Magsafe® Clicklock™ Charcoal Grey/ Cool Bronze iPhone 15</v>
      </c>
      <c r="FA148" s="12" t="str">
        <v>Cases iPhone</v>
      </c>
      <c r="FB148" s="12" t="str">
        <v>iPhone 15</v>
      </c>
      <c r="FC148" s="12" t="str">
        <v>iPhone 16e / 15 / 14 / 13</v>
      </c>
      <c r="FD148" s="23" t="str">
        <f>_xlfn.XLOOKUP(B:B,'[1]Price List'!$B:$B,'[1]Price List'!$A:$A)</f>
        <v>Speck</v>
      </c>
    </row>
    <row r="149" spans="1:160" s="9" customFormat="1" x14ac:dyDescent="0.2">
      <c r="A149" s="23" t="s">
        <v>599</v>
      </c>
      <c r="B149" s="23">
        <v>840168532995</v>
      </c>
      <c r="C149" s="9" t="s">
        <v>257</v>
      </c>
      <c r="D149" s="9" t="s">
        <v>644</v>
      </c>
      <c r="E149" s="9" t="s">
        <v>301</v>
      </c>
      <c r="F149" s="9" t="s">
        <v>302</v>
      </c>
      <c r="G149" s="9" t="s">
        <v>302</v>
      </c>
      <c r="H149" s="12" t="s">
        <v>258</v>
      </c>
      <c r="I149" s="12">
        <v>999</v>
      </c>
      <c r="J149" s="11">
        <v>387.54</v>
      </c>
      <c r="K149" s="62">
        <v>0.5</v>
      </c>
      <c r="L149" s="19">
        <f t="shared" ref="L149:L152" si="42">I149*(1-K149)</f>
        <v>499.5</v>
      </c>
      <c r="M149" s="13" t="s">
        <v>467</v>
      </c>
      <c r="N149" s="13" t="s">
        <v>475</v>
      </c>
      <c r="O149" s="27" t="s">
        <v>250</v>
      </c>
      <c r="P149" s="12">
        <v>15</v>
      </c>
      <c r="Q149" s="12">
        <v>10</v>
      </c>
      <c r="R149" s="12">
        <v>8</v>
      </c>
      <c r="S149" s="12">
        <v>16</v>
      </c>
      <c r="T149" s="12">
        <v>18</v>
      </c>
      <c r="U149" s="12">
        <v>17</v>
      </c>
      <c r="V149" s="12">
        <v>53</v>
      </c>
      <c r="W149" s="12">
        <v>31</v>
      </c>
      <c r="X149" s="12">
        <v>14</v>
      </c>
      <c r="Y149" s="12">
        <v>18</v>
      </c>
      <c r="Z149" s="12">
        <v>15</v>
      </c>
      <c r="AA149" s="12">
        <v>11</v>
      </c>
      <c r="AB149" s="12">
        <v>25</v>
      </c>
      <c r="AC149" s="12">
        <v>12</v>
      </c>
      <c r="AD149" s="12">
        <v>11</v>
      </c>
      <c r="AE149" s="12">
        <v>8</v>
      </c>
      <c r="AF149" s="12">
        <v>10</v>
      </c>
      <c r="AG149" s="12">
        <v>7</v>
      </c>
      <c r="AH149" s="12">
        <v>8</v>
      </c>
      <c r="AI149" s="12">
        <v>9</v>
      </c>
      <c r="AJ149" s="12">
        <v>8</v>
      </c>
      <c r="AK149" s="12">
        <v>12</v>
      </c>
      <c r="AL149" s="12">
        <v>11</v>
      </c>
      <c r="AM149" s="12">
        <v>6</v>
      </c>
      <c r="AN149" s="12">
        <v>5</v>
      </c>
      <c r="AO149" s="12">
        <v>13</v>
      </c>
      <c r="AP149" s="12">
        <v>9</v>
      </c>
      <c r="AQ149" s="12">
        <v>9</v>
      </c>
      <c r="AR149" s="12">
        <v>9</v>
      </c>
      <c r="AS149" s="12">
        <v>10</v>
      </c>
      <c r="AT149" s="12">
        <v>4</v>
      </c>
      <c r="AU149" s="12">
        <v>5</v>
      </c>
      <c r="AV149" s="12">
        <v>11</v>
      </c>
      <c r="AW149" s="12">
        <v>24</v>
      </c>
      <c r="AX149" s="12">
        <v>23</v>
      </c>
      <c r="AY149" s="12">
        <v>15</v>
      </c>
      <c r="AZ149" s="12">
        <v>29</v>
      </c>
      <c r="BA149" s="12">
        <v>23</v>
      </c>
      <c r="BB149" s="12">
        <v>24</v>
      </c>
      <c r="BC149" s="12">
        <v>21</v>
      </c>
      <c r="BD149" s="12">
        <v>16</v>
      </c>
      <c r="BE149" s="12">
        <v>26</v>
      </c>
      <c r="BF149" s="12">
        <v>18</v>
      </c>
      <c r="BG149" s="12">
        <v>3</v>
      </c>
      <c r="BH149" s="12">
        <v>8</v>
      </c>
      <c r="BI149" s="12">
        <v>5</v>
      </c>
      <c r="BJ149" s="12">
        <v>6</v>
      </c>
      <c r="BK149" s="12">
        <v>6</v>
      </c>
      <c r="BL149" s="12">
        <v>4</v>
      </c>
      <c r="BM149" s="12">
        <v>3</v>
      </c>
      <c r="BN149" s="12">
        <v>9</v>
      </c>
      <c r="BO149" s="12">
        <v>4</v>
      </c>
      <c r="BP149" s="12">
        <v>7</v>
      </c>
      <c r="BQ149" s="12">
        <v>4</v>
      </c>
      <c r="BR149" s="12">
        <v>2</v>
      </c>
      <c r="BS149" s="12">
        <v>5</v>
      </c>
      <c r="BT149" s="12">
        <v>2</v>
      </c>
      <c r="BU149" s="12">
        <v>3</v>
      </c>
      <c r="BV149" s="12">
        <v>2</v>
      </c>
      <c r="BW149" s="12">
        <v>5</v>
      </c>
      <c r="BX149" s="12">
        <v>0</v>
      </c>
      <c r="BY149" s="12">
        <v>0</v>
      </c>
      <c r="BZ149" s="12">
        <v>1</v>
      </c>
      <c r="CA149" s="12">
        <v>2</v>
      </c>
      <c r="CB149" s="12">
        <v>2</v>
      </c>
      <c r="CC149" s="12">
        <v>1</v>
      </c>
      <c r="CD149" s="12">
        <v>1</v>
      </c>
      <c r="CE149" s="12">
        <v>0</v>
      </c>
      <c r="CF149" s="12">
        <v>1</v>
      </c>
      <c r="CG149" s="12">
        <v>0</v>
      </c>
      <c r="CH149" s="12">
        <v>1</v>
      </c>
      <c r="CI149" s="12">
        <v>2</v>
      </c>
      <c r="CJ149" s="12">
        <v>0</v>
      </c>
      <c r="CK149" s="12">
        <v>0</v>
      </c>
      <c r="CL149" s="12">
        <v>2</v>
      </c>
      <c r="CM149" s="12">
        <v>2</v>
      </c>
      <c r="CN149" s="12">
        <v>2</v>
      </c>
      <c r="CO149" s="12">
        <v>0</v>
      </c>
      <c r="CP149" s="12">
        <v>0</v>
      </c>
      <c r="CQ149" s="12">
        <v>0</v>
      </c>
      <c r="CR149" s="12">
        <v>0</v>
      </c>
      <c r="CS149" s="12">
        <v>1</v>
      </c>
      <c r="CT149" s="12">
        <v>1</v>
      </c>
      <c r="CU149" s="12">
        <v>0</v>
      </c>
      <c r="CV149" s="12">
        <v>0</v>
      </c>
      <c r="CW149" s="12">
        <v>0</v>
      </c>
      <c r="CX149" s="12">
        <v>0</v>
      </c>
      <c r="CY149" s="12">
        <v>0</v>
      </c>
      <c r="CZ149" s="12">
        <v>0</v>
      </c>
      <c r="DA149" s="12">
        <v>0</v>
      </c>
      <c r="DB149" s="12">
        <v>0</v>
      </c>
      <c r="DC149" s="12">
        <v>0</v>
      </c>
      <c r="DD149" s="12">
        <v>0</v>
      </c>
      <c r="DE149" s="12">
        <v>0</v>
      </c>
      <c r="DF149" s="12">
        <v>0</v>
      </c>
      <c r="DG149" s="12">
        <v>0</v>
      </c>
      <c r="DH149" s="12">
        <v>0</v>
      </c>
      <c r="DI149" s="12">
        <v>0</v>
      </c>
      <c r="DJ149" s="12">
        <v>1</v>
      </c>
      <c r="DK149" s="12">
        <v>0</v>
      </c>
      <c r="DL149" s="12">
        <v>0</v>
      </c>
      <c r="DM149" s="12">
        <v>0</v>
      </c>
      <c r="DN149" s="12">
        <v>0</v>
      </c>
      <c r="DO149" s="12">
        <v>1</v>
      </c>
      <c r="DP149" s="12">
        <v>0</v>
      </c>
      <c r="DQ149" s="12">
        <v>0</v>
      </c>
      <c r="DR149" s="12">
        <v>0</v>
      </c>
      <c r="DS149" s="12">
        <v>0</v>
      </c>
      <c r="DT149" s="12">
        <v>0</v>
      </c>
      <c r="DU149" s="12">
        <v>0</v>
      </c>
      <c r="DV149" s="12">
        <v>0</v>
      </c>
      <c r="DW149" s="12">
        <v>0</v>
      </c>
      <c r="DX149" s="12">
        <v>0</v>
      </c>
      <c r="DY149" s="12">
        <v>1</v>
      </c>
      <c r="DZ149" s="12">
        <v>0</v>
      </c>
      <c r="EA149" s="12">
        <v>0</v>
      </c>
      <c r="EB149" s="12">
        <v>0</v>
      </c>
      <c r="EC149" s="12">
        <v>0</v>
      </c>
      <c r="ED149" s="12">
        <v>0</v>
      </c>
      <c r="EE149" s="12">
        <v>1</v>
      </c>
      <c r="EF149" s="12">
        <v>0</v>
      </c>
      <c r="EG149" s="12">
        <v>0</v>
      </c>
      <c r="EH149" s="12">
        <v>0</v>
      </c>
      <c r="EI149" s="12">
        <v>0</v>
      </c>
      <c r="EJ149" s="12">
        <v>0</v>
      </c>
      <c r="EK149" s="12">
        <v>0</v>
      </c>
      <c r="EL149" s="12">
        <v>0</v>
      </c>
      <c r="EM149" s="12">
        <v>1</v>
      </c>
      <c r="EN149" s="12">
        <v>0</v>
      </c>
      <c r="EO149" s="12">
        <v>0</v>
      </c>
      <c r="EP149" s="12" t="str">
        <f t="shared" si="41"/>
        <v>🔴 Sin venta</v>
      </c>
      <c r="EQ149" s="23">
        <f t="shared" si="35"/>
        <v>0.125</v>
      </c>
      <c r="ER149" s="19">
        <f t="shared" si="34"/>
        <v>1162.6200000000001</v>
      </c>
      <c r="ES149" s="12">
        <f t="shared" si="33"/>
        <v>3</v>
      </c>
      <c r="ET149" s="23">
        <f t="shared" si="38"/>
        <v>0</v>
      </c>
      <c r="EU149" s="23">
        <f t="shared" si="39"/>
        <v>1</v>
      </c>
      <c r="EV149" s="23">
        <f t="shared" si="40"/>
        <v>0.27</v>
      </c>
      <c r="EW149" s="23"/>
      <c r="EX149" s="12">
        <v>7</v>
      </c>
      <c r="EY149" s="19" cm="1">
        <f t="array" ref="EY149:FC149">VLOOKUP(_xlfn.SINGLE(B:B),'[1]Price List'!$B:$N,{8,4,5,6,7},0)</f>
        <v>387.54</v>
      </c>
      <c r="EZ149" s="9" t="str">
        <v>Speck Presidio®2 Grip Magsafe® Clicklock™ Black / Slate Grey iPhone 15 Pro</v>
      </c>
      <c r="FA149" s="12" t="str">
        <v>Cases iPhone</v>
      </c>
      <c r="FB149" s="12" t="str">
        <v>iPhone 15</v>
      </c>
      <c r="FC149" s="12" t="str">
        <v>iPhone 15 Pro</v>
      </c>
      <c r="FD149" s="23" t="str">
        <f>_xlfn.XLOOKUP(B:B,'[1]Price List'!$B:$B,'[1]Price List'!$A:$A)</f>
        <v>Speck</v>
      </c>
    </row>
    <row r="150" spans="1:160" s="9" customFormat="1" x14ac:dyDescent="0.2">
      <c r="A150" s="23" t="s">
        <v>599</v>
      </c>
      <c r="B150" s="23">
        <v>840168533008</v>
      </c>
      <c r="C150" s="9" t="s">
        <v>259</v>
      </c>
      <c r="D150" s="9" t="s">
        <v>644</v>
      </c>
      <c r="E150" s="9" t="s">
        <v>301</v>
      </c>
      <c r="F150" s="9" t="s">
        <v>302</v>
      </c>
      <c r="G150" s="9" t="s">
        <v>302</v>
      </c>
      <c r="H150" s="12" t="s">
        <v>260</v>
      </c>
      <c r="I150" s="12">
        <v>999</v>
      </c>
      <c r="J150" s="11">
        <v>387.54</v>
      </c>
      <c r="K150" s="62">
        <v>0.5</v>
      </c>
      <c r="L150" s="19">
        <f t="shared" si="42"/>
        <v>499.5</v>
      </c>
      <c r="M150" s="13" t="s">
        <v>467</v>
      </c>
      <c r="N150" s="13" t="s">
        <v>475</v>
      </c>
      <c r="O150" s="27" t="s">
        <v>250</v>
      </c>
      <c r="P150" s="12">
        <v>15</v>
      </c>
      <c r="Q150" s="12">
        <v>5</v>
      </c>
      <c r="R150" s="12">
        <v>7</v>
      </c>
      <c r="S150" s="12">
        <v>8</v>
      </c>
      <c r="T150" s="12">
        <v>17</v>
      </c>
      <c r="U150" s="12">
        <v>12</v>
      </c>
      <c r="V150" s="12">
        <v>34</v>
      </c>
      <c r="W150" s="12">
        <v>24</v>
      </c>
      <c r="X150" s="12">
        <v>16</v>
      </c>
      <c r="Y150" s="12">
        <v>13</v>
      </c>
      <c r="Z150" s="12">
        <v>9</v>
      </c>
      <c r="AA150" s="12">
        <v>19</v>
      </c>
      <c r="AB150" s="12">
        <v>23</v>
      </c>
      <c r="AC150" s="12">
        <v>17</v>
      </c>
      <c r="AD150" s="12">
        <v>19</v>
      </c>
      <c r="AE150" s="12">
        <v>2</v>
      </c>
      <c r="AF150" s="12">
        <v>9</v>
      </c>
      <c r="AG150" s="12">
        <v>9</v>
      </c>
      <c r="AH150" s="12">
        <v>4</v>
      </c>
      <c r="AI150" s="12">
        <v>1</v>
      </c>
      <c r="AJ150" s="12">
        <v>12</v>
      </c>
      <c r="AK150" s="12">
        <v>6</v>
      </c>
      <c r="AL150" s="12">
        <v>3</v>
      </c>
      <c r="AM150" s="12">
        <v>7</v>
      </c>
      <c r="AN150" s="12">
        <v>3</v>
      </c>
      <c r="AO150" s="12">
        <v>2</v>
      </c>
      <c r="AP150" s="12">
        <v>4</v>
      </c>
      <c r="AQ150" s="12">
        <v>2</v>
      </c>
      <c r="AR150" s="12">
        <v>3</v>
      </c>
      <c r="AS150" s="12">
        <v>4</v>
      </c>
      <c r="AT150" s="12">
        <v>1</v>
      </c>
      <c r="AU150" s="12">
        <v>6</v>
      </c>
      <c r="AV150" s="12">
        <v>4</v>
      </c>
      <c r="AW150" s="12">
        <v>8</v>
      </c>
      <c r="AX150" s="12">
        <v>8</v>
      </c>
      <c r="AY150" s="12">
        <v>4</v>
      </c>
      <c r="AZ150" s="12">
        <v>7</v>
      </c>
      <c r="BA150" s="12">
        <v>7</v>
      </c>
      <c r="BB150" s="12">
        <v>13</v>
      </c>
      <c r="BC150" s="12">
        <v>12</v>
      </c>
      <c r="BD150" s="12">
        <v>16</v>
      </c>
      <c r="BE150" s="12">
        <v>8</v>
      </c>
      <c r="BF150" s="12">
        <v>9</v>
      </c>
      <c r="BG150" s="12">
        <v>3</v>
      </c>
      <c r="BH150" s="12">
        <v>3</v>
      </c>
      <c r="BI150" s="12">
        <v>1</v>
      </c>
      <c r="BJ150" s="12">
        <v>6</v>
      </c>
      <c r="BK150" s="12">
        <v>3</v>
      </c>
      <c r="BL150" s="12">
        <v>5</v>
      </c>
      <c r="BM150" s="12">
        <v>7</v>
      </c>
      <c r="BN150" s="12">
        <v>3</v>
      </c>
      <c r="BO150" s="12">
        <v>8</v>
      </c>
      <c r="BP150" s="12">
        <v>2</v>
      </c>
      <c r="BQ150" s="12">
        <v>5</v>
      </c>
      <c r="BR150" s="12">
        <v>1</v>
      </c>
      <c r="BS150" s="12">
        <v>6</v>
      </c>
      <c r="BT150" s="12">
        <v>0</v>
      </c>
      <c r="BU150" s="12">
        <v>1</v>
      </c>
      <c r="BV150" s="12">
        <v>0</v>
      </c>
      <c r="BW150" s="12">
        <v>4</v>
      </c>
      <c r="BX150" s="12">
        <v>0</v>
      </c>
      <c r="BY150" s="12">
        <v>3</v>
      </c>
      <c r="BZ150" s="12">
        <v>2</v>
      </c>
      <c r="CA150" s="12">
        <v>2</v>
      </c>
      <c r="CB150" s="12">
        <v>1</v>
      </c>
      <c r="CC150" s="12">
        <v>4</v>
      </c>
      <c r="CD150" s="12">
        <v>1</v>
      </c>
      <c r="CE150" s="12">
        <v>0</v>
      </c>
      <c r="CF150" s="12">
        <v>3</v>
      </c>
      <c r="CG150" s="12">
        <v>0</v>
      </c>
      <c r="CH150" s="12">
        <v>0</v>
      </c>
      <c r="CI150" s="12">
        <v>1</v>
      </c>
      <c r="CJ150" s="12">
        <v>4</v>
      </c>
      <c r="CK150" s="12">
        <v>1</v>
      </c>
      <c r="CL150" s="12">
        <v>1</v>
      </c>
      <c r="CM150" s="12">
        <v>0</v>
      </c>
      <c r="CN150" s="12">
        <v>0</v>
      </c>
      <c r="CO150" s="12">
        <v>0</v>
      </c>
      <c r="CP150" s="12">
        <v>2</v>
      </c>
      <c r="CQ150" s="12">
        <v>0</v>
      </c>
      <c r="CR150" s="12">
        <v>2</v>
      </c>
      <c r="CS150" s="12">
        <v>0</v>
      </c>
      <c r="CT150" s="12">
        <v>0</v>
      </c>
      <c r="CU150" s="12">
        <v>0</v>
      </c>
      <c r="CV150" s="12">
        <v>0</v>
      </c>
      <c r="CW150" s="12">
        <v>1</v>
      </c>
      <c r="CX150" s="12">
        <v>1</v>
      </c>
      <c r="CY150" s="12">
        <v>1</v>
      </c>
      <c r="CZ150" s="12">
        <v>1</v>
      </c>
      <c r="DA150" s="12">
        <v>0</v>
      </c>
      <c r="DB150" s="12">
        <v>0</v>
      </c>
      <c r="DC150" s="12">
        <v>0</v>
      </c>
      <c r="DD150" s="12">
        <v>0</v>
      </c>
      <c r="DE150" s="12">
        <v>0</v>
      </c>
      <c r="DF150" s="12">
        <v>1</v>
      </c>
      <c r="DG150" s="12">
        <v>0</v>
      </c>
      <c r="DH150" s="12">
        <v>0</v>
      </c>
      <c r="DI150" s="12">
        <v>0</v>
      </c>
      <c r="DJ150" s="12">
        <v>1</v>
      </c>
      <c r="DK150" s="12">
        <v>0</v>
      </c>
      <c r="DL150" s="12">
        <v>0</v>
      </c>
      <c r="DM150" s="12">
        <v>0</v>
      </c>
      <c r="DN150" s="12">
        <v>0</v>
      </c>
      <c r="DO150" s="12">
        <v>1</v>
      </c>
      <c r="DP150" s="12">
        <v>1</v>
      </c>
      <c r="DQ150" s="12">
        <v>1</v>
      </c>
      <c r="DR150" s="12">
        <v>0</v>
      </c>
      <c r="DS150" s="12">
        <v>1</v>
      </c>
      <c r="DT150" s="12">
        <v>1</v>
      </c>
      <c r="DU150" s="12">
        <v>0</v>
      </c>
      <c r="DV150" s="12">
        <v>1</v>
      </c>
      <c r="DW150" s="12">
        <v>1</v>
      </c>
      <c r="DX150" s="12">
        <v>0</v>
      </c>
      <c r="DY150" s="12">
        <v>0</v>
      </c>
      <c r="DZ150" s="12">
        <v>0</v>
      </c>
      <c r="EA150" s="12">
        <v>0</v>
      </c>
      <c r="EB150" s="12">
        <v>0</v>
      </c>
      <c r="EC150" s="12">
        <v>0</v>
      </c>
      <c r="ED150" s="12">
        <v>0</v>
      </c>
      <c r="EE150" s="12">
        <v>0</v>
      </c>
      <c r="EF150" s="12">
        <v>1</v>
      </c>
      <c r="EG150" s="12">
        <v>0</v>
      </c>
      <c r="EH150" s="12">
        <v>0</v>
      </c>
      <c r="EI150" s="12">
        <v>1</v>
      </c>
      <c r="EJ150" s="12">
        <v>0</v>
      </c>
      <c r="EK150" s="12">
        <v>0</v>
      </c>
      <c r="EL150" s="12">
        <v>0</v>
      </c>
      <c r="EM150" s="12">
        <v>0</v>
      </c>
      <c r="EN150" s="12">
        <v>0</v>
      </c>
      <c r="EO150" s="12">
        <v>0</v>
      </c>
      <c r="EP150" s="12" t="str">
        <f t="shared" si="41"/>
        <v>🔴 Sin venta</v>
      </c>
      <c r="EQ150" s="23">
        <f t="shared" si="35"/>
        <v>0.33333333333333331</v>
      </c>
      <c r="ER150" s="19">
        <f t="shared" si="34"/>
        <v>3100.32</v>
      </c>
      <c r="ES150" s="12">
        <f t="shared" si="33"/>
        <v>8</v>
      </c>
      <c r="ET150" s="23">
        <f t="shared" si="38"/>
        <v>1</v>
      </c>
      <c r="EU150" s="23">
        <f t="shared" si="39"/>
        <v>1</v>
      </c>
      <c r="EV150" s="23">
        <f t="shared" si="40"/>
        <v>1.6</v>
      </c>
      <c r="EW150" s="23"/>
      <c r="EX150" s="12">
        <v>6</v>
      </c>
      <c r="EY150" s="19" cm="1">
        <f t="array" ref="EY150:FC150">VLOOKUP(_xlfn.SINGLE(B:B),'[1]Price List'!$B:$N,{8,4,5,6,7},0)</f>
        <v>387.54</v>
      </c>
      <c r="EZ150" s="9" t="str">
        <v>Speck Presidio®2 Grip Magsafe® Clicklock™ Costal Blue / Dust Grey iPhone 15 Pro</v>
      </c>
      <c r="FA150" s="12" t="str">
        <v>Cases iPhone</v>
      </c>
      <c r="FB150" s="12" t="str">
        <v>iPhone 15</v>
      </c>
      <c r="FC150" s="12" t="str">
        <v>iPhone 15 Pro</v>
      </c>
      <c r="FD150" s="23" t="str">
        <f>_xlfn.XLOOKUP(B:B,'[1]Price List'!$B:$B,'[1]Price List'!$A:$A)</f>
        <v>Speck</v>
      </c>
    </row>
    <row r="151" spans="1:160" s="9" customFormat="1" x14ac:dyDescent="0.2">
      <c r="A151" s="23" t="s">
        <v>599</v>
      </c>
      <c r="B151" s="23">
        <v>840168533060</v>
      </c>
      <c r="C151" s="9" t="s">
        <v>261</v>
      </c>
      <c r="D151" s="9" t="s">
        <v>644</v>
      </c>
      <c r="E151" s="9" t="s">
        <v>301</v>
      </c>
      <c r="F151" s="9" t="s">
        <v>302</v>
      </c>
      <c r="G151" s="9" t="s">
        <v>302</v>
      </c>
      <c r="H151" s="12" t="s">
        <v>262</v>
      </c>
      <c r="I151" s="12">
        <v>999</v>
      </c>
      <c r="J151" s="11">
        <v>387.54</v>
      </c>
      <c r="K151" s="62">
        <v>0.5</v>
      </c>
      <c r="L151" s="19">
        <f t="shared" si="42"/>
        <v>499.5</v>
      </c>
      <c r="M151" s="13" t="s">
        <v>467</v>
      </c>
      <c r="N151" s="13" t="s">
        <v>475</v>
      </c>
      <c r="O151" s="27" t="s">
        <v>250</v>
      </c>
      <c r="P151" s="12">
        <v>3</v>
      </c>
      <c r="Q151" s="12">
        <v>2</v>
      </c>
      <c r="R151" s="12">
        <v>9</v>
      </c>
      <c r="S151" s="12">
        <v>5</v>
      </c>
      <c r="T151" s="12">
        <v>7</v>
      </c>
      <c r="U151" s="12">
        <v>11</v>
      </c>
      <c r="V151" s="12">
        <v>18</v>
      </c>
      <c r="W151" s="12">
        <v>14</v>
      </c>
      <c r="X151" s="12">
        <v>7</v>
      </c>
      <c r="Y151" s="12">
        <v>9</v>
      </c>
      <c r="Z151" s="12">
        <v>10</v>
      </c>
      <c r="AA151" s="12">
        <v>10</v>
      </c>
      <c r="AB151" s="12">
        <v>20</v>
      </c>
      <c r="AC151" s="12">
        <v>8</v>
      </c>
      <c r="AD151" s="12">
        <v>5</v>
      </c>
      <c r="AE151" s="12">
        <v>11</v>
      </c>
      <c r="AF151" s="12">
        <v>5</v>
      </c>
      <c r="AG151" s="12">
        <v>4</v>
      </c>
      <c r="AH151" s="12">
        <v>3</v>
      </c>
      <c r="AI151" s="12">
        <v>6</v>
      </c>
      <c r="AJ151" s="12">
        <v>4</v>
      </c>
      <c r="AK151" s="12">
        <v>6</v>
      </c>
      <c r="AL151" s="12">
        <v>4</v>
      </c>
      <c r="AM151" s="12">
        <v>6</v>
      </c>
      <c r="AN151" s="12">
        <v>7</v>
      </c>
      <c r="AO151" s="12">
        <v>4</v>
      </c>
      <c r="AP151" s="12">
        <v>2</v>
      </c>
      <c r="AQ151" s="12">
        <v>4</v>
      </c>
      <c r="AR151" s="12">
        <v>6</v>
      </c>
      <c r="AS151" s="12">
        <v>5</v>
      </c>
      <c r="AT151" s="12">
        <v>4</v>
      </c>
      <c r="AU151" s="12">
        <v>6</v>
      </c>
      <c r="AV151" s="12">
        <v>2</v>
      </c>
      <c r="AW151" s="12">
        <v>8</v>
      </c>
      <c r="AX151" s="12">
        <v>14</v>
      </c>
      <c r="AY151" s="12">
        <v>8</v>
      </c>
      <c r="AZ151" s="12">
        <v>6</v>
      </c>
      <c r="BA151" s="12">
        <v>9</v>
      </c>
      <c r="BB151" s="12">
        <v>7</v>
      </c>
      <c r="BC151" s="12">
        <v>3</v>
      </c>
      <c r="BD151" s="12">
        <v>6</v>
      </c>
      <c r="BE151" s="12">
        <v>2</v>
      </c>
      <c r="BF151" s="12">
        <v>9</v>
      </c>
      <c r="BG151" s="12">
        <v>6</v>
      </c>
      <c r="BH151" s="12">
        <v>2</v>
      </c>
      <c r="BI151" s="12">
        <v>1</v>
      </c>
      <c r="BJ151" s="12">
        <v>6</v>
      </c>
      <c r="BK151" s="12">
        <v>8</v>
      </c>
      <c r="BL151" s="12">
        <v>2</v>
      </c>
      <c r="BM151" s="12">
        <v>4</v>
      </c>
      <c r="BN151" s="12">
        <v>4</v>
      </c>
      <c r="BO151" s="12">
        <v>7</v>
      </c>
      <c r="BP151" s="12">
        <v>5</v>
      </c>
      <c r="BQ151" s="12">
        <v>4</v>
      </c>
      <c r="BR151" s="12">
        <v>4</v>
      </c>
      <c r="BS151" s="12">
        <v>6</v>
      </c>
      <c r="BT151" s="12">
        <v>0</v>
      </c>
      <c r="BU151" s="12">
        <v>3</v>
      </c>
      <c r="BV151" s="12">
        <v>1</v>
      </c>
      <c r="BW151" s="12">
        <v>3</v>
      </c>
      <c r="BX151" s="12">
        <v>0</v>
      </c>
      <c r="BY151" s="12">
        <v>0</v>
      </c>
      <c r="BZ151" s="12">
        <v>1</v>
      </c>
      <c r="CA151" s="12">
        <v>3</v>
      </c>
      <c r="CB151" s="12">
        <v>0</v>
      </c>
      <c r="CC151" s="12">
        <v>2</v>
      </c>
      <c r="CD151" s="12">
        <v>0</v>
      </c>
      <c r="CE151" s="12">
        <v>0</v>
      </c>
      <c r="CF151" s="12">
        <v>0</v>
      </c>
      <c r="CG151" s="12">
        <v>3</v>
      </c>
      <c r="CH151" s="12">
        <v>0</v>
      </c>
      <c r="CI151" s="12">
        <v>1</v>
      </c>
      <c r="CJ151" s="12">
        <v>3</v>
      </c>
      <c r="CK151" s="12">
        <v>2</v>
      </c>
      <c r="CL151" s="12">
        <v>4</v>
      </c>
      <c r="CM151" s="12">
        <v>1</v>
      </c>
      <c r="CN151" s="12">
        <v>2</v>
      </c>
      <c r="CO151" s="12">
        <v>3</v>
      </c>
      <c r="CP151" s="12">
        <v>2</v>
      </c>
      <c r="CQ151" s="12">
        <v>3</v>
      </c>
      <c r="CR151" s="12">
        <v>1</v>
      </c>
      <c r="CS151" s="12">
        <v>0</v>
      </c>
      <c r="CT151" s="12">
        <v>0</v>
      </c>
      <c r="CU151" s="12">
        <v>0</v>
      </c>
      <c r="CV151" s="12">
        <v>0</v>
      </c>
      <c r="CW151" s="12">
        <v>2</v>
      </c>
      <c r="CX151" s="12">
        <v>0</v>
      </c>
      <c r="CY151" s="12">
        <v>0</v>
      </c>
      <c r="CZ151" s="12">
        <v>1</v>
      </c>
      <c r="DA151" s="12">
        <v>0</v>
      </c>
      <c r="DB151" s="12">
        <v>0</v>
      </c>
      <c r="DC151" s="12">
        <v>0</v>
      </c>
      <c r="DD151" s="12">
        <v>0</v>
      </c>
      <c r="DE151" s="12">
        <v>0</v>
      </c>
      <c r="DF151" s="12">
        <v>0</v>
      </c>
      <c r="DG151" s="12">
        <v>0</v>
      </c>
      <c r="DH151" s="12">
        <v>0</v>
      </c>
      <c r="DI151" s="12">
        <v>1</v>
      </c>
      <c r="DJ151" s="12">
        <v>1</v>
      </c>
      <c r="DK151" s="12">
        <v>2</v>
      </c>
      <c r="DL151" s="12">
        <v>0</v>
      </c>
      <c r="DM151" s="12">
        <v>0</v>
      </c>
      <c r="DN151" s="12">
        <v>1</v>
      </c>
      <c r="DO151" s="12">
        <v>3</v>
      </c>
      <c r="DP151" s="12">
        <v>1</v>
      </c>
      <c r="DQ151" s="12">
        <v>0</v>
      </c>
      <c r="DR151" s="12">
        <v>0</v>
      </c>
      <c r="DS151" s="12">
        <v>0</v>
      </c>
      <c r="DT151" s="12">
        <v>0</v>
      </c>
      <c r="DU151" s="12">
        <v>0</v>
      </c>
      <c r="DV151" s="12">
        <v>0</v>
      </c>
      <c r="DW151" s="12">
        <v>0</v>
      </c>
      <c r="DX151" s="12">
        <v>0</v>
      </c>
      <c r="DY151" s="12">
        <v>0</v>
      </c>
      <c r="DZ151" s="12">
        <v>0</v>
      </c>
      <c r="EA151" s="12">
        <v>0</v>
      </c>
      <c r="EB151" s="12">
        <v>0</v>
      </c>
      <c r="EC151" s="12">
        <v>0</v>
      </c>
      <c r="ED151" s="12">
        <v>0</v>
      </c>
      <c r="EE151" s="12">
        <v>0</v>
      </c>
      <c r="EF151" s="12">
        <v>0</v>
      </c>
      <c r="EG151" s="12">
        <v>1</v>
      </c>
      <c r="EH151" s="12">
        <v>0</v>
      </c>
      <c r="EI151" s="12">
        <v>1</v>
      </c>
      <c r="EJ151" s="12">
        <v>0</v>
      </c>
      <c r="EK151" s="12">
        <v>0</v>
      </c>
      <c r="EL151" s="12">
        <v>0</v>
      </c>
      <c r="EM151" s="12">
        <v>0</v>
      </c>
      <c r="EN151" s="12">
        <v>0</v>
      </c>
      <c r="EO151" s="12">
        <v>0</v>
      </c>
      <c r="EP151" s="12" t="str">
        <f t="shared" si="41"/>
        <v>🔴 Sin venta</v>
      </c>
      <c r="EQ151" s="23">
        <f t="shared" si="35"/>
        <v>0.125</v>
      </c>
      <c r="ER151" s="19">
        <f t="shared" si="34"/>
        <v>1162.6200000000001</v>
      </c>
      <c r="ES151" s="12">
        <f t="shared" si="33"/>
        <v>3</v>
      </c>
      <c r="ET151" s="23">
        <f t="shared" si="38"/>
        <v>0.5</v>
      </c>
      <c r="EU151" s="23">
        <f t="shared" si="39"/>
        <v>4</v>
      </c>
      <c r="EV151" s="23">
        <f t="shared" si="40"/>
        <v>0.27</v>
      </c>
      <c r="EW151" s="23"/>
      <c r="EX151" s="12">
        <v>7</v>
      </c>
      <c r="EY151" s="19" cm="1">
        <f t="array" ref="EY151:FC151">VLOOKUP(_xlfn.SINGLE(B:B),'[1]Price List'!$B:$N,{8,4,5,6,7},0)</f>
        <v>387.54</v>
      </c>
      <c r="EZ151" s="9" t="str">
        <v>Speck Presidio®2 Grip Magsafe® Clicklock™ Charcoal Grey/ Cool Bronze iPhone 15 Pro</v>
      </c>
      <c r="FA151" s="12" t="str">
        <v>Cases iPhone</v>
      </c>
      <c r="FB151" s="12" t="str">
        <v>iPhone 15</v>
      </c>
      <c r="FC151" s="12" t="str">
        <v>iPhone 15 Pro</v>
      </c>
      <c r="FD151" s="23" t="str">
        <f>_xlfn.XLOOKUP(B:B,'[1]Price List'!$B:$B,'[1]Price List'!$A:$A)</f>
        <v>Speck</v>
      </c>
    </row>
    <row r="152" spans="1:160" s="9" customFormat="1" x14ac:dyDescent="0.2">
      <c r="A152" s="23" t="s">
        <v>599</v>
      </c>
      <c r="B152" s="23">
        <v>840168533121</v>
      </c>
      <c r="C152" s="9" t="s">
        <v>263</v>
      </c>
      <c r="D152" s="9" t="s">
        <v>644</v>
      </c>
      <c r="E152" s="9" t="s">
        <v>301</v>
      </c>
      <c r="F152" s="9" t="s">
        <v>302</v>
      </c>
      <c r="G152" s="9" t="s">
        <v>302</v>
      </c>
      <c r="H152" s="12" t="s">
        <v>264</v>
      </c>
      <c r="I152" s="12">
        <v>999</v>
      </c>
      <c r="J152" s="11">
        <v>387.54</v>
      </c>
      <c r="K152" s="62">
        <v>0.5</v>
      </c>
      <c r="L152" s="19">
        <f t="shared" si="42"/>
        <v>499.5</v>
      </c>
      <c r="M152" s="13" t="s">
        <v>467</v>
      </c>
      <c r="N152" s="13" t="s">
        <v>475</v>
      </c>
      <c r="O152" s="27" t="s">
        <v>250</v>
      </c>
      <c r="P152" s="12">
        <v>0</v>
      </c>
      <c r="Q152" s="12">
        <v>2</v>
      </c>
      <c r="R152" s="12">
        <v>6</v>
      </c>
      <c r="S152" s="12">
        <v>17</v>
      </c>
      <c r="T152" s="12">
        <v>20</v>
      </c>
      <c r="U152" s="12">
        <v>17</v>
      </c>
      <c r="V152" s="12">
        <v>37</v>
      </c>
      <c r="W152" s="12">
        <v>21</v>
      </c>
      <c r="X152" s="12">
        <v>7</v>
      </c>
      <c r="Y152" s="12">
        <v>6</v>
      </c>
      <c r="Z152" s="12">
        <v>9</v>
      </c>
      <c r="AA152" s="12">
        <v>13</v>
      </c>
      <c r="AB152" s="12">
        <v>13</v>
      </c>
      <c r="AC152" s="12">
        <v>13</v>
      </c>
      <c r="AD152" s="12">
        <v>5</v>
      </c>
      <c r="AE152" s="12">
        <v>6</v>
      </c>
      <c r="AF152" s="12">
        <v>3</v>
      </c>
      <c r="AG152" s="12">
        <v>8</v>
      </c>
      <c r="AH152" s="12">
        <v>5</v>
      </c>
      <c r="AI152" s="12">
        <v>5</v>
      </c>
      <c r="AJ152" s="12">
        <v>8</v>
      </c>
      <c r="AK152" s="12">
        <v>3</v>
      </c>
      <c r="AL152" s="12">
        <v>6</v>
      </c>
      <c r="AM152" s="12">
        <v>8</v>
      </c>
      <c r="AN152" s="12">
        <v>3</v>
      </c>
      <c r="AO152" s="12">
        <v>3</v>
      </c>
      <c r="AP152" s="12">
        <v>4</v>
      </c>
      <c r="AQ152" s="12">
        <v>2</v>
      </c>
      <c r="AR152" s="12">
        <v>6</v>
      </c>
      <c r="AS152" s="12">
        <v>5</v>
      </c>
      <c r="AT152" s="12">
        <v>3</v>
      </c>
      <c r="AU152" s="12">
        <v>6</v>
      </c>
      <c r="AV152" s="12">
        <v>8</v>
      </c>
      <c r="AW152" s="12">
        <v>11</v>
      </c>
      <c r="AX152" s="12">
        <v>13</v>
      </c>
      <c r="AY152" s="12">
        <v>4</v>
      </c>
      <c r="AZ152" s="12">
        <v>9</v>
      </c>
      <c r="BA152" s="12">
        <v>10</v>
      </c>
      <c r="BB152" s="12">
        <v>10</v>
      </c>
      <c r="BC152" s="12">
        <v>15</v>
      </c>
      <c r="BD152" s="12">
        <v>10</v>
      </c>
      <c r="BE152" s="12">
        <v>8</v>
      </c>
      <c r="BF152" s="12">
        <v>4</v>
      </c>
      <c r="BG152" s="12">
        <v>0</v>
      </c>
      <c r="BH152" s="12">
        <v>2</v>
      </c>
      <c r="BI152" s="12">
        <v>4</v>
      </c>
      <c r="BJ152" s="12">
        <v>8</v>
      </c>
      <c r="BK152" s="12">
        <v>2</v>
      </c>
      <c r="BL152" s="12">
        <v>1</v>
      </c>
      <c r="BM152" s="12">
        <v>6</v>
      </c>
      <c r="BN152" s="12">
        <v>4</v>
      </c>
      <c r="BO152" s="12">
        <v>5</v>
      </c>
      <c r="BP152" s="12">
        <v>4</v>
      </c>
      <c r="BQ152" s="12">
        <v>5</v>
      </c>
      <c r="BR152" s="12">
        <v>0</v>
      </c>
      <c r="BS152" s="12">
        <v>1</v>
      </c>
      <c r="BT152" s="12">
        <v>1</v>
      </c>
      <c r="BU152" s="12">
        <v>1</v>
      </c>
      <c r="BV152" s="12">
        <v>1</v>
      </c>
      <c r="BW152" s="12">
        <v>1</v>
      </c>
      <c r="BX152" s="12">
        <v>0</v>
      </c>
      <c r="BY152" s="12">
        <v>2</v>
      </c>
      <c r="BZ152" s="12">
        <v>2</v>
      </c>
      <c r="CA152" s="12">
        <v>2</v>
      </c>
      <c r="CB152" s="12">
        <v>2</v>
      </c>
      <c r="CC152" s="12">
        <v>1</v>
      </c>
      <c r="CD152" s="12">
        <v>0</v>
      </c>
      <c r="CE152" s="12">
        <v>1</v>
      </c>
      <c r="CF152" s="12">
        <v>1</v>
      </c>
      <c r="CG152" s="12">
        <v>0</v>
      </c>
      <c r="CH152" s="12">
        <v>0</v>
      </c>
      <c r="CI152" s="12">
        <v>0</v>
      </c>
      <c r="CJ152" s="12">
        <v>0</v>
      </c>
      <c r="CK152" s="12">
        <v>1</v>
      </c>
      <c r="CL152" s="12">
        <v>0</v>
      </c>
      <c r="CM152" s="12">
        <v>1</v>
      </c>
      <c r="CN152" s="12">
        <v>0</v>
      </c>
      <c r="CO152" s="12">
        <v>1</v>
      </c>
      <c r="CP152" s="12">
        <v>2</v>
      </c>
      <c r="CQ152" s="12">
        <v>1</v>
      </c>
      <c r="CR152" s="12">
        <v>0</v>
      </c>
      <c r="CS152" s="12">
        <v>0</v>
      </c>
      <c r="CT152" s="12">
        <v>1</v>
      </c>
      <c r="CU152" s="12">
        <v>1</v>
      </c>
      <c r="CV152" s="12">
        <v>0</v>
      </c>
      <c r="CW152" s="12">
        <v>0</v>
      </c>
      <c r="CX152" s="12">
        <v>0</v>
      </c>
      <c r="CY152" s="12">
        <v>1</v>
      </c>
      <c r="CZ152" s="12">
        <v>0</v>
      </c>
      <c r="DA152" s="12">
        <v>0</v>
      </c>
      <c r="DB152" s="12">
        <v>0</v>
      </c>
      <c r="DC152" s="12">
        <v>0</v>
      </c>
      <c r="DD152" s="12">
        <v>0</v>
      </c>
      <c r="DE152" s="12">
        <v>0</v>
      </c>
      <c r="DF152" s="12">
        <v>0</v>
      </c>
      <c r="DG152" s="12">
        <v>0</v>
      </c>
      <c r="DH152" s="12">
        <v>0</v>
      </c>
      <c r="DI152" s="12">
        <v>0</v>
      </c>
      <c r="DJ152" s="12">
        <v>2</v>
      </c>
      <c r="DK152" s="12">
        <v>0</v>
      </c>
      <c r="DL152" s="12">
        <v>0</v>
      </c>
      <c r="DM152" s="12">
        <v>0</v>
      </c>
      <c r="DN152" s="12">
        <v>0</v>
      </c>
      <c r="DO152" s="12">
        <v>0</v>
      </c>
      <c r="DP152" s="12">
        <v>2</v>
      </c>
      <c r="DQ152" s="12">
        <v>0</v>
      </c>
      <c r="DR152" s="12">
        <v>1</v>
      </c>
      <c r="DS152" s="12">
        <v>1</v>
      </c>
      <c r="DT152" s="12">
        <v>1</v>
      </c>
      <c r="DU152" s="12">
        <v>0</v>
      </c>
      <c r="DV152" s="12">
        <v>0</v>
      </c>
      <c r="DW152" s="12">
        <v>0</v>
      </c>
      <c r="DX152" s="12">
        <v>0</v>
      </c>
      <c r="DY152" s="12">
        <v>0</v>
      </c>
      <c r="DZ152" s="12">
        <v>0</v>
      </c>
      <c r="EA152" s="12">
        <v>0</v>
      </c>
      <c r="EB152" s="12">
        <v>0</v>
      </c>
      <c r="EC152" s="12">
        <v>0</v>
      </c>
      <c r="ED152" s="12">
        <v>0</v>
      </c>
      <c r="EE152" s="12">
        <v>0</v>
      </c>
      <c r="EF152" s="12">
        <v>0</v>
      </c>
      <c r="EG152" s="12">
        <v>0</v>
      </c>
      <c r="EH152" s="12">
        <v>0</v>
      </c>
      <c r="EI152" s="12">
        <v>0</v>
      </c>
      <c r="EJ152" s="12">
        <v>0</v>
      </c>
      <c r="EK152" s="12">
        <v>0</v>
      </c>
      <c r="EL152" s="12">
        <v>0</v>
      </c>
      <c r="EM152" s="12">
        <v>0</v>
      </c>
      <c r="EN152" s="12">
        <v>0</v>
      </c>
      <c r="EO152" s="12">
        <v>0</v>
      </c>
      <c r="EP152" s="12" t="str">
        <f t="shared" si="41"/>
        <v>🔴 Sin venta</v>
      </c>
      <c r="EQ152" s="23">
        <f t="shared" si="35"/>
        <v>0.20833333333333334</v>
      </c>
      <c r="ER152" s="19">
        <f t="shared" si="34"/>
        <v>1937.7</v>
      </c>
      <c r="ES152" s="12">
        <f t="shared" si="33"/>
        <v>5</v>
      </c>
      <c r="ET152" s="23">
        <f t="shared" si="38"/>
        <v>0</v>
      </c>
      <c r="EU152" s="23">
        <f t="shared" si="39"/>
        <v>1</v>
      </c>
      <c r="EV152" s="23">
        <f t="shared" si="40"/>
        <v>1.33</v>
      </c>
      <c r="EW152" s="23"/>
      <c r="EX152" s="12">
        <v>11</v>
      </c>
      <c r="EY152" s="19" cm="1">
        <f t="array" ref="EY152:FC152">VLOOKUP(_xlfn.SINGLE(B:B),'[1]Price List'!$B:$N,{8,4,5,6,7},0)</f>
        <v>387.54</v>
      </c>
      <c r="EZ152" s="9" t="str">
        <v>Speck Presidio® Perfect-Clear Grip Magsafe® Clicklock™ Clear/Clear/Chrome iPhone 15 Pro</v>
      </c>
      <c r="FA152" s="12" t="str">
        <v>Cases iPhone</v>
      </c>
      <c r="FB152" s="12" t="str">
        <v>iPhone 15</v>
      </c>
      <c r="FC152" s="12" t="str">
        <v>iPhone 15 Pro</v>
      </c>
      <c r="FD152" s="23" t="str">
        <f>_xlfn.XLOOKUP(B:B,'[1]Price List'!$B:$B,'[1]Price List'!$A:$A)</f>
        <v>Speck</v>
      </c>
    </row>
    <row r="153" spans="1:160" s="9" customFormat="1" x14ac:dyDescent="0.2">
      <c r="A153" s="23" t="s">
        <v>599</v>
      </c>
      <c r="B153" s="23">
        <v>848709088444</v>
      </c>
      <c r="C153" s="9" t="s">
        <v>71</v>
      </c>
      <c r="D153" s="9" t="e">
        <v>#N/A</v>
      </c>
      <c r="E153" s="9" t="e">
        <v>#N/A</v>
      </c>
      <c r="F153" s="9" t="e">
        <v>#N/A</v>
      </c>
      <c r="G153" s="9" t="s">
        <v>304</v>
      </c>
      <c r="H153" s="12" t="s">
        <v>72</v>
      </c>
      <c r="I153" s="12">
        <v>599</v>
      </c>
      <c r="J153" s="11">
        <v>232.37</v>
      </c>
      <c r="K153" s="62">
        <v>0</v>
      </c>
      <c r="L153" s="12">
        <v>0</v>
      </c>
      <c r="M153" s="13" t="s">
        <v>467</v>
      </c>
      <c r="N153" s="13" t="s">
        <v>656</v>
      </c>
      <c r="O153" s="27" t="s">
        <v>29</v>
      </c>
      <c r="P153" s="12">
        <v>13</v>
      </c>
      <c r="Q153" s="12">
        <v>9</v>
      </c>
      <c r="R153" s="12">
        <v>17</v>
      </c>
      <c r="S153" s="12">
        <v>9</v>
      </c>
      <c r="T153" s="12">
        <v>5</v>
      </c>
      <c r="U153" s="12">
        <v>9</v>
      </c>
      <c r="V153" s="12">
        <v>21</v>
      </c>
      <c r="W153" s="12">
        <v>13</v>
      </c>
      <c r="X153" s="12">
        <v>12</v>
      </c>
      <c r="Y153" s="12">
        <v>15</v>
      </c>
      <c r="Z153" s="12">
        <v>16</v>
      </c>
      <c r="AA153" s="12">
        <v>18</v>
      </c>
      <c r="AB153" s="12">
        <v>16</v>
      </c>
      <c r="AC153" s="12">
        <v>18</v>
      </c>
      <c r="AD153" s="12">
        <v>7</v>
      </c>
      <c r="AE153" s="12">
        <v>6</v>
      </c>
      <c r="AF153" s="12">
        <v>5</v>
      </c>
      <c r="AG153" s="12">
        <v>1</v>
      </c>
      <c r="AH153" s="12">
        <v>5</v>
      </c>
      <c r="AI153" s="12">
        <v>4</v>
      </c>
      <c r="AJ153" s="12">
        <v>2</v>
      </c>
      <c r="AK153" s="12">
        <v>6</v>
      </c>
      <c r="AL153" s="12">
        <v>2</v>
      </c>
      <c r="AM153" s="12">
        <v>3</v>
      </c>
      <c r="AN153" s="12">
        <v>1</v>
      </c>
      <c r="AO153" s="12">
        <v>2</v>
      </c>
      <c r="AP153" s="12">
        <v>1</v>
      </c>
      <c r="AQ153" s="12">
        <v>0</v>
      </c>
      <c r="AR153" s="12">
        <v>0</v>
      </c>
      <c r="AS153" s="12">
        <v>1</v>
      </c>
      <c r="AT153" s="12">
        <v>2</v>
      </c>
      <c r="AU153" s="12">
        <v>1</v>
      </c>
      <c r="AV153" s="12">
        <v>1</v>
      </c>
      <c r="AW153" s="12">
        <v>1</v>
      </c>
      <c r="AX153" s="12">
        <v>1</v>
      </c>
      <c r="AY153" s="12">
        <v>1</v>
      </c>
      <c r="AZ153" s="12">
        <v>1</v>
      </c>
      <c r="BA153" s="12">
        <v>2</v>
      </c>
      <c r="BB153" s="12">
        <v>0</v>
      </c>
      <c r="BC153" s="12">
        <v>1</v>
      </c>
      <c r="BD153" s="12">
        <v>0</v>
      </c>
      <c r="BE153" s="12">
        <v>31</v>
      </c>
      <c r="BF153" s="12">
        <v>29</v>
      </c>
      <c r="BG153" s="12">
        <v>9</v>
      </c>
      <c r="BH153" s="12">
        <v>11</v>
      </c>
      <c r="BI153" s="12">
        <v>8</v>
      </c>
      <c r="BJ153" s="12">
        <v>20</v>
      </c>
      <c r="BK153" s="12">
        <v>18</v>
      </c>
      <c r="BL153" s="12">
        <v>16</v>
      </c>
      <c r="BM153" s="12">
        <v>15</v>
      </c>
      <c r="BN153" s="12">
        <v>17</v>
      </c>
      <c r="BO153" s="12">
        <v>10</v>
      </c>
      <c r="BP153" s="12">
        <v>10</v>
      </c>
      <c r="BQ153" s="12">
        <v>11</v>
      </c>
      <c r="BR153" s="12">
        <v>12</v>
      </c>
      <c r="BS153" s="12">
        <v>15</v>
      </c>
      <c r="BT153" s="12">
        <v>9</v>
      </c>
      <c r="BU153" s="12">
        <v>13</v>
      </c>
      <c r="BV153" s="12">
        <v>9</v>
      </c>
      <c r="BW153" s="12">
        <v>6</v>
      </c>
      <c r="BX153" s="12">
        <v>4</v>
      </c>
      <c r="BY153" s="12">
        <v>3</v>
      </c>
      <c r="BZ153" s="12">
        <v>1</v>
      </c>
      <c r="CA153" s="12">
        <v>7</v>
      </c>
      <c r="CB153" s="12">
        <v>6</v>
      </c>
      <c r="CC153" s="12">
        <v>2</v>
      </c>
      <c r="CD153" s="12">
        <v>4</v>
      </c>
      <c r="CE153" s="12">
        <v>5</v>
      </c>
      <c r="CF153" s="12">
        <v>7</v>
      </c>
      <c r="CG153" s="12">
        <v>8</v>
      </c>
      <c r="CH153" s="12">
        <v>8</v>
      </c>
      <c r="CI153" s="12">
        <v>5</v>
      </c>
      <c r="CJ153" s="12">
        <v>5</v>
      </c>
      <c r="CK153" s="12">
        <v>1</v>
      </c>
      <c r="CL153" s="12">
        <v>1</v>
      </c>
      <c r="CM153" s="12">
        <v>5</v>
      </c>
      <c r="CN153" s="12">
        <v>4</v>
      </c>
      <c r="CO153" s="12">
        <v>2</v>
      </c>
      <c r="CP153" s="12">
        <v>0</v>
      </c>
      <c r="CQ153" s="12">
        <v>1</v>
      </c>
      <c r="CR153" s="12">
        <v>0</v>
      </c>
      <c r="CS153" s="12">
        <v>0</v>
      </c>
      <c r="CT153" s="12">
        <v>2</v>
      </c>
      <c r="CU153" s="12">
        <v>2</v>
      </c>
      <c r="CV153" s="12">
        <v>1</v>
      </c>
      <c r="CW153" s="12">
        <v>0</v>
      </c>
      <c r="CX153" s="12">
        <v>1</v>
      </c>
      <c r="CY153" s="12">
        <v>0</v>
      </c>
      <c r="CZ153" s="12">
        <v>0</v>
      </c>
      <c r="DA153" s="12">
        <v>0</v>
      </c>
      <c r="DB153" s="12">
        <v>1</v>
      </c>
      <c r="DC153" s="12">
        <v>1</v>
      </c>
      <c r="DD153" s="12">
        <v>0</v>
      </c>
      <c r="DE153" s="12">
        <v>0</v>
      </c>
      <c r="DF153" s="12">
        <v>1</v>
      </c>
      <c r="DG153" s="12">
        <v>0</v>
      </c>
      <c r="DH153" s="12">
        <v>0</v>
      </c>
      <c r="DI153" s="12">
        <v>0</v>
      </c>
      <c r="DJ153" s="12">
        <v>0</v>
      </c>
      <c r="DK153" s="12">
        <v>0</v>
      </c>
      <c r="DL153" s="12">
        <v>1</v>
      </c>
      <c r="DM153" s="12">
        <v>0</v>
      </c>
      <c r="DN153" s="12">
        <v>1</v>
      </c>
      <c r="DO153" s="12">
        <v>2</v>
      </c>
      <c r="DP153" s="12">
        <v>0</v>
      </c>
      <c r="DQ153" s="12">
        <v>1</v>
      </c>
      <c r="DR153" s="12">
        <v>1</v>
      </c>
      <c r="DS153" s="12">
        <v>0</v>
      </c>
      <c r="DT153" s="12">
        <v>0</v>
      </c>
      <c r="DU153" s="12">
        <v>0</v>
      </c>
      <c r="DV153" s="12">
        <v>0</v>
      </c>
      <c r="DW153" s="12">
        <v>1</v>
      </c>
      <c r="DX153" s="12">
        <v>0</v>
      </c>
      <c r="DY153" s="12">
        <v>0</v>
      </c>
      <c r="DZ153" s="12">
        <v>0</v>
      </c>
      <c r="EA153" s="12">
        <v>0</v>
      </c>
      <c r="EB153" s="12">
        <v>0</v>
      </c>
      <c r="EC153" s="12">
        <v>0</v>
      </c>
      <c r="ED153" s="12">
        <v>0</v>
      </c>
      <c r="EE153" s="12">
        <v>0</v>
      </c>
      <c r="EF153" s="12">
        <v>0</v>
      </c>
      <c r="EG153" s="12">
        <v>0</v>
      </c>
      <c r="EH153" s="12">
        <v>0</v>
      </c>
      <c r="EI153" s="12">
        <v>0</v>
      </c>
      <c r="EJ153" s="12">
        <v>0</v>
      </c>
      <c r="EK153" s="12">
        <v>0</v>
      </c>
      <c r="EL153" s="12">
        <v>0</v>
      </c>
      <c r="EM153" s="12">
        <v>0</v>
      </c>
      <c r="EN153" s="12">
        <v>0</v>
      </c>
      <c r="EO153" s="12">
        <v>0</v>
      </c>
      <c r="EP153" s="12" t="str">
        <f t="shared" si="41"/>
        <v>🔴 Sin venta</v>
      </c>
      <c r="EQ153" s="23">
        <f t="shared" si="35"/>
        <v>0.125</v>
      </c>
      <c r="ER153" s="19">
        <f t="shared" si="34"/>
        <v>697.11</v>
      </c>
      <c r="ES153" s="12">
        <f t="shared" si="33"/>
        <v>3</v>
      </c>
      <c r="ET153" s="23">
        <f t="shared" si="38"/>
        <v>1.5</v>
      </c>
      <c r="EU153" s="23">
        <f t="shared" si="39"/>
        <v>2</v>
      </c>
      <c r="EV153" s="23">
        <f t="shared" si="40"/>
        <v>0.8</v>
      </c>
      <c r="EW153" s="23"/>
      <c r="EX153" s="12">
        <v>0</v>
      </c>
      <c r="EY153" s="19" cm="1">
        <f t="array" ref="EY153:FC153">VLOOKUP(_xlfn.SINGLE(B:B),'[1]Price List'!$B:$N,{8,4,5,6,7},0)</f>
        <v>115.99</v>
      </c>
      <c r="EZ153" s="9" t="str">
        <v>Speck iPhone 12/12 Pro Candyshell Pro (Black/Black)</v>
      </c>
      <c r="FA153" s="12" t="str">
        <v>Cases iPhone</v>
      </c>
      <c r="FB153" s="12" t="str">
        <v>iPhone 12</v>
      </c>
      <c r="FC153" s="12" t="str">
        <v>iPhone 12 / 12 Pro</v>
      </c>
      <c r="FD153" s="23" t="str">
        <f>_xlfn.XLOOKUP(B:B,'[1]Price List'!$B:$B,'[1]Price List'!$A:$A)</f>
        <v>Speck</v>
      </c>
    </row>
    <row r="154" spans="1:160" s="9" customFormat="1" x14ac:dyDescent="0.2">
      <c r="A154" s="23" t="s">
        <v>599</v>
      </c>
      <c r="B154" s="23">
        <v>840168527427</v>
      </c>
      <c r="C154" s="9" t="s">
        <v>73</v>
      </c>
      <c r="D154" s="9" t="s">
        <v>644</v>
      </c>
      <c r="E154" s="9" t="s">
        <v>640</v>
      </c>
      <c r="F154" s="9" t="s">
        <v>629</v>
      </c>
      <c r="G154" s="9" t="s">
        <v>304</v>
      </c>
      <c r="H154" s="12" t="s">
        <v>74</v>
      </c>
      <c r="I154" s="12">
        <v>599</v>
      </c>
      <c r="J154" s="11">
        <v>232.37</v>
      </c>
      <c r="K154" s="62">
        <v>0</v>
      </c>
      <c r="L154" s="12">
        <v>0</v>
      </c>
      <c r="M154" s="13" t="s">
        <v>467</v>
      </c>
      <c r="N154" s="13" t="s">
        <v>656</v>
      </c>
      <c r="O154" s="27" t="s">
        <v>75</v>
      </c>
      <c r="P154" s="12">
        <v>2</v>
      </c>
      <c r="Q154" s="12">
        <v>5</v>
      </c>
      <c r="R154" s="12">
        <v>4</v>
      </c>
      <c r="S154" s="12">
        <v>8</v>
      </c>
      <c r="T154" s="12">
        <v>6</v>
      </c>
      <c r="U154" s="12">
        <v>5</v>
      </c>
      <c r="V154" s="12">
        <v>15</v>
      </c>
      <c r="W154" s="12">
        <v>10</v>
      </c>
      <c r="X154" s="12">
        <v>8</v>
      </c>
      <c r="Y154" s="12">
        <v>7</v>
      </c>
      <c r="Z154" s="12">
        <v>11</v>
      </c>
      <c r="AA154" s="12">
        <v>18</v>
      </c>
      <c r="AB154" s="12">
        <v>12</v>
      </c>
      <c r="AC154" s="12">
        <v>10</v>
      </c>
      <c r="AD154" s="12">
        <v>7</v>
      </c>
      <c r="AE154" s="12">
        <v>6</v>
      </c>
      <c r="AF154" s="12">
        <v>7</v>
      </c>
      <c r="AG154" s="12">
        <v>12</v>
      </c>
      <c r="AH154" s="12">
        <v>10</v>
      </c>
      <c r="AI154" s="12">
        <v>5</v>
      </c>
      <c r="AJ154" s="12">
        <v>2</v>
      </c>
      <c r="AK154" s="12">
        <v>3</v>
      </c>
      <c r="AL154" s="12">
        <v>3</v>
      </c>
      <c r="AM154" s="12">
        <v>3</v>
      </c>
      <c r="AN154" s="12">
        <v>4</v>
      </c>
      <c r="AO154" s="12">
        <v>3</v>
      </c>
      <c r="AP154" s="12">
        <v>5</v>
      </c>
      <c r="AQ154" s="12">
        <v>3</v>
      </c>
      <c r="AR154" s="12">
        <v>1</v>
      </c>
      <c r="AS154" s="12">
        <v>2</v>
      </c>
      <c r="AT154" s="12">
        <v>0</v>
      </c>
      <c r="AU154" s="12">
        <v>3</v>
      </c>
      <c r="AV154" s="12">
        <v>1</v>
      </c>
      <c r="AW154" s="12">
        <v>3</v>
      </c>
      <c r="AX154" s="12">
        <v>2</v>
      </c>
      <c r="AY154" s="12">
        <v>4</v>
      </c>
      <c r="AZ154" s="12">
        <v>2</v>
      </c>
      <c r="BA154" s="12">
        <v>2</v>
      </c>
      <c r="BB154" s="12">
        <v>2</v>
      </c>
      <c r="BC154" s="12">
        <v>1</v>
      </c>
      <c r="BD154" s="12">
        <v>0</v>
      </c>
      <c r="BE154" s="12">
        <v>15</v>
      </c>
      <c r="BF154" s="12">
        <v>20</v>
      </c>
      <c r="BG154" s="12">
        <v>12</v>
      </c>
      <c r="BH154" s="12">
        <v>5</v>
      </c>
      <c r="BI154" s="12">
        <v>6</v>
      </c>
      <c r="BJ154" s="12">
        <v>11</v>
      </c>
      <c r="BK154" s="12">
        <v>11</v>
      </c>
      <c r="BL154" s="12">
        <v>7</v>
      </c>
      <c r="BM154" s="12">
        <v>8</v>
      </c>
      <c r="BN154" s="12">
        <v>13</v>
      </c>
      <c r="BO154" s="12">
        <v>6</v>
      </c>
      <c r="BP154" s="12">
        <v>11</v>
      </c>
      <c r="BQ154" s="12">
        <v>14</v>
      </c>
      <c r="BR154" s="12">
        <v>13</v>
      </c>
      <c r="BS154" s="12">
        <v>7</v>
      </c>
      <c r="BT154" s="12">
        <v>4</v>
      </c>
      <c r="BU154" s="12">
        <v>6</v>
      </c>
      <c r="BV154" s="12">
        <v>10</v>
      </c>
      <c r="BW154" s="12">
        <v>2</v>
      </c>
      <c r="BX154" s="12">
        <v>6</v>
      </c>
      <c r="BY154" s="12">
        <v>5</v>
      </c>
      <c r="BZ154" s="12">
        <v>4</v>
      </c>
      <c r="CA154" s="12">
        <v>4</v>
      </c>
      <c r="CB154" s="12">
        <v>4</v>
      </c>
      <c r="CC154" s="12">
        <v>4</v>
      </c>
      <c r="CD154" s="12">
        <v>7</v>
      </c>
      <c r="CE154" s="12">
        <v>4</v>
      </c>
      <c r="CF154" s="12">
        <v>3</v>
      </c>
      <c r="CG154" s="12">
        <v>5</v>
      </c>
      <c r="CH154" s="12">
        <v>8</v>
      </c>
      <c r="CI154" s="12">
        <v>4</v>
      </c>
      <c r="CJ154" s="12">
        <v>7</v>
      </c>
      <c r="CK154" s="12">
        <v>3</v>
      </c>
      <c r="CL154" s="12">
        <v>7</v>
      </c>
      <c r="CM154" s="12">
        <v>2</v>
      </c>
      <c r="CN154" s="12">
        <v>3</v>
      </c>
      <c r="CO154" s="12">
        <v>6</v>
      </c>
      <c r="CP154" s="12">
        <v>3</v>
      </c>
      <c r="CQ154" s="12">
        <v>4</v>
      </c>
      <c r="CR154" s="12">
        <v>3</v>
      </c>
      <c r="CS154" s="12">
        <v>5</v>
      </c>
      <c r="CT154" s="12">
        <v>4</v>
      </c>
      <c r="CU154" s="12">
        <v>2</v>
      </c>
      <c r="CV154" s="12">
        <v>2</v>
      </c>
      <c r="CW154" s="12">
        <v>1</v>
      </c>
      <c r="CX154" s="12">
        <v>3</v>
      </c>
      <c r="CY154" s="12">
        <v>0</v>
      </c>
      <c r="CZ154" s="12">
        <v>0</v>
      </c>
      <c r="DA154" s="12">
        <v>1</v>
      </c>
      <c r="DB154" s="12">
        <v>0</v>
      </c>
      <c r="DC154" s="12">
        <v>1</v>
      </c>
      <c r="DD154" s="12">
        <v>0</v>
      </c>
      <c r="DE154" s="12">
        <v>0</v>
      </c>
      <c r="DF154" s="12">
        <v>0</v>
      </c>
      <c r="DG154" s="12">
        <v>0</v>
      </c>
      <c r="DH154" s="12">
        <v>0</v>
      </c>
      <c r="DI154" s="12">
        <v>0</v>
      </c>
      <c r="DJ154" s="12">
        <v>0</v>
      </c>
      <c r="DK154" s="12">
        <v>1</v>
      </c>
      <c r="DL154" s="12">
        <v>1</v>
      </c>
      <c r="DM154" s="12">
        <v>0</v>
      </c>
      <c r="DN154" s="12">
        <v>0</v>
      </c>
      <c r="DO154" s="12">
        <v>1</v>
      </c>
      <c r="DP154" s="12">
        <v>0</v>
      </c>
      <c r="DQ154" s="12">
        <v>0</v>
      </c>
      <c r="DR154" s="12">
        <v>0</v>
      </c>
      <c r="DS154" s="12">
        <v>0</v>
      </c>
      <c r="DT154" s="12">
        <v>0</v>
      </c>
      <c r="DU154" s="12">
        <v>0</v>
      </c>
      <c r="DV154" s="12">
        <v>0</v>
      </c>
      <c r="DW154" s="12">
        <v>0</v>
      </c>
      <c r="DX154" s="12">
        <v>0</v>
      </c>
      <c r="DY154" s="12">
        <v>0</v>
      </c>
      <c r="DZ154" s="12">
        <v>0</v>
      </c>
      <c r="EA154" s="12">
        <v>0</v>
      </c>
      <c r="EB154" s="12">
        <v>1</v>
      </c>
      <c r="EC154" s="12">
        <v>2</v>
      </c>
      <c r="ED154" s="12">
        <v>0</v>
      </c>
      <c r="EE154" s="12">
        <v>0</v>
      </c>
      <c r="EF154" s="12">
        <v>0</v>
      </c>
      <c r="EG154" s="12">
        <v>0</v>
      </c>
      <c r="EH154" s="12">
        <v>0</v>
      </c>
      <c r="EI154" s="12">
        <v>0</v>
      </c>
      <c r="EJ154" s="12">
        <v>0</v>
      </c>
      <c r="EK154" s="12">
        <v>0</v>
      </c>
      <c r="EL154" s="12">
        <v>0</v>
      </c>
      <c r="EM154" s="12">
        <v>0</v>
      </c>
      <c r="EN154" s="12">
        <v>0</v>
      </c>
      <c r="EO154" s="12">
        <v>0</v>
      </c>
      <c r="EP154" s="12" t="str">
        <f t="shared" si="41"/>
        <v>🔴 Sin venta</v>
      </c>
      <c r="EQ154" s="23">
        <f t="shared" si="35"/>
        <v>0.125</v>
      </c>
      <c r="ER154" s="19">
        <f t="shared" si="34"/>
        <v>697.11</v>
      </c>
      <c r="ES154" s="12">
        <f t="shared" si="33"/>
        <v>3</v>
      </c>
      <c r="ET154" s="23">
        <f t="shared" si="38"/>
        <v>1</v>
      </c>
      <c r="EU154" s="23">
        <f t="shared" si="39"/>
        <v>1.5</v>
      </c>
      <c r="EV154" s="23">
        <f t="shared" si="40"/>
        <v>0.8</v>
      </c>
      <c r="EW154" s="23"/>
      <c r="EX154" s="12">
        <v>0</v>
      </c>
      <c r="EY154" s="19" cm="1">
        <f t="array" ref="EY154:FC154">VLOOKUP(_xlfn.SINGLE(B:B),'[1]Price List'!$B:$N,{8,4,5,6,7},0)</f>
        <v>115.99</v>
      </c>
      <c r="EZ154" s="9" t="str">
        <v>Speck iPhone  12/12 Pro Gemshell (Clear/Black)</v>
      </c>
      <c r="FA154" s="12" t="str">
        <v>Cases iPhone</v>
      </c>
      <c r="FB154" s="12" t="str">
        <v>iPhone 12</v>
      </c>
      <c r="FC154" s="12" t="str">
        <v>iPhone 12 / 12 Pro</v>
      </c>
      <c r="FD154" s="23" t="str">
        <f>_xlfn.XLOOKUP(B:B,'[1]Price List'!$B:$B,'[1]Price List'!$A:$A)</f>
        <v>Speck</v>
      </c>
    </row>
    <row r="155" spans="1:160" s="9" customFormat="1" x14ac:dyDescent="0.2">
      <c r="A155" s="23" t="s">
        <v>599</v>
      </c>
      <c r="B155" s="23">
        <v>848709088680</v>
      </c>
      <c r="C155" s="9" t="s">
        <v>76</v>
      </c>
      <c r="D155" s="9" t="e">
        <v>#N/A</v>
      </c>
      <c r="E155" s="9" t="e">
        <v>#N/A</v>
      </c>
      <c r="F155" s="9" t="e">
        <v>#N/A</v>
      </c>
      <c r="G155" s="9" t="s">
        <v>304</v>
      </c>
      <c r="H155" s="12" t="s">
        <v>77</v>
      </c>
      <c r="I155" s="12">
        <v>599</v>
      </c>
      <c r="J155" s="11">
        <v>232.37</v>
      </c>
      <c r="K155" s="62">
        <v>0</v>
      </c>
      <c r="L155" s="12">
        <v>0</v>
      </c>
      <c r="M155" s="13" t="s">
        <v>467</v>
      </c>
      <c r="N155" s="13" t="s">
        <v>656</v>
      </c>
      <c r="O155" s="27" t="s">
        <v>75</v>
      </c>
      <c r="P155" s="12">
        <v>4</v>
      </c>
      <c r="Q155" s="12">
        <v>4</v>
      </c>
      <c r="R155" s="12">
        <v>6</v>
      </c>
      <c r="S155" s="12">
        <v>0</v>
      </c>
      <c r="T155" s="12">
        <v>2</v>
      </c>
      <c r="U155" s="12">
        <v>2</v>
      </c>
      <c r="V155" s="12">
        <v>12</v>
      </c>
      <c r="W155" s="12">
        <v>9</v>
      </c>
      <c r="X155" s="12">
        <v>4</v>
      </c>
      <c r="Y155" s="12">
        <v>5</v>
      </c>
      <c r="Z155" s="12">
        <v>5</v>
      </c>
      <c r="AA155" s="12">
        <v>8</v>
      </c>
      <c r="AB155" s="12">
        <v>8</v>
      </c>
      <c r="AC155" s="12">
        <v>12</v>
      </c>
      <c r="AD155" s="12">
        <v>9</v>
      </c>
      <c r="AE155" s="12">
        <v>5</v>
      </c>
      <c r="AF155" s="12">
        <v>7</v>
      </c>
      <c r="AG155" s="12">
        <v>8</v>
      </c>
      <c r="AH155" s="12">
        <v>10</v>
      </c>
      <c r="AI155" s="12">
        <v>8</v>
      </c>
      <c r="AJ155" s="12">
        <v>6</v>
      </c>
      <c r="AK155" s="12">
        <v>2</v>
      </c>
      <c r="AL155" s="12">
        <v>3</v>
      </c>
      <c r="AM155" s="12">
        <v>4</v>
      </c>
      <c r="AN155" s="12">
        <v>2</v>
      </c>
      <c r="AO155" s="12">
        <v>6</v>
      </c>
      <c r="AP155" s="12">
        <v>3</v>
      </c>
      <c r="AQ155" s="12">
        <v>5</v>
      </c>
      <c r="AR155" s="12">
        <v>2</v>
      </c>
      <c r="AS155" s="12">
        <v>3</v>
      </c>
      <c r="AT155" s="12">
        <v>7</v>
      </c>
      <c r="AU155" s="12">
        <v>0</v>
      </c>
      <c r="AV155" s="12">
        <v>3</v>
      </c>
      <c r="AW155" s="12">
        <v>4</v>
      </c>
      <c r="AX155" s="12">
        <v>1</v>
      </c>
      <c r="AY155" s="12">
        <v>6</v>
      </c>
      <c r="AZ155" s="12">
        <v>2</v>
      </c>
      <c r="BA155" s="12">
        <v>2</v>
      </c>
      <c r="BB155" s="12">
        <v>0</v>
      </c>
      <c r="BC155" s="12">
        <v>7</v>
      </c>
      <c r="BD155" s="12">
        <v>0</v>
      </c>
      <c r="BE155" s="12">
        <v>17</v>
      </c>
      <c r="BF155" s="12">
        <v>20</v>
      </c>
      <c r="BG155" s="12">
        <v>6</v>
      </c>
      <c r="BH155" s="12">
        <v>3</v>
      </c>
      <c r="BI155" s="12">
        <v>6</v>
      </c>
      <c r="BJ155" s="12">
        <v>11</v>
      </c>
      <c r="BK155" s="12">
        <v>9</v>
      </c>
      <c r="BL155" s="12">
        <v>4</v>
      </c>
      <c r="BM155" s="12">
        <v>6</v>
      </c>
      <c r="BN155" s="12">
        <v>7</v>
      </c>
      <c r="BO155" s="12">
        <v>8</v>
      </c>
      <c r="BP155" s="12">
        <v>11</v>
      </c>
      <c r="BQ155" s="12">
        <v>9</v>
      </c>
      <c r="BR155" s="12">
        <v>10</v>
      </c>
      <c r="BS155" s="12">
        <v>6</v>
      </c>
      <c r="BT155" s="12">
        <v>8</v>
      </c>
      <c r="BU155" s="12">
        <v>9</v>
      </c>
      <c r="BV155" s="12">
        <v>6</v>
      </c>
      <c r="BW155" s="12">
        <v>6</v>
      </c>
      <c r="BX155" s="12">
        <v>6</v>
      </c>
      <c r="BY155" s="12">
        <v>4</v>
      </c>
      <c r="BZ155" s="12">
        <v>6</v>
      </c>
      <c r="CA155" s="12">
        <v>6</v>
      </c>
      <c r="CB155" s="12">
        <v>5</v>
      </c>
      <c r="CC155" s="12">
        <v>3</v>
      </c>
      <c r="CD155" s="12">
        <v>3</v>
      </c>
      <c r="CE155" s="12">
        <v>2</v>
      </c>
      <c r="CF155" s="12">
        <v>2</v>
      </c>
      <c r="CG155" s="12">
        <v>6</v>
      </c>
      <c r="CH155" s="12">
        <v>9</v>
      </c>
      <c r="CI155" s="12">
        <v>5</v>
      </c>
      <c r="CJ155" s="12">
        <v>4</v>
      </c>
      <c r="CK155" s="12">
        <v>7</v>
      </c>
      <c r="CL155" s="12">
        <v>1</v>
      </c>
      <c r="CM155" s="12">
        <v>2</v>
      </c>
      <c r="CN155" s="12">
        <v>4</v>
      </c>
      <c r="CO155" s="12">
        <v>2</v>
      </c>
      <c r="CP155" s="12">
        <v>4</v>
      </c>
      <c r="CQ155" s="12">
        <v>1</v>
      </c>
      <c r="CR155" s="12">
        <v>1</v>
      </c>
      <c r="CS155" s="12">
        <v>0</v>
      </c>
      <c r="CT155" s="12">
        <v>4</v>
      </c>
      <c r="CU155" s="12">
        <v>1</v>
      </c>
      <c r="CV155" s="12">
        <v>2</v>
      </c>
      <c r="CW155" s="12">
        <v>3</v>
      </c>
      <c r="CX155" s="12">
        <v>4</v>
      </c>
      <c r="CY155" s="12">
        <v>3</v>
      </c>
      <c r="CZ155" s="12">
        <v>0</v>
      </c>
      <c r="DA155" s="12">
        <v>1</v>
      </c>
      <c r="DB155" s="12">
        <v>1</v>
      </c>
      <c r="DC155" s="12">
        <v>0</v>
      </c>
      <c r="DD155" s="12">
        <v>0</v>
      </c>
      <c r="DE155" s="12">
        <v>0</v>
      </c>
      <c r="DF155" s="12">
        <v>0</v>
      </c>
      <c r="DG155" s="12">
        <v>0</v>
      </c>
      <c r="DH155" s="12">
        <v>1</v>
      </c>
      <c r="DI155" s="12">
        <v>0</v>
      </c>
      <c r="DJ155" s="12">
        <v>1</v>
      </c>
      <c r="DK155" s="12">
        <v>0</v>
      </c>
      <c r="DL155" s="12">
        <v>0</v>
      </c>
      <c r="DM155" s="12">
        <v>0</v>
      </c>
      <c r="DN155" s="12">
        <v>0</v>
      </c>
      <c r="DO155" s="12">
        <v>1</v>
      </c>
      <c r="DP155" s="12">
        <v>1</v>
      </c>
      <c r="DQ155" s="12">
        <v>0</v>
      </c>
      <c r="DR155" s="12">
        <v>1</v>
      </c>
      <c r="DS155" s="12">
        <v>0</v>
      </c>
      <c r="DT155" s="12">
        <v>0</v>
      </c>
      <c r="DU155" s="12">
        <v>0</v>
      </c>
      <c r="DV155" s="12">
        <v>2</v>
      </c>
      <c r="DW155" s="12">
        <v>0</v>
      </c>
      <c r="DX155" s="12">
        <v>0</v>
      </c>
      <c r="DY155" s="12">
        <v>0</v>
      </c>
      <c r="DZ155" s="12">
        <v>0</v>
      </c>
      <c r="EA155" s="12">
        <v>0</v>
      </c>
      <c r="EB155" s="12">
        <v>0</v>
      </c>
      <c r="EC155" s="12">
        <v>0</v>
      </c>
      <c r="ED155" s="12">
        <v>0</v>
      </c>
      <c r="EE155" s="12">
        <v>0</v>
      </c>
      <c r="EF155" s="12">
        <v>0</v>
      </c>
      <c r="EG155" s="12">
        <v>0</v>
      </c>
      <c r="EH155" s="12">
        <v>0</v>
      </c>
      <c r="EI155" s="12">
        <v>0</v>
      </c>
      <c r="EJ155" s="12">
        <v>0</v>
      </c>
      <c r="EK155" s="12">
        <v>0</v>
      </c>
      <c r="EL155" s="12">
        <v>0</v>
      </c>
      <c r="EM155" s="12">
        <v>0</v>
      </c>
      <c r="EN155" s="12">
        <v>0</v>
      </c>
      <c r="EO155" s="12">
        <v>0</v>
      </c>
      <c r="EP155" s="12" t="str">
        <f t="shared" si="41"/>
        <v>🔴 Sin venta</v>
      </c>
      <c r="EQ155" s="23">
        <f t="shared" si="35"/>
        <v>0.16666666666666666</v>
      </c>
      <c r="ER155" s="19">
        <f t="shared" si="34"/>
        <v>929.48</v>
      </c>
      <c r="ES155" s="12">
        <f t="shared" si="33"/>
        <v>4</v>
      </c>
      <c r="ET155" s="23">
        <f t="shared" si="38"/>
        <v>1</v>
      </c>
      <c r="EU155" s="23">
        <f t="shared" si="39"/>
        <v>1.5</v>
      </c>
      <c r="EV155" s="23">
        <f t="shared" si="40"/>
        <v>1.07</v>
      </c>
      <c r="EW155" s="23"/>
      <c r="EX155" s="12">
        <v>0</v>
      </c>
      <c r="EY155" s="19" cm="1">
        <f t="array" ref="EY155:FC155">VLOOKUP(_xlfn.SINGLE(B:B),'[1]Price List'!$B:$N,{8,4,5,6,7},0)</f>
        <v>115.99</v>
      </c>
      <c r="EZ155" s="9" t="str">
        <v>Speck iPhone  12/12 Pro *Gemshell Grip (Clear/Clear)</v>
      </c>
      <c r="FA155" s="12" t="str">
        <v>Cases iPhone</v>
      </c>
      <c r="FB155" s="12" t="str">
        <v>iPhone 12</v>
      </c>
      <c r="FC155" s="12" t="str">
        <v>iPhone 12 / 12 Pro</v>
      </c>
      <c r="FD155" s="23" t="str">
        <f>_xlfn.XLOOKUP(B:B,'[1]Price List'!$B:$B,'[1]Price List'!$A:$A)</f>
        <v>Speck</v>
      </c>
    </row>
    <row r="156" spans="1:160" s="9" customFormat="1" x14ac:dyDescent="0.2">
      <c r="A156" s="23" t="s">
        <v>599</v>
      </c>
      <c r="B156" s="23">
        <v>848709089199</v>
      </c>
      <c r="C156" s="9" t="s">
        <v>78</v>
      </c>
      <c r="D156" s="9" t="s">
        <v>644</v>
      </c>
      <c r="E156" s="9" t="s">
        <v>309</v>
      </c>
      <c r="F156" s="9" t="s">
        <v>309</v>
      </c>
      <c r="G156" s="9" t="s">
        <v>309</v>
      </c>
      <c r="H156" s="12" t="s">
        <v>79</v>
      </c>
      <c r="I156" s="12">
        <v>599</v>
      </c>
      <c r="J156" s="11">
        <v>232.37</v>
      </c>
      <c r="K156" s="62">
        <v>0</v>
      </c>
      <c r="L156" s="12">
        <v>0</v>
      </c>
      <c r="M156" s="13" t="s">
        <v>467</v>
      </c>
      <c r="N156" s="13" t="s">
        <v>656</v>
      </c>
      <c r="O156" s="27" t="s">
        <v>75</v>
      </c>
      <c r="P156" s="12">
        <v>15</v>
      </c>
      <c r="Q156" s="12">
        <v>8</v>
      </c>
      <c r="R156" s="12">
        <v>13</v>
      </c>
      <c r="S156" s="12">
        <v>23</v>
      </c>
      <c r="T156" s="12">
        <v>12</v>
      </c>
      <c r="U156" s="12">
        <v>8</v>
      </c>
      <c r="V156" s="12">
        <v>20</v>
      </c>
      <c r="W156" s="12">
        <v>13</v>
      </c>
      <c r="X156" s="12">
        <v>8</v>
      </c>
      <c r="Y156" s="12">
        <v>15</v>
      </c>
      <c r="Z156" s="12">
        <v>8</v>
      </c>
      <c r="AA156" s="12">
        <v>12</v>
      </c>
      <c r="AB156" s="12">
        <v>7</v>
      </c>
      <c r="AC156" s="12">
        <v>8</v>
      </c>
      <c r="AD156" s="12">
        <v>7</v>
      </c>
      <c r="AE156" s="12">
        <v>7</v>
      </c>
      <c r="AF156" s="12">
        <v>3</v>
      </c>
      <c r="AG156" s="12">
        <v>2</v>
      </c>
      <c r="AH156" s="12">
        <v>3</v>
      </c>
      <c r="AI156" s="12">
        <v>1</v>
      </c>
      <c r="AJ156" s="12">
        <v>2</v>
      </c>
      <c r="AK156" s="12">
        <v>0</v>
      </c>
      <c r="AL156" s="12">
        <v>1</v>
      </c>
      <c r="AM156" s="12">
        <v>0</v>
      </c>
      <c r="AN156" s="12">
        <v>2</v>
      </c>
      <c r="AO156" s="12">
        <v>2</v>
      </c>
      <c r="AP156" s="12">
        <v>1</v>
      </c>
      <c r="AQ156" s="12">
        <v>0</v>
      </c>
      <c r="AR156" s="12">
        <v>0</v>
      </c>
      <c r="AS156" s="12">
        <v>1</v>
      </c>
      <c r="AT156" s="12">
        <v>0</v>
      </c>
      <c r="AU156" s="12">
        <v>1</v>
      </c>
      <c r="AV156" s="12">
        <v>1</v>
      </c>
      <c r="AW156" s="12">
        <v>5</v>
      </c>
      <c r="AX156" s="12">
        <v>1</v>
      </c>
      <c r="AY156" s="12">
        <v>1</v>
      </c>
      <c r="AZ156" s="12">
        <v>1</v>
      </c>
      <c r="BA156" s="12">
        <v>1</v>
      </c>
      <c r="BB156" s="12">
        <v>0</v>
      </c>
      <c r="BC156" s="12">
        <v>1</v>
      </c>
      <c r="BD156" s="12">
        <v>0</v>
      </c>
      <c r="BE156" s="12">
        <v>0</v>
      </c>
      <c r="BF156" s="12">
        <v>0</v>
      </c>
      <c r="BG156" s="12">
        <v>0</v>
      </c>
      <c r="BH156" s="12">
        <v>0</v>
      </c>
      <c r="BI156" s="12">
        <v>0</v>
      </c>
      <c r="BJ156" s="12">
        <v>1</v>
      </c>
      <c r="BK156" s="12">
        <v>0</v>
      </c>
      <c r="BL156" s="12">
        <v>0</v>
      </c>
      <c r="BM156" s="12">
        <v>1</v>
      </c>
      <c r="BN156" s="12">
        <v>0</v>
      </c>
      <c r="BO156" s="12">
        <v>0</v>
      </c>
      <c r="BP156" s="12">
        <v>0</v>
      </c>
      <c r="BQ156" s="12">
        <v>0</v>
      </c>
      <c r="BR156" s="12">
        <v>0</v>
      </c>
      <c r="BS156" s="12">
        <v>0</v>
      </c>
      <c r="BT156" s="12">
        <v>0</v>
      </c>
      <c r="BU156" s="12">
        <v>0</v>
      </c>
      <c r="BV156" s="12">
        <v>0</v>
      </c>
      <c r="BW156" s="12">
        <v>0</v>
      </c>
      <c r="BX156" s="12">
        <v>0</v>
      </c>
      <c r="BY156" s="12">
        <v>0</v>
      </c>
      <c r="BZ156" s="12">
        <v>0</v>
      </c>
      <c r="CA156" s="12">
        <v>0</v>
      </c>
      <c r="CB156" s="12">
        <v>0</v>
      </c>
      <c r="CC156" s="12">
        <v>0</v>
      </c>
      <c r="CD156" s="12">
        <v>0</v>
      </c>
      <c r="CE156" s="12">
        <v>0</v>
      </c>
      <c r="CF156" s="12">
        <v>0</v>
      </c>
      <c r="CG156" s="12">
        <v>0</v>
      </c>
      <c r="CH156" s="12">
        <v>0</v>
      </c>
      <c r="CI156" s="12">
        <v>0</v>
      </c>
      <c r="CJ156" s="12">
        <v>0</v>
      </c>
      <c r="CK156" s="12">
        <v>0</v>
      </c>
      <c r="CL156" s="12">
        <v>0</v>
      </c>
      <c r="CM156" s="12">
        <v>0</v>
      </c>
      <c r="CN156" s="12">
        <v>0</v>
      </c>
      <c r="CO156" s="12">
        <v>0</v>
      </c>
      <c r="CP156" s="12">
        <v>0</v>
      </c>
      <c r="CQ156" s="12">
        <v>0</v>
      </c>
      <c r="CR156" s="12">
        <v>0</v>
      </c>
      <c r="CS156" s="12">
        <v>0</v>
      </c>
      <c r="CT156" s="12">
        <v>0</v>
      </c>
      <c r="CU156" s="12">
        <v>0</v>
      </c>
      <c r="CV156" s="12">
        <v>0</v>
      </c>
      <c r="CW156" s="12">
        <v>0</v>
      </c>
      <c r="CX156" s="12">
        <v>0</v>
      </c>
      <c r="CY156" s="12">
        <v>0</v>
      </c>
      <c r="CZ156" s="12">
        <v>0</v>
      </c>
      <c r="DA156" s="12">
        <v>0</v>
      </c>
      <c r="DB156" s="12">
        <v>0</v>
      </c>
      <c r="DC156" s="12">
        <v>0</v>
      </c>
      <c r="DD156" s="12">
        <v>0</v>
      </c>
      <c r="DE156" s="12">
        <v>0</v>
      </c>
      <c r="DF156" s="12">
        <v>0</v>
      </c>
      <c r="DG156" s="12">
        <v>0</v>
      </c>
      <c r="DH156" s="12">
        <v>0</v>
      </c>
      <c r="DI156" s="12">
        <v>0</v>
      </c>
      <c r="DJ156" s="12">
        <v>0</v>
      </c>
      <c r="DK156" s="12">
        <v>0</v>
      </c>
      <c r="DL156" s="12">
        <v>0</v>
      </c>
      <c r="DM156" s="12">
        <v>0</v>
      </c>
      <c r="DN156" s="12">
        <v>0</v>
      </c>
      <c r="DO156" s="12">
        <v>0</v>
      </c>
      <c r="DP156" s="12">
        <v>0</v>
      </c>
      <c r="DQ156" s="12">
        <v>0</v>
      </c>
      <c r="DR156" s="12">
        <v>1</v>
      </c>
      <c r="DS156" s="12">
        <v>0</v>
      </c>
      <c r="DT156" s="12">
        <v>0</v>
      </c>
      <c r="DU156" s="12">
        <v>0</v>
      </c>
      <c r="DV156" s="12">
        <v>0</v>
      </c>
      <c r="DW156" s="12">
        <v>0</v>
      </c>
      <c r="DX156" s="12">
        <v>0</v>
      </c>
      <c r="DY156" s="12">
        <v>0</v>
      </c>
      <c r="DZ156" s="12">
        <v>0</v>
      </c>
      <c r="EA156" s="12">
        <v>0</v>
      </c>
      <c r="EB156" s="12">
        <v>0</v>
      </c>
      <c r="EC156" s="12">
        <v>0</v>
      </c>
      <c r="ED156" s="12">
        <v>0</v>
      </c>
      <c r="EE156" s="12">
        <v>0</v>
      </c>
      <c r="EF156" s="12">
        <v>0</v>
      </c>
      <c r="EG156" s="12">
        <v>0</v>
      </c>
      <c r="EH156" s="12">
        <v>0</v>
      </c>
      <c r="EI156" s="12">
        <v>0</v>
      </c>
      <c r="EJ156" s="12">
        <v>0</v>
      </c>
      <c r="EK156" s="12">
        <v>0</v>
      </c>
      <c r="EL156" s="12">
        <v>0</v>
      </c>
      <c r="EM156" s="12">
        <v>0</v>
      </c>
      <c r="EN156" s="12">
        <v>0</v>
      </c>
      <c r="EO156" s="12">
        <v>0</v>
      </c>
      <c r="EP156" s="12" t="str">
        <f t="shared" si="41"/>
        <v>🔴 Sin venta</v>
      </c>
      <c r="EQ156" s="23">
        <f t="shared" si="35"/>
        <v>4.1666666666666664E-2</v>
      </c>
      <c r="ER156" s="19">
        <f t="shared" si="34"/>
        <v>232.37</v>
      </c>
      <c r="ES156" s="12">
        <f t="shared" si="33"/>
        <v>1</v>
      </c>
      <c r="ET156" s="23">
        <f t="shared" si="38"/>
        <v>0</v>
      </c>
      <c r="EU156" s="23">
        <f t="shared" si="39"/>
        <v>0</v>
      </c>
      <c r="EV156" s="23">
        <f t="shared" si="40"/>
        <v>0.27</v>
      </c>
      <c r="EW156" s="23"/>
      <c r="EX156" s="12">
        <v>0</v>
      </c>
      <c r="EY156" s="19" cm="1">
        <f t="array" ref="EY156:FC156">VLOOKUP(_xlfn.SINGLE(B:B),'[1]Price List'!$B:$N,{8,4,5,6,7},0)</f>
        <v>232.37</v>
      </c>
      <c r="EZ156" s="9" t="str">
        <v>Speck iPhone  11/XR *New Candyshell (Black/Black)</v>
      </c>
      <c r="FA156" s="12" t="str">
        <v>Cases iPhone</v>
      </c>
      <c r="FB156" s="12" t="str">
        <v>iPhone 11</v>
      </c>
      <c r="FC156" s="12" t="str">
        <v>iPhone 11</v>
      </c>
      <c r="FD156" s="23" t="str">
        <f>_xlfn.XLOOKUP(B:B,'[1]Price List'!$B:$B,'[1]Price List'!$A:$A)</f>
        <v>Speck</v>
      </c>
    </row>
    <row r="157" spans="1:160" s="9" customFormat="1" x14ac:dyDescent="0.2">
      <c r="A157" s="23" t="s">
        <v>599</v>
      </c>
      <c r="B157" s="23">
        <v>848709086235</v>
      </c>
      <c r="C157" s="9" t="s">
        <v>64</v>
      </c>
      <c r="D157" s="9" t="s">
        <v>644</v>
      </c>
      <c r="E157" s="9" t="s">
        <v>309</v>
      </c>
      <c r="F157" s="9" t="s">
        <v>309</v>
      </c>
      <c r="G157" s="9" t="s">
        <v>309</v>
      </c>
      <c r="H157" s="12" t="s">
        <v>65</v>
      </c>
      <c r="I157" s="12">
        <v>599</v>
      </c>
      <c r="J157" s="11">
        <v>232.37</v>
      </c>
      <c r="K157" s="62">
        <v>0</v>
      </c>
      <c r="L157" s="12">
        <v>0</v>
      </c>
      <c r="M157" s="13" t="s">
        <v>467</v>
      </c>
      <c r="N157" s="13" t="s">
        <v>656</v>
      </c>
      <c r="O157" s="27" t="s">
        <v>61</v>
      </c>
      <c r="P157" s="12">
        <v>9</v>
      </c>
      <c r="Q157" s="12">
        <v>12</v>
      </c>
      <c r="R157" s="12">
        <v>10</v>
      </c>
      <c r="S157" s="12">
        <v>6</v>
      </c>
      <c r="T157" s="12">
        <v>10</v>
      </c>
      <c r="U157" s="12">
        <v>6</v>
      </c>
      <c r="V157" s="12">
        <v>11</v>
      </c>
      <c r="W157" s="12">
        <v>7</v>
      </c>
      <c r="X157" s="12">
        <v>10</v>
      </c>
      <c r="Y157" s="12">
        <v>8</v>
      </c>
      <c r="Z157" s="12">
        <v>6</v>
      </c>
      <c r="AA157" s="12">
        <v>10</v>
      </c>
      <c r="AB157" s="12">
        <v>9</v>
      </c>
      <c r="AC157" s="12">
        <v>7</v>
      </c>
      <c r="AD157" s="12">
        <v>8</v>
      </c>
      <c r="AE157" s="12">
        <v>5</v>
      </c>
      <c r="AF157" s="12">
        <v>9</v>
      </c>
      <c r="AG157" s="12">
        <v>5</v>
      </c>
      <c r="AH157" s="12">
        <v>1</v>
      </c>
      <c r="AI157" s="12">
        <v>3</v>
      </c>
      <c r="AJ157" s="12">
        <v>5</v>
      </c>
      <c r="AK157" s="12">
        <v>2</v>
      </c>
      <c r="AL157" s="12">
        <v>1</v>
      </c>
      <c r="AM157" s="12">
        <v>0</v>
      </c>
      <c r="AN157" s="12">
        <v>1</v>
      </c>
      <c r="AO157" s="12">
        <v>1</v>
      </c>
      <c r="AP157" s="12">
        <v>1</v>
      </c>
      <c r="AQ157" s="12">
        <v>1</v>
      </c>
      <c r="AR157" s="12">
        <v>0</v>
      </c>
      <c r="AS157" s="12">
        <v>0</v>
      </c>
      <c r="AT157" s="12">
        <v>0</v>
      </c>
      <c r="AU157" s="12">
        <v>0</v>
      </c>
      <c r="AV157" s="12">
        <v>0</v>
      </c>
      <c r="AW157" s="12">
        <v>1</v>
      </c>
      <c r="AX157" s="12">
        <v>1</v>
      </c>
      <c r="AY157" s="12">
        <v>2</v>
      </c>
      <c r="AZ157" s="12">
        <v>0</v>
      </c>
      <c r="BA157" s="12">
        <v>1</v>
      </c>
      <c r="BB157" s="12">
        <v>1</v>
      </c>
      <c r="BC157" s="12">
        <v>0</v>
      </c>
      <c r="BD157" s="12">
        <v>0</v>
      </c>
      <c r="BE157" s="12">
        <v>0</v>
      </c>
      <c r="BF157" s="12">
        <v>0</v>
      </c>
      <c r="BG157" s="12">
        <v>0</v>
      </c>
      <c r="BH157" s="12">
        <v>0</v>
      </c>
      <c r="BI157" s="12">
        <v>0</v>
      </c>
      <c r="BJ157" s="12">
        <v>0</v>
      </c>
      <c r="BK157" s="12">
        <v>0</v>
      </c>
      <c r="BL157" s="12">
        <v>0</v>
      </c>
      <c r="BM157" s="12">
        <v>0</v>
      </c>
      <c r="BN157" s="12">
        <v>0</v>
      </c>
      <c r="BO157" s="12">
        <v>0</v>
      </c>
      <c r="BP157" s="12">
        <v>0</v>
      </c>
      <c r="BQ157" s="12">
        <v>0</v>
      </c>
      <c r="BR157" s="12">
        <v>0</v>
      </c>
      <c r="BS157" s="12">
        <v>0</v>
      </c>
      <c r="BT157" s="12">
        <v>0</v>
      </c>
      <c r="BU157" s="12">
        <v>0</v>
      </c>
      <c r="BV157" s="12">
        <v>0</v>
      </c>
      <c r="BW157" s="12">
        <v>0</v>
      </c>
      <c r="BX157" s="12">
        <v>0</v>
      </c>
      <c r="BY157" s="12">
        <v>0</v>
      </c>
      <c r="BZ157" s="12">
        <v>0</v>
      </c>
      <c r="CA157" s="12">
        <v>0</v>
      </c>
      <c r="CB157" s="12">
        <v>0</v>
      </c>
      <c r="CC157" s="12">
        <v>0</v>
      </c>
      <c r="CD157" s="12">
        <v>0</v>
      </c>
      <c r="CE157" s="12">
        <v>0</v>
      </c>
      <c r="CF157" s="12">
        <v>0</v>
      </c>
      <c r="CG157" s="12">
        <v>0</v>
      </c>
      <c r="CH157" s="12">
        <v>0</v>
      </c>
      <c r="CI157" s="12">
        <v>0</v>
      </c>
      <c r="CJ157" s="12">
        <v>0</v>
      </c>
      <c r="CK157" s="12">
        <v>0</v>
      </c>
      <c r="CL157" s="12">
        <v>0</v>
      </c>
      <c r="CM157" s="12">
        <v>0</v>
      </c>
      <c r="CN157" s="12">
        <v>0</v>
      </c>
      <c r="CO157" s="12">
        <v>0</v>
      </c>
      <c r="CP157" s="12">
        <v>0</v>
      </c>
      <c r="CQ157" s="12">
        <v>0</v>
      </c>
      <c r="CR157" s="12">
        <v>0</v>
      </c>
      <c r="CS157" s="12">
        <v>0</v>
      </c>
      <c r="CT157" s="12">
        <v>0</v>
      </c>
      <c r="CU157" s="12">
        <v>0</v>
      </c>
      <c r="CV157" s="12">
        <v>0</v>
      </c>
      <c r="CW157" s="12">
        <v>0</v>
      </c>
      <c r="CX157" s="12">
        <v>0</v>
      </c>
      <c r="CY157" s="12">
        <v>0</v>
      </c>
      <c r="CZ157" s="12">
        <v>0</v>
      </c>
      <c r="DA157" s="12">
        <v>0</v>
      </c>
      <c r="DB157" s="12">
        <v>0</v>
      </c>
      <c r="DC157" s="12">
        <v>0</v>
      </c>
      <c r="DD157" s="12">
        <v>0</v>
      </c>
      <c r="DE157" s="12">
        <v>0</v>
      </c>
      <c r="DF157" s="12">
        <v>0</v>
      </c>
      <c r="DG157" s="12">
        <v>0</v>
      </c>
      <c r="DH157" s="12">
        <v>0</v>
      </c>
      <c r="DI157" s="12">
        <v>0</v>
      </c>
      <c r="DJ157" s="12">
        <v>0</v>
      </c>
      <c r="DK157" s="12">
        <v>0</v>
      </c>
      <c r="DL157" s="12">
        <v>0</v>
      </c>
      <c r="DM157" s="12">
        <v>0</v>
      </c>
      <c r="DN157" s="12">
        <v>0</v>
      </c>
      <c r="DO157" s="12">
        <v>0</v>
      </c>
      <c r="DP157" s="12">
        <v>0</v>
      </c>
      <c r="DQ157" s="12">
        <v>0</v>
      </c>
      <c r="DR157" s="12">
        <v>0</v>
      </c>
      <c r="DS157" s="12">
        <v>0</v>
      </c>
      <c r="DT157" s="12">
        <v>0</v>
      </c>
      <c r="DU157" s="12">
        <v>0</v>
      </c>
      <c r="DV157" s="12">
        <v>0</v>
      </c>
      <c r="DW157" s="12">
        <v>0</v>
      </c>
      <c r="DX157" s="12">
        <v>0</v>
      </c>
      <c r="DY157" s="12">
        <v>0</v>
      </c>
      <c r="DZ157" s="12">
        <v>0</v>
      </c>
      <c r="EA157" s="12">
        <v>0</v>
      </c>
      <c r="EB157" s="12">
        <v>0</v>
      </c>
      <c r="EC157" s="12">
        <v>0</v>
      </c>
      <c r="ED157" s="12">
        <v>0</v>
      </c>
      <c r="EE157" s="12">
        <v>0</v>
      </c>
      <c r="EF157" s="12">
        <v>0</v>
      </c>
      <c r="EG157" s="12">
        <v>0</v>
      </c>
      <c r="EH157" s="12">
        <v>0</v>
      </c>
      <c r="EI157" s="12">
        <v>0</v>
      </c>
      <c r="EJ157" s="12">
        <v>0</v>
      </c>
      <c r="EK157" s="12">
        <v>0</v>
      </c>
      <c r="EL157" s="12">
        <v>0</v>
      </c>
      <c r="EM157" s="12">
        <v>0</v>
      </c>
      <c r="EN157" s="12">
        <v>0</v>
      </c>
      <c r="EO157" s="12">
        <v>0</v>
      </c>
      <c r="EP157" s="12" t="str">
        <f t="shared" si="41"/>
        <v>🔴 Sin venta</v>
      </c>
      <c r="EQ157" s="23">
        <f t="shared" si="35"/>
        <v>0</v>
      </c>
      <c r="ER157" s="19">
        <f t="shared" si="34"/>
        <v>0</v>
      </c>
      <c r="ES157" s="12">
        <f t="shared" si="33"/>
        <v>0</v>
      </c>
      <c r="ET157" s="23">
        <f t="shared" si="38"/>
        <v>0</v>
      </c>
      <c r="EU157" s="23">
        <f t="shared" si="39"/>
        <v>0</v>
      </c>
      <c r="EV157" s="23">
        <f t="shared" si="40"/>
        <v>0</v>
      </c>
      <c r="EW157" s="23"/>
      <c r="EX157" s="12">
        <v>0</v>
      </c>
      <c r="EY157" s="19" cm="1">
        <f t="array" ref="EY157:FC157">VLOOKUP(_xlfn.SINGLE(B:B),'[1]Price List'!$B:$N,{8,4,5,6,7},0)</f>
        <v>232.37</v>
      </c>
      <c r="EZ157" s="9" t="str">
        <v>Speck iPhone  11 New Clear Grip (Clear/Clear)</v>
      </c>
      <c r="FA157" s="12" t="str">
        <v>Cases iPhone</v>
      </c>
      <c r="FB157" s="12" t="str">
        <v>iPhone 11</v>
      </c>
      <c r="FC157" s="12" t="str">
        <v>iPhone 11</v>
      </c>
      <c r="FD157" s="23" t="str">
        <f>_xlfn.XLOOKUP(B:B,'[1]Price List'!$B:$B,'[1]Price List'!$A:$A)</f>
        <v>Speck</v>
      </c>
    </row>
    <row r="158" spans="1:160" s="9" customFormat="1" x14ac:dyDescent="0.2">
      <c r="A158" s="23" t="s">
        <v>599</v>
      </c>
      <c r="B158" s="23">
        <v>848709087416</v>
      </c>
      <c r="C158" s="9" t="s">
        <v>66</v>
      </c>
      <c r="D158" s="9" t="s">
        <v>644</v>
      </c>
      <c r="E158" s="9" t="s">
        <v>641</v>
      </c>
      <c r="F158" s="9" t="s">
        <v>630</v>
      </c>
      <c r="G158" s="9" t="s">
        <v>310</v>
      </c>
      <c r="H158" s="12" t="s">
        <v>67</v>
      </c>
      <c r="I158" s="12">
        <v>999</v>
      </c>
      <c r="J158" s="11">
        <v>387.54</v>
      </c>
      <c r="K158" s="62">
        <v>0</v>
      </c>
      <c r="L158" s="12">
        <v>0</v>
      </c>
      <c r="M158" s="13" t="s">
        <v>467</v>
      </c>
      <c r="N158" s="13" t="s">
        <v>656</v>
      </c>
      <c r="O158" s="27" t="s">
        <v>68</v>
      </c>
      <c r="P158" s="12">
        <v>0</v>
      </c>
      <c r="Q158" s="12">
        <v>3</v>
      </c>
      <c r="R158" s="12">
        <v>0</v>
      </c>
      <c r="S158" s="12">
        <v>2</v>
      </c>
      <c r="T158" s="12">
        <v>2</v>
      </c>
      <c r="U158" s="12">
        <v>1</v>
      </c>
      <c r="V158" s="12">
        <v>3</v>
      </c>
      <c r="W158" s="12">
        <v>2</v>
      </c>
      <c r="X158" s="12">
        <v>2</v>
      </c>
      <c r="Y158" s="12">
        <v>2</v>
      </c>
      <c r="Z158" s="12">
        <v>1</v>
      </c>
      <c r="AA158" s="12">
        <v>3</v>
      </c>
      <c r="AB158" s="12">
        <v>3</v>
      </c>
      <c r="AC158" s="12">
        <v>2</v>
      </c>
      <c r="AD158" s="12">
        <v>3</v>
      </c>
      <c r="AE158" s="12">
        <v>2</v>
      </c>
      <c r="AF158" s="12">
        <v>0</v>
      </c>
      <c r="AG158" s="12">
        <v>2</v>
      </c>
      <c r="AH158" s="12">
        <v>0</v>
      </c>
      <c r="AI158" s="12">
        <v>2</v>
      </c>
      <c r="AJ158" s="12">
        <v>0</v>
      </c>
      <c r="AK158" s="12">
        <v>0</v>
      </c>
      <c r="AL158" s="12">
        <v>0</v>
      </c>
      <c r="AM158" s="12">
        <v>0</v>
      </c>
      <c r="AN158" s="12">
        <v>0</v>
      </c>
      <c r="AO158" s="12">
        <v>1</v>
      </c>
      <c r="AP158" s="12">
        <v>1</v>
      </c>
      <c r="AQ158" s="12">
        <v>1</v>
      </c>
      <c r="AR158" s="12">
        <v>0</v>
      </c>
      <c r="AS158" s="12">
        <v>0</v>
      </c>
      <c r="AT158" s="12">
        <v>0</v>
      </c>
      <c r="AU158" s="12">
        <v>0</v>
      </c>
      <c r="AV158" s="12">
        <v>0</v>
      </c>
      <c r="AW158" s="12">
        <v>3</v>
      </c>
      <c r="AX158" s="12">
        <v>0</v>
      </c>
      <c r="AY158" s="12">
        <v>1</v>
      </c>
      <c r="AZ158" s="12">
        <v>2</v>
      </c>
      <c r="BA158" s="12">
        <v>0</v>
      </c>
      <c r="BB158" s="12">
        <v>0</v>
      </c>
      <c r="BC158" s="12">
        <v>0</v>
      </c>
      <c r="BD158" s="12">
        <v>0</v>
      </c>
      <c r="BE158" s="12">
        <v>0</v>
      </c>
      <c r="BF158" s="12">
        <v>0</v>
      </c>
      <c r="BG158" s="12">
        <v>0</v>
      </c>
      <c r="BH158" s="12">
        <v>0</v>
      </c>
      <c r="BI158" s="12">
        <v>0</v>
      </c>
      <c r="BJ158" s="12">
        <v>0</v>
      </c>
      <c r="BK158" s="12">
        <v>0</v>
      </c>
      <c r="BL158" s="12">
        <v>0</v>
      </c>
      <c r="BM158" s="12">
        <v>0</v>
      </c>
      <c r="BN158" s="12">
        <v>0</v>
      </c>
      <c r="BO158" s="12">
        <v>0</v>
      </c>
      <c r="BP158" s="12">
        <v>0</v>
      </c>
      <c r="BQ158" s="12">
        <v>0</v>
      </c>
      <c r="BR158" s="12">
        <v>0</v>
      </c>
      <c r="BS158" s="12">
        <v>0</v>
      </c>
      <c r="BT158" s="12">
        <v>0</v>
      </c>
      <c r="BU158" s="12">
        <v>0</v>
      </c>
      <c r="BV158" s="12">
        <v>0</v>
      </c>
      <c r="BW158" s="12">
        <v>0</v>
      </c>
      <c r="BX158" s="12">
        <v>0</v>
      </c>
      <c r="BY158" s="12">
        <v>0</v>
      </c>
      <c r="BZ158" s="12">
        <v>0</v>
      </c>
      <c r="CA158" s="12">
        <v>0</v>
      </c>
      <c r="CB158" s="12">
        <v>0</v>
      </c>
      <c r="CC158" s="12">
        <v>0</v>
      </c>
      <c r="CD158" s="12">
        <v>0</v>
      </c>
      <c r="CE158" s="12">
        <v>0</v>
      </c>
      <c r="CF158" s="12">
        <v>0</v>
      </c>
      <c r="CG158" s="12">
        <v>0</v>
      </c>
      <c r="CH158" s="12">
        <v>0</v>
      </c>
      <c r="CI158" s="12">
        <v>0</v>
      </c>
      <c r="CJ158" s="12">
        <v>1</v>
      </c>
      <c r="CK158" s="12">
        <v>0</v>
      </c>
      <c r="CL158" s="12">
        <v>0</v>
      </c>
      <c r="CM158" s="12">
        <v>0</v>
      </c>
      <c r="CN158" s="12">
        <v>0</v>
      </c>
      <c r="CO158" s="12">
        <v>0</v>
      </c>
      <c r="CP158" s="12">
        <v>0</v>
      </c>
      <c r="CQ158" s="12">
        <v>0</v>
      </c>
      <c r="CR158" s="12">
        <v>0</v>
      </c>
      <c r="CS158" s="12">
        <v>0</v>
      </c>
      <c r="CT158" s="12">
        <v>0</v>
      </c>
      <c r="CU158" s="12">
        <v>0</v>
      </c>
      <c r="CV158" s="12">
        <v>0</v>
      </c>
      <c r="CW158" s="12">
        <v>0</v>
      </c>
      <c r="CX158" s="12">
        <v>0</v>
      </c>
      <c r="CY158" s="12">
        <v>0</v>
      </c>
      <c r="CZ158" s="12">
        <v>0</v>
      </c>
      <c r="DA158" s="12">
        <v>0</v>
      </c>
      <c r="DB158" s="12">
        <v>0</v>
      </c>
      <c r="DC158" s="12">
        <v>0</v>
      </c>
      <c r="DD158" s="12">
        <v>0</v>
      </c>
      <c r="DE158" s="12">
        <v>0</v>
      </c>
      <c r="DF158" s="12">
        <v>0</v>
      </c>
      <c r="DG158" s="12">
        <v>0</v>
      </c>
      <c r="DH158" s="12">
        <v>0</v>
      </c>
      <c r="DI158" s="12">
        <v>0</v>
      </c>
      <c r="DJ158" s="12">
        <v>0</v>
      </c>
      <c r="DK158" s="12">
        <v>0</v>
      </c>
      <c r="DL158" s="12">
        <v>0</v>
      </c>
      <c r="DM158" s="12">
        <v>0</v>
      </c>
      <c r="DN158" s="12">
        <v>0</v>
      </c>
      <c r="DO158" s="12">
        <v>0</v>
      </c>
      <c r="DP158" s="12">
        <v>0</v>
      </c>
      <c r="DQ158" s="12">
        <v>0</v>
      </c>
      <c r="DR158" s="12">
        <v>0</v>
      </c>
      <c r="DS158" s="12">
        <v>0</v>
      </c>
      <c r="DT158" s="12">
        <v>0</v>
      </c>
      <c r="DU158" s="12">
        <v>0</v>
      </c>
      <c r="DV158" s="12">
        <v>0</v>
      </c>
      <c r="DW158" s="12">
        <v>0</v>
      </c>
      <c r="DX158" s="12">
        <v>0</v>
      </c>
      <c r="DY158" s="12">
        <v>0</v>
      </c>
      <c r="DZ158" s="12">
        <v>0</v>
      </c>
      <c r="EA158" s="12">
        <v>0</v>
      </c>
      <c r="EB158" s="12">
        <v>0</v>
      </c>
      <c r="EC158" s="12">
        <v>0</v>
      </c>
      <c r="ED158" s="12">
        <v>0</v>
      </c>
      <c r="EE158" s="12">
        <v>0</v>
      </c>
      <c r="EF158" s="12">
        <v>0</v>
      </c>
      <c r="EG158" s="12">
        <v>0</v>
      </c>
      <c r="EH158" s="12">
        <v>0</v>
      </c>
      <c r="EI158" s="12">
        <v>0</v>
      </c>
      <c r="EJ158" s="12">
        <v>0</v>
      </c>
      <c r="EK158" s="12">
        <v>0</v>
      </c>
      <c r="EL158" s="12">
        <v>0</v>
      </c>
      <c r="EM158" s="12">
        <v>0</v>
      </c>
      <c r="EN158" s="12">
        <v>0</v>
      </c>
      <c r="EO158" s="12">
        <v>0</v>
      </c>
      <c r="EP158" s="12" t="str">
        <f t="shared" si="41"/>
        <v>🔴 Sin venta</v>
      </c>
      <c r="EQ158" s="23">
        <f t="shared" si="35"/>
        <v>0</v>
      </c>
      <c r="ER158" s="19">
        <f t="shared" si="34"/>
        <v>0</v>
      </c>
      <c r="ES158" s="12">
        <f t="shared" si="33"/>
        <v>0</v>
      </c>
      <c r="ET158" s="23">
        <f t="shared" si="38"/>
        <v>0</v>
      </c>
      <c r="EU158" s="23">
        <f t="shared" si="39"/>
        <v>0</v>
      </c>
      <c r="EV158" s="23">
        <f t="shared" si="40"/>
        <v>0</v>
      </c>
      <c r="EW158" s="23"/>
      <c r="EX158" s="12">
        <v>0</v>
      </c>
      <c r="EY158" s="19" cm="1">
        <f t="array" ref="EY158:FC158">VLOOKUP(_xlfn.SINGLE(B:B),'[1]Price List'!$B:$N,{8,4,5,6,7},0)</f>
        <v>387.54</v>
      </c>
      <c r="EZ158" s="9" t="str">
        <v>Speck (Apple Excsluive) Presidio Perfect Clear with Grips for iPhone 7/8/SE 2/SE 3 - Bella Pink</v>
      </c>
      <c r="FA158" s="12" t="str">
        <v>Cases iPhone</v>
      </c>
      <c r="FB158" s="12" t="str">
        <v>iPhone 7</v>
      </c>
      <c r="FC158" s="12" t="str">
        <v>iPhone 7/8/SE 2/SE 3 Cases</v>
      </c>
      <c r="FD158" s="23" t="str">
        <f>_xlfn.XLOOKUP(B:B,'[1]Price List'!$B:$B,'[1]Price List'!$A:$A)</f>
        <v>Speck</v>
      </c>
    </row>
    <row r="159" spans="1:160" s="9" customFormat="1" x14ac:dyDescent="0.2">
      <c r="A159" s="23" t="s">
        <v>599</v>
      </c>
      <c r="B159" s="23">
        <v>848709074607</v>
      </c>
      <c r="C159" s="9" t="s">
        <v>27</v>
      </c>
      <c r="D159" s="9" t="s">
        <v>644</v>
      </c>
      <c r="E159" s="9" t="s">
        <v>309</v>
      </c>
      <c r="F159" s="9" t="s">
        <v>309</v>
      </c>
      <c r="G159" s="9" t="s">
        <v>309</v>
      </c>
      <c r="H159" s="12" t="s">
        <v>28</v>
      </c>
      <c r="I159" s="12">
        <v>599</v>
      </c>
      <c r="J159" s="11">
        <v>232.37</v>
      </c>
      <c r="K159" s="62">
        <v>0</v>
      </c>
      <c r="L159" s="12">
        <v>0</v>
      </c>
      <c r="M159" s="13" t="s">
        <v>467</v>
      </c>
      <c r="N159" s="13" t="s">
        <v>656</v>
      </c>
      <c r="O159" s="27" t="s">
        <v>29</v>
      </c>
      <c r="P159" s="12">
        <v>0</v>
      </c>
      <c r="Q159" s="12">
        <v>5</v>
      </c>
      <c r="R159" s="12">
        <v>11</v>
      </c>
      <c r="S159" s="12">
        <v>8</v>
      </c>
      <c r="T159" s="12">
        <v>10</v>
      </c>
      <c r="U159" s="12">
        <v>9</v>
      </c>
      <c r="V159" s="12">
        <v>14</v>
      </c>
      <c r="W159" s="12">
        <v>4</v>
      </c>
      <c r="X159" s="12">
        <v>2</v>
      </c>
      <c r="Y159" s="12">
        <v>4</v>
      </c>
      <c r="Z159" s="12">
        <v>5</v>
      </c>
      <c r="AA159" s="12">
        <v>5</v>
      </c>
      <c r="AB159" s="12">
        <v>3</v>
      </c>
      <c r="AC159" s="12">
        <v>3</v>
      </c>
      <c r="AD159" s="12">
        <v>3</v>
      </c>
      <c r="AE159" s="12">
        <v>2</v>
      </c>
      <c r="AF159" s="12">
        <v>1</v>
      </c>
      <c r="AG159" s="12">
        <v>2</v>
      </c>
      <c r="AH159" s="12">
        <v>0</v>
      </c>
      <c r="AI159" s="12">
        <v>0</v>
      </c>
      <c r="AJ159" s="12">
        <v>0</v>
      </c>
      <c r="AK159" s="12">
        <v>0</v>
      </c>
      <c r="AL159" s="12">
        <v>0</v>
      </c>
      <c r="AM159" s="12">
        <v>0</v>
      </c>
      <c r="AN159" s="12">
        <v>0</v>
      </c>
      <c r="AO159" s="12">
        <v>0</v>
      </c>
      <c r="AP159" s="12">
        <v>0</v>
      </c>
      <c r="AQ159" s="12">
        <v>0</v>
      </c>
      <c r="AR159" s="12">
        <v>0</v>
      </c>
      <c r="AS159" s="12">
        <v>0</v>
      </c>
      <c r="AT159" s="12">
        <v>0</v>
      </c>
      <c r="AU159" s="12">
        <v>1</v>
      </c>
      <c r="AV159" s="12">
        <v>0</v>
      </c>
      <c r="AW159" s="12">
        <v>1</v>
      </c>
      <c r="AX159" s="12">
        <v>0</v>
      </c>
      <c r="AY159" s="12">
        <v>0</v>
      </c>
      <c r="AZ159" s="12">
        <v>0</v>
      </c>
      <c r="BA159" s="12">
        <v>1</v>
      </c>
      <c r="BB159" s="12">
        <v>0</v>
      </c>
      <c r="BC159" s="12">
        <v>0</v>
      </c>
      <c r="BD159" s="12">
        <v>0</v>
      </c>
      <c r="BE159" s="12">
        <v>0</v>
      </c>
      <c r="BF159" s="12">
        <v>0</v>
      </c>
      <c r="BG159" s="12">
        <v>0</v>
      </c>
      <c r="BH159" s="12">
        <v>0</v>
      </c>
      <c r="BI159" s="12">
        <v>0</v>
      </c>
      <c r="BJ159" s="12">
        <v>0</v>
      </c>
      <c r="BK159" s="12">
        <v>0</v>
      </c>
      <c r="BL159" s="12">
        <v>0</v>
      </c>
      <c r="BM159" s="12">
        <v>0</v>
      </c>
      <c r="BN159" s="12">
        <v>0</v>
      </c>
      <c r="BO159" s="12">
        <v>0</v>
      </c>
      <c r="BP159" s="12">
        <v>0</v>
      </c>
      <c r="BQ159" s="12">
        <v>0</v>
      </c>
      <c r="BR159" s="12">
        <v>0</v>
      </c>
      <c r="BS159" s="12">
        <v>0</v>
      </c>
      <c r="BT159" s="12">
        <v>0</v>
      </c>
      <c r="BU159" s="12">
        <v>0</v>
      </c>
      <c r="BV159" s="12">
        <v>0</v>
      </c>
      <c r="BW159" s="12">
        <v>0</v>
      </c>
      <c r="BX159" s="12">
        <v>0</v>
      </c>
      <c r="BY159" s="12">
        <v>0</v>
      </c>
      <c r="BZ159" s="12">
        <v>0</v>
      </c>
      <c r="CA159" s="12">
        <v>0</v>
      </c>
      <c r="CB159" s="12">
        <v>0</v>
      </c>
      <c r="CC159" s="12">
        <v>0</v>
      </c>
      <c r="CD159" s="12">
        <v>0</v>
      </c>
      <c r="CE159" s="12">
        <v>0</v>
      </c>
      <c r="CF159" s="12">
        <v>0</v>
      </c>
      <c r="CG159" s="12">
        <v>0</v>
      </c>
      <c r="CH159" s="12">
        <v>0</v>
      </c>
      <c r="CI159" s="12">
        <v>0</v>
      </c>
      <c r="CJ159" s="12">
        <v>0</v>
      </c>
      <c r="CK159" s="12">
        <v>0</v>
      </c>
      <c r="CL159" s="12">
        <v>0</v>
      </c>
      <c r="CM159" s="12">
        <v>0</v>
      </c>
      <c r="CN159" s="12">
        <v>0</v>
      </c>
      <c r="CO159" s="12">
        <v>0</v>
      </c>
      <c r="CP159" s="12">
        <v>0</v>
      </c>
      <c r="CQ159" s="12">
        <v>0</v>
      </c>
      <c r="CR159" s="12">
        <v>0</v>
      </c>
      <c r="CS159" s="12">
        <v>0</v>
      </c>
      <c r="CT159" s="12">
        <v>0</v>
      </c>
      <c r="CU159" s="12">
        <v>0</v>
      </c>
      <c r="CV159" s="12">
        <v>0</v>
      </c>
      <c r="CW159" s="12">
        <v>0</v>
      </c>
      <c r="CX159" s="12">
        <v>0</v>
      </c>
      <c r="CY159" s="12">
        <v>0</v>
      </c>
      <c r="CZ159" s="12">
        <v>0</v>
      </c>
      <c r="DA159" s="12">
        <v>0</v>
      </c>
      <c r="DB159" s="12">
        <v>0</v>
      </c>
      <c r="DC159" s="12">
        <v>0</v>
      </c>
      <c r="DD159" s="12">
        <v>0</v>
      </c>
      <c r="DE159" s="12">
        <v>0</v>
      </c>
      <c r="DF159" s="12">
        <v>0</v>
      </c>
      <c r="DG159" s="12">
        <v>0</v>
      </c>
      <c r="DH159" s="12">
        <v>0</v>
      </c>
      <c r="DI159" s="12">
        <v>0</v>
      </c>
      <c r="DJ159" s="12">
        <v>0</v>
      </c>
      <c r="DK159" s="12">
        <v>0</v>
      </c>
      <c r="DL159" s="12">
        <v>0</v>
      </c>
      <c r="DM159" s="12">
        <v>0</v>
      </c>
      <c r="DN159" s="12">
        <v>0</v>
      </c>
      <c r="DO159" s="12">
        <v>0</v>
      </c>
      <c r="DP159" s="12">
        <v>0</v>
      </c>
      <c r="DQ159" s="12">
        <v>0</v>
      </c>
      <c r="DR159" s="12">
        <v>0</v>
      </c>
      <c r="DS159" s="12">
        <v>0</v>
      </c>
      <c r="DT159" s="12">
        <v>0</v>
      </c>
      <c r="DU159" s="12">
        <v>0</v>
      </c>
      <c r="DV159" s="12">
        <v>0</v>
      </c>
      <c r="DW159" s="12">
        <v>0</v>
      </c>
      <c r="DX159" s="12">
        <v>0</v>
      </c>
      <c r="DY159" s="12">
        <v>0</v>
      </c>
      <c r="DZ159" s="12">
        <v>0</v>
      </c>
      <c r="EA159" s="12">
        <v>0</v>
      </c>
      <c r="EB159" s="12">
        <v>0</v>
      </c>
      <c r="EC159" s="12">
        <v>0</v>
      </c>
      <c r="ED159" s="12">
        <v>0</v>
      </c>
      <c r="EE159" s="12">
        <v>0</v>
      </c>
      <c r="EF159" s="12">
        <v>0</v>
      </c>
      <c r="EG159" s="12">
        <v>0</v>
      </c>
      <c r="EH159" s="12">
        <v>0</v>
      </c>
      <c r="EI159" s="12">
        <v>0</v>
      </c>
      <c r="EJ159" s="12">
        <v>0</v>
      </c>
      <c r="EK159" s="12">
        <v>0</v>
      </c>
      <c r="EL159" s="12">
        <v>0</v>
      </c>
      <c r="EM159" s="12">
        <v>0</v>
      </c>
      <c r="EN159" s="12">
        <v>0</v>
      </c>
      <c r="EO159" s="12">
        <v>0</v>
      </c>
      <c r="EP159" s="12" t="str">
        <f t="shared" si="41"/>
        <v>🔴 Sin venta</v>
      </c>
      <c r="EQ159" s="23">
        <f t="shared" si="35"/>
        <v>0</v>
      </c>
      <c r="ER159" s="19">
        <f t="shared" si="34"/>
        <v>0</v>
      </c>
      <c r="ES159" s="12">
        <f t="shared" si="33"/>
        <v>0</v>
      </c>
      <c r="ET159" s="23">
        <f t="shared" si="38"/>
        <v>0</v>
      </c>
      <c r="EU159" s="23">
        <f t="shared" si="39"/>
        <v>0</v>
      </c>
      <c r="EV159" s="23">
        <f t="shared" si="40"/>
        <v>0</v>
      </c>
      <c r="EW159" s="23"/>
      <c r="EX159" s="12">
        <v>1</v>
      </c>
      <c r="EY159" s="19" cm="1">
        <f t="array" ref="EY159:FC159">VLOOKUP(_xlfn.SINGLE(B:B),'[1]Price List'!$B:$N,{8,4,5,6,7},0)</f>
        <v>232.37</v>
      </c>
      <c r="EZ159" s="9" t="str">
        <v>Speck iPhone 11 Gemshell (Clear/Clear)</v>
      </c>
      <c r="FA159" s="12" t="str">
        <v>Cases iPhone</v>
      </c>
      <c r="FB159" s="12" t="str">
        <v>iPhone 11</v>
      </c>
      <c r="FC159" s="12" t="str">
        <v>iPhone 11</v>
      </c>
      <c r="FD159" s="23" t="str">
        <f>_xlfn.XLOOKUP(B:B,'[1]Price List'!$B:$B,'[1]Price List'!$A:$A)</f>
        <v>Speck</v>
      </c>
    </row>
    <row r="160" spans="1:160" s="9" customFormat="1" x14ac:dyDescent="0.2">
      <c r="A160" s="23" t="s">
        <v>599</v>
      </c>
      <c r="B160" s="23">
        <v>840168515974</v>
      </c>
      <c r="C160" s="9" t="s">
        <v>151</v>
      </c>
      <c r="D160" s="9" t="s">
        <v>644</v>
      </c>
      <c r="E160" s="9" t="s">
        <v>321</v>
      </c>
      <c r="F160" s="9" t="s">
        <v>631</v>
      </c>
      <c r="G160" s="9" t="s">
        <v>311</v>
      </c>
      <c r="H160" s="12" t="s">
        <v>152</v>
      </c>
      <c r="I160" s="11">
        <v>1249</v>
      </c>
      <c r="J160" s="11">
        <v>538.37</v>
      </c>
      <c r="K160" s="62">
        <v>0.2</v>
      </c>
      <c r="L160" s="19">
        <f t="shared" ref="L160:L166" si="43">I160*(1-K160)</f>
        <v>999.2</v>
      </c>
      <c r="M160" s="13" t="s">
        <v>467</v>
      </c>
      <c r="N160" s="13" t="s">
        <v>475</v>
      </c>
      <c r="O160" s="27">
        <v>44565</v>
      </c>
      <c r="P160" s="12">
        <v>3</v>
      </c>
      <c r="Q160" s="12">
        <v>1</v>
      </c>
      <c r="R160" s="12">
        <v>5</v>
      </c>
      <c r="S160" s="12">
        <v>2</v>
      </c>
      <c r="T160" s="12">
        <v>3</v>
      </c>
      <c r="U160" s="12">
        <v>1</v>
      </c>
      <c r="V160" s="12">
        <v>0</v>
      </c>
      <c r="W160" s="12">
        <v>2</v>
      </c>
      <c r="X160" s="12">
        <v>0</v>
      </c>
      <c r="Y160" s="12">
        <v>1</v>
      </c>
      <c r="Z160" s="12">
        <v>1</v>
      </c>
      <c r="AA160" s="12">
        <v>1</v>
      </c>
      <c r="AB160" s="12">
        <v>1</v>
      </c>
      <c r="AC160" s="12">
        <v>2</v>
      </c>
      <c r="AD160" s="12">
        <v>2</v>
      </c>
      <c r="AE160" s="12">
        <v>0</v>
      </c>
      <c r="AF160" s="12">
        <v>2</v>
      </c>
      <c r="AG160" s="12">
        <v>4</v>
      </c>
      <c r="AH160" s="12">
        <v>2</v>
      </c>
      <c r="AI160" s="12">
        <v>2</v>
      </c>
      <c r="AJ160" s="12">
        <v>1</v>
      </c>
      <c r="AK160" s="12">
        <v>0</v>
      </c>
      <c r="AL160" s="12">
        <v>0</v>
      </c>
      <c r="AM160" s="12">
        <v>1</v>
      </c>
      <c r="AN160" s="12">
        <v>1</v>
      </c>
      <c r="AO160" s="12">
        <v>0</v>
      </c>
      <c r="AP160" s="12">
        <v>1</v>
      </c>
      <c r="AQ160" s="12">
        <v>0</v>
      </c>
      <c r="AR160" s="12">
        <v>0</v>
      </c>
      <c r="AS160" s="12">
        <v>0</v>
      </c>
      <c r="AT160" s="12">
        <v>0</v>
      </c>
      <c r="AU160" s="12">
        <v>0</v>
      </c>
      <c r="AV160" s="12">
        <v>0</v>
      </c>
      <c r="AW160" s="12">
        <v>1</v>
      </c>
      <c r="AX160" s="12">
        <v>0</v>
      </c>
      <c r="AY160" s="12">
        <v>2</v>
      </c>
      <c r="AZ160" s="12">
        <v>2</v>
      </c>
      <c r="BA160" s="12">
        <v>0</v>
      </c>
      <c r="BB160" s="12">
        <v>0</v>
      </c>
      <c r="BC160" s="12">
        <v>1</v>
      </c>
      <c r="BD160" s="12">
        <v>0</v>
      </c>
      <c r="BE160" s="12">
        <v>2</v>
      </c>
      <c r="BF160" s="12">
        <v>0</v>
      </c>
      <c r="BG160" s="12">
        <v>0</v>
      </c>
      <c r="BH160" s="12">
        <v>0</v>
      </c>
      <c r="BI160" s="12">
        <v>0</v>
      </c>
      <c r="BJ160" s="12">
        <v>0</v>
      </c>
      <c r="BK160" s="12">
        <v>0</v>
      </c>
      <c r="BL160" s="12">
        <v>0</v>
      </c>
      <c r="BM160" s="12">
        <v>1</v>
      </c>
      <c r="BN160" s="12">
        <v>0</v>
      </c>
      <c r="BO160" s="12">
        <v>2</v>
      </c>
      <c r="BP160" s="12">
        <v>0</v>
      </c>
      <c r="BQ160" s="12">
        <v>0</v>
      </c>
      <c r="BR160" s="12">
        <v>1</v>
      </c>
      <c r="BS160" s="12">
        <v>0</v>
      </c>
      <c r="BT160" s="12">
        <v>0</v>
      </c>
      <c r="BU160" s="12">
        <v>0</v>
      </c>
      <c r="BV160" s="12">
        <v>0</v>
      </c>
      <c r="BW160" s="12">
        <v>0</v>
      </c>
      <c r="BX160" s="12">
        <v>0</v>
      </c>
      <c r="BY160" s="12">
        <v>0</v>
      </c>
      <c r="BZ160" s="12">
        <v>0</v>
      </c>
      <c r="CA160" s="12">
        <v>0</v>
      </c>
      <c r="CB160" s="12">
        <v>0</v>
      </c>
      <c r="CC160" s="12">
        <v>0</v>
      </c>
      <c r="CD160" s="12">
        <v>1</v>
      </c>
      <c r="CE160" s="12">
        <v>1</v>
      </c>
      <c r="CF160" s="12">
        <v>0</v>
      </c>
      <c r="CG160" s="12">
        <v>1</v>
      </c>
      <c r="CH160" s="12">
        <v>0</v>
      </c>
      <c r="CI160" s="12">
        <v>0</v>
      </c>
      <c r="CJ160" s="12">
        <v>0</v>
      </c>
      <c r="CK160" s="12">
        <v>0</v>
      </c>
      <c r="CL160" s="12">
        <v>0</v>
      </c>
      <c r="CM160" s="12">
        <v>1</v>
      </c>
      <c r="CN160" s="12">
        <v>0</v>
      </c>
      <c r="CO160" s="12">
        <v>1</v>
      </c>
      <c r="CP160" s="12">
        <v>0</v>
      </c>
      <c r="CQ160" s="12">
        <v>0</v>
      </c>
      <c r="CR160" s="12">
        <v>0</v>
      </c>
      <c r="CS160" s="12">
        <v>0</v>
      </c>
      <c r="CT160" s="12">
        <v>0</v>
      </c>
      <c r="CU160" s="12">
        <v>0</v>
      </c>
      <c r="CV160" s="12">
        <v>0</v>
      </c>
      <c r="CW160" s="12">
        <v>0</v>
      </c>
      <c r="CX160" s="12">
        <v>0</v>
      </c>
      <c r="CY160" s="12">
        <v>0</v>
      </c>
      <c r="CZ160" s="12">
        <v>0</v>
      </c>
      <c r="DA160" s="12">
        <v>0</v>
      </c>
      <c r="DB160" s="12">
        <v>0</v>
      </c>
      <c r="DC160" s="12">
        <v>0</v>
      </c>
      <c r="DD160" s="12">
        <v>0</v>
      </c>
      <c r="DE160" s="12">
        <v>1</v>
      </c>
      <c r="DF160" s="12">
        <v>0</v>
      </c>
      <c r="DG160" s="12">
        <v>0</v>
      </c>
      <c r="DH160" s="12">
        <v>0</v>
      </c>
      <c r="DI160" s="12">
        <v>0</v>
      </c>
      <c r="DJ160" s="12">
        <v>0</v>
      </c>
      <c r="DK160" s="12">
        <v>0</v>
      </c>
      <c r="DL160" s="12">
        <v>0</v>
      </c>
      <c r="DM160" s="12">
        <v>0</v>
      </c>
      <c r="DN160" s="12">
        <v>0</v>
      </c>
      <c r="DO160" s="12">
        <v>0</v>
      </c>
      <c r="DP160" s="12">
        <v>0</v>
      </c>
      <c r="DQ160" s="12">
        <v>0</v>
      </c>
      <c r="DR160" s="12">
        <v>0</v>
      </c>
      <c r="DS160" s="12">
        <v>0</v>
      </c>
      <c r="DT160" s="12">
        <v>0</v>
      </c>
      <c r="DU160" s="12">
        <v>0</v>
      </c>
      <c r="DV160" s="12">
        <v>0</v>
      </c>
      <c r="DW160" s="12">
        <v>0</v>
      </c>
      <c r="DX160" s="12">
        <v>0</v>
      </c>
      <c r="DY160" s="12">
        <v>0</v>
      </c>
      <c r="DZ160" s="12">
        <v>0</v>
      </c>
      <c r="EA160" s="12">
        <v>0</v>
      </c>
      <c r="EB160" s="12">
        <v>0</v>
      </c>
      <c r="EC160" s="12">
        <v>0</v>
      </c>
      <c r="ED160" s="12">
        <v>0</v>
      </c>
      <c r="EE160" s="12">
        <v>0</v>
      </c>
      <c r="EF160" s="12">
        <v>0</v>
      </c>
      <c r="EG160" s="12">
        <v>0</v>
      </c>
      <c r="EH160" s="12">
        <v>0</v>
      </c>
      <c r="EI160" s="12">
        <v>0</v>
      </c>
      <c r="EJ160" s="12">
        <v>0</v>
      </c>
      <c r="EK160" s="12">
        <v>0</v>
      </c>
      <c r="EL160" s="12">
        <v>0</v>
      </c>
      <c r="EM160" s="12">
        <v>0</v>
      </c>
      <c r="EN160" s="12">
        <v>0</v>
      </c>
      <c r="EO160" s="12">
        <v>0</v>
      </c>
      <c r="EP160" s="12" t="str">
        <f t="shared" si="41"/>
        <v>🔴 Sin venta</v>
      </c>
      <c r="EQ160" s="23">
        <f t="shared" si="35"/>
        <v>0</v>
      </c>
      <c r="ER160" s="19">
        <f t="shared" si="34"/>
        <v>0</v>
      </c>
      <c r="ES160" s="12">
        <f t="shared" si="33"/>
        <v>0</v>
      </c>
      <c r="ET160" s="23">
        <f t="shared" si="38"/>
        <v>0.5</v>
      </c>
      <c r="EU160" s="23">
        <f t="shared" si="39"/>
        <v>0</v>
      </c>
      <c r="EV160" s="23">
        <f t="shared" si="40"/>
        <v>0</v>
      </c>
      <c r="EW160" s="23"/>
      <c r="EX160" s="12">
        <v>4</v>
      </c>
      <c r="EY160" s="19" cm="1">
        <f t="array" ref="EY160:FC160">VLOOKUP(_xlfn.SINGLE(B:B),'[1]Price List'!$B:$N,{8,4,5,6,7},0)</f>
        <v>538.37</v>
      </c>
      <c r="EZ160" s="9" t="str">
        <v>Speck Smartshell Case with Microban for Macbook Pro 16" M1 Pro/M1 Max - Onix Black</v>
      </c>
      <c r="FA160" s="12" t="str">
        <v>Cases Macbook</v>
      </c>
      <c r="FB160" s="12" t="str">
        <v>Macbook</v>
      </c>
      <c r="FC160" s="12" t="str">
        <v>MacBook Pro 16" Touch Bar Cases</v>
      </c>
      <c r="FD160" s="23" t="str">
        <f>_xlfn.XLOOKUP(B:B,'[1]Price List'!$B:$B,'[1]Price List'!$A:$A)</f>
        <v>Speck</v>
      </c>
    </row>
    <row r="161" spans="1:160" s="9" customFormat="1" x14ac:dyDescent="0.2">
      <c r="A161" s="23" t="s">
        <v>599</v>
      </c>
      <c r="B161" s="23">
        <v>840168515981</v>
      </c>
      <c r="C161" s="9" t="s">
        <v>155</v>
      </c>
      <c r="D161" s="9" t="s">
        <v>644</v>
      </c>
      <c r="E161" s="9" t="s">
        <v>321</v>
      </c>
      <c r="F161" s="9" t="s">
        <v>631</v>
      </c>
      <c r="G161" s="9" t="s">
        <v>312</v>
      </c>
      <c r="H161" s="12" t="s">
        <v>156</v>
      </c>
      <c r="I161" s="11">
        <v>1249</v>
      </c>
      <c r="J161" s="11">
        <v>538.37</v>
      </c>
      <c r="K161" s="62">
        <v>0.2</v>
      </c>
      <c r="L161" s="19">
        <f t="shared" si="43"/>
        <v>999.2</v>
      </c>
      <c r="M161" s="13" t="s">
        <v>467</v>
      </c>
      <c r="N161" s="13" t="s">
        <v>475</v>
      </c>
      <c r="O161" s="27">
        <v>44565</v>
      </c>
      <c r="P161" s="12">
        <v>2</v>
      </c>
      <c r="Q161" s="12">
        <v>1</v>
      </c>
      <c r="R161" s="12">
        <v>1</v>
      </c>
      <c r="S161" s="12">
        <v>2</v>
      </c>
      <c r="T161" s="12">
        <v>3</v>
      </c>
      <c r="U161" s="12">
        <v>0</v>
      </c>
      <c r="V161" s="12">
        <v>0</v>
      </c>
      <c r="W161" s="12">
        <v>1</v>
      </c>
      <c r="X161" s="12">
        <v>0</v>
      </c>
      <c r="Y161" s="12">
        <v>0</v>
      </c>
      <c r="Z161" s="12">
        <v>2</v>
      </c>
      <c r="AA161" s="12">
        <v>1</v>
      </c>
      <c r="AB161" s="12">
        <v>1</v>
      </c>
      <c r="AC161" s="12">
        <v>0</v>
      </c>
      <c r="AD161" s="12">
        <v>0</v>
      </c>
      <c r="AE161" s="12">
        <v>1</v>
      </c>
      <c r="AF161" s="12">
        <v>0</v>
      </c>
      <c r="AG161" s="12">
        <v>1</v>
      </c>
      <c r="AH161" s="12">
        <v>0</v>
      </c>
      <c r="AI161" s="12">
        <v>2</v>
      </c>
      <c r="AJ161" s="12">
        <v>4</v>
      </c>
      <c r="AK161" s="12">
        <v>2</v>
      </c>
      <c r="AL161" s="12">
        <v>0</v>
      </c>
      <c r="AM161" s="12">
        <v>1</v>
      </c>
      <c r="AN161" s="12">
        <v>2</v>
      </c>
      <c r="AO161" s="12">
        <v>0</v>
      </c>
      <c r="AP161" s="12">
        <v>2</v>
      </c>
      <c r="AQ161" s="12">
        <v>2</v>
      </c>
      <c r="AR161" s="12">
        <v>0</v>
      </c>
      <c r="AS161" s="12">
        <v>0</v>
      </c>
      <c r="AT161" s="12">
        <v>2</v>
      </c>
      <c r="AU161" s="12">
        <v>1</v>
      </c>
      <c r="AV161" s="12">
        <v>0</v>
      </c>
      <c r="AW161" s="12">
        <v>6</v>
      </c>
      <c r="AX161" s="12">
        <v>2</v>
      </c>
      <c r="AY161" s="12">
        <v>3</v>
      </c>
      <c r="AZ161" s="12">
        <v>1</v>
      </c>
      <c r="BA161" s="12">
        <v>2</v>
      </c>
      <c r="BB161" s="12">
        <v>4</v>
      </c>
      <c r="BC161" s="12">
        <v>1</v>
      </c>
      <c r="BD161" s="12">
        <v>0</v>
      </c>
      <c r="BE161" s="12">
        <v>1</v>
      </c>
      <c r="BF161" s="12">
        <v>1</v>
      </c>
      <c r="BG161" s="12">
        <v>0</v>
      </c>
      <c r="BH161" s="12">
        <v>0</v>
      </c>
      <c r="BI161" s="12">
        <v>0</v>
      </c>
      <c r="BJ161" s="12">
        <v>1</v>
      </c>
      <c r="BK161" s="12">
        <v>1</v>
      </c>
      <c r="BL161" s="12">
        <v>1</v>
      </c>
      <c r="BM161" s="12">
        <v>3</v>
      </c>
      <c r="BN161" s="12">
        <v>0</v>
      </c>
      <c r="BO161" s="12">
        <v>1</v>
      </c>
      <c r="BP161" s="12">
        <v>0</v>
      </c>
      <c r="BQ161" s="12">
        <v>0</v>
      </c>
      <c r="BR161" s="12">
        <v>0</v>
      </c>
      <c r="BS161" s="12">
        <v>0</v>
      </c>
      <c r="BT161" s="12">
        <v>0</v>
      </c>
      <c r="BU161" s="12">
        <v>0</v>
      </c>
      <c r="BV161" s="12">
        <v>0</v>
      </c>
      <c r="BW161" s="12">
        <v>0</v>
      </c>
      <c r="BX161" s="12">
        <v>0</v>
      </c>
      <c r="BY161" s="12">
        <v>0</v>
      </c>
      <c r="BZ161" s="12">
        <v>0</v>
      </c>
      <c r="CA161" s="12">
        <v>1</v>
      </c>
      <c r="CB161" s="12">
        <v>0</v>
      </c>
      <c r="CC161" s="12">
        <v>1</v>
      </c>
      <c r="CD161" s="12">
        <v>0</v>
      </c>
      <c r="CE161" s="12">
        <v>0</v>
      </c>
      <c r="CF161" s="12">
        <v>1</v>
      </c>
      <c r="CG161" s="12">
        <v>0</v>
      </c>
      <c r="CH161" s="12">
        <v>2</v>
      </c>
      <c r="CI161" s="12">
        <v>2</v>
      </c>
      <c r="CJ161" s="12">
        <v>1</v>
      </c>
      <c r="CK161" s="12">
        <v>0</v>
      </c>
      <c r="CL161" s="12">
        <v>0</v>
      </c>
      <c r="CM161" s="12">
        <v>0</v>
      </c>
      <c r="CN161" s="12">
        <v>0</v>
      </c>
      <c r="CO161" s="12">
        <v>1</v>
      </c>
      <c r="CP161" s="12">
        <v>0</v>
      </c>
      <c r="CQ161" s="12">
        <v>0</v>
      </c>
      <c r="CR161" s="12">
        <v>0</v>
      </c>
      <c r="CS161" s="12">
        <v>0</v>
      </c>
      <c r="CT161" s="12">
        <v>1</v>
      </c>
      <c r="CU161" s="12">
        <v>0</v>
      </c>
      <c r="CV161" s="12">
        <v>0</v>
      </c>
      <c r="CW161" s="12">
        <v>0</v>
      </c>
      <c r="CX161" s="12">
        <v>0</v>
      </c>
      <c r="CY161" s="12">
        <v>0</v>
      </c>
      <c r="CZ161" s="12">
        <v>3</v>
      </c>
      <c r="DA161" s="12">
        <v>-1</v>
      </c>
      <c r="DB161" s="12">
        <v>1</v>
      </c>
      <c r="DC161" s="12">
        <v>0</v>
      </c>
      <c r="DD161" s="12">
        <v>0</v>
      </c>
      <c r="DE161" s="12">
        <v>0</v>
      </c>
      <c r="DF161" s="12">
        <v>0</v>
      </c>
      <c r="DG161" s="12">
        <v>0</v>
      </c>
      <c r="DH161" s="12">
        <v>2</v>
      </c>
      <c r="DI161" s="12">
        <v>0</v>
      </c>
      <c r="DJ161" s="12">
        <v>0</v>
      </c>
      <c r="DK161" s="12">
        <v>1</v>
      </c>
      <c r="DL161" s="12">
        <v>0</v>
      </c>
      <c r="DM161" s="12">
        <v>0</v>
      </c>
      <c r="DN161" s="12">
        <v>0</v>
      </c>
      <c r="DO161" s="12">
        <v>0</v>
      </c>
      <c r="DP161" s="12">
        <v>0</v>
      </c>
      <c r="DQ161" s="12">
        <v>0</v>
      </c>
      <c r="DR161" s="12">
        <v>0</v>
      </c>
      <c r="DS161" s="12">
        <v>0</v>
      </c>
      <c r="DT161" s="12">
        <v>1</v>
      </c>
      <c r="DU161" s="12">
        <v>0</v>
      </c>
      <c r="DV161" s="12">
        <v>2</v>
      </c>
      <c r="DW161" s="12">
        <v>1</v>
      </c>
      <c r="DX161" s="12">
        <v>0</v>
      </c>
      <c r="DY161" s="12">
        <v>3</v>
      </c>
      <c r="DZ161" s="12">
        <v>0</v>
      </c>
      <c r="EA161" s="12">
        <v>0</v>
      </c>
      <c r="EB161" s="12">
        <v>0</v>
      </c>
      <c r="EC161" s="12">
        <v>0</v>
      </c>
      <c r="ED161" s="12">
        <v>0</v>
      </c>
      <c r="EE161" s="12">
        <v>0</v>
      </c>
      <c r="EF161" s="12">
        <v>1</v>
      </c>
      <c r="EG161" s="12">
        <v>0</v>
      </c>
      <c r="EH161" s="12">
        <v>1</v>
      </c>
      <c r="EI161" s="12">
        <v>0</v>
      </c>
      <c r="EJ161" s="12">
        <v>0</v>
      </c>
      <c r="EK161" s="12">
        <v>0</v>
      </c>
      <c r="EL161" s="12">
        <v>0</v>
      </c>
      <c r="EM161" s="12">
        <v>0</v>
      </c>
      <c r="EN161" s="12">
        <v>0</v>
      </c>
      <c r="EO161" s="12">
        <v>1</v>
      </c>
      <c r="EP161" s="12" t="str">
        <f t="shared" si="41"/>
        <v>🔴 Sin venta</v>
      </c>
      <c r="EQ161" s="23">
        <f t="shared" si="35"/>
        <v>0.375</v>
      </c>
      <c r="ER161" s="19">
        <f t="shared" si="34"/>
        <v>5383.7</v>
      </c>
      <c r="ES161" s="12">
        <f t="shared" si="33"/>
        <v>10</v>
      </c>
      <c r="ET161" s="23">
        <f t="shared" si="38"/>
        <v>1.5</v>
      </c>
      <c r="EU161" s="23">
        <f t="shared" si="39"/>
        <v>1.5</v>
      </c>
      <c r="EV161" s="23">
        <f t="shared" si="40"/>
        <v>1.87</v>
      </c>
      <c r="EW161" s="23"/>
      <c r="EX161" s="12">
        <v>43</v>
      </c>
      <c r="EY161" s="19" cm="1">
        <f t="array" ref="EY161:FC161">VLOOKUP(_xlfn.SINGLE(B:B),'[1]Price List'!$B:$N,{8,4,5,6,7},0)</f>
        <v>538.37</v>
      </c>
      <c r="EZ161" s="9" t="str">
        <v>Speck Smartshell Case with Microban for MacBook Pro 16" M1/M2 - Swell Blue</v>
      </c>
      <c r="FA161" s="12" t="str">
        <v>Cases Macbook</v>
      </c>
      <c r="FB161" s="12" t="str">
        <v>Macbook</v>
      </c>
      <c r="FC161" s="12" t="str">
        <v>MacBook Pro 16" M1/M2 Cases</v>
      </c>
      <c r="FD161" s="23" t="str">
        <f>_xlfn.XLOOKUP(B:B,'[1]Price List'!$B:$B,'[1]Price List'!$A:$A)</f>
        <v>Speck</v>
      </c>
    </row>
    <row r="162" spans="1:160" s="9" customFormat="1" x14ac:dyDescent="0.2">
      <c r="A162" s="23" t="s">
        <v>599</v>
      </c>
      <c r="B162" s="23">
        <v>840168515998</v>
      </c>
      <c r="C162" s="9" t="s">
        <v>157</v>
      </c>
      <c r="D162" s="9" t="s">
        <v>644</v>
      </c>
      <c r="E162" s="9" t="s">
        <v>321</v>
      </c>
      <c r="F162" s="9" t="s">
        <v>631</v>
      </c>
      <c r="G162" s="9" t="s">
        <v>311</v>
      </c>
      <c r="H162" s="12" t="s">
        <v>158</v>
      </c>
      <c r="I162" s="11">
        <v>1249</v>
      </c>
      <c r="J162" s="11">
        <v>538.37</v>
      </c>
      <c r="K162" s="62">
        <v>0.2</v>
      </c>
      <c r="L162" s="19">
        <f t="shared" si="43"/>
        <v>999.2</v>
      </c>
      <c r="M162" s="13" t="s">
        <v>467</v>
      </c>
      <c r="N162" s="13" t="s">
        <v>475</v>
      </c>
      <c r="O162" s="27">
        <v>44565</v>
      </c>
      <c r="P162" s="12">
        <v>1</v>
      </c>
      <c r="Q162" s="12">
        <v>2</v>
      </c>
      <c r="R162" s="12">
        <v>0</v>
      </c>
      <c r="S162" s="12">
        <v>0</v>
      </c>
      <c r="T162" s="12">
        <v>0</v>
      </c>
      <c r="U162" s="12">
        <v>0</v>
      </c>
      <c r="V162" s="12">
        <v>1</v>
      </c>
      <c r="W162" s="12">
        <v>0</v>
      </c>
      <c r="X162" s="12">
        <v>0</v>
      </c>
      <c r="Y162" s="12">
        <v>1</v>
      </c>
      <c r="Z162" s="12">
        <v>0</v>
      </c>
      <c r="AA162" s="12">
        <v>0</v>
      </c>
      <c r="AB162" s="12">
        <v>0</v>
      </c>
      <c r="AC162" s="12">
        <v>0</v>
      </c>
      <c r="AD162" s="12">
        <v>0</v>
      </c>
      <c r="AE162" s="12">
        <v>1</v>
      </c>
      <c r="AF162" s="12">
        <v>1</v>
      </c>
      <c r="AG162" s="12">
        <v>1</v>
      </c>
      <c r="AH162" s="12">
        <v>1</v>
      </c>
      <c r="AI162" s="12">
        <v>0</v>
      </c>
      <c r="AJ162" s="12">
        <v>0</v>
      </c>
      <c r="AK162" s="12">
        <v>0</v>
      </c>
      <c r="AL162" s="12">
        <v>0</v>
      </c>
      <c r="AM162" s="12">
        <v>2</v>
      </c>
      <c r="AN162" s="12">
        <v>0</v>
      </c>
      <c r="AO162" s="12">
        <v>0</v>
      </c>
      <c r="AP162" s="12">
        <v>0</v>
      </c>
      <c r="AQ162" s="12">
        <v>0</v>
      </c>
      <c r="AR162" s="12">
        <v>1</v>
      </c>
      <c r="AS162" s="12">
        <v>1</v>
      </c>
      <c r="AT162" s="12">
        <v>-1</v>
      </c>
      <c r="AU162" s="12">
        <v>1</v>
      </c>
      <c r="AV162" s="12">
        <v>1</v>
      </c>
      <c r="AW162" s="12">
        <v>0</v>
      </c>
      <c r="AX162" s="12">
        <v>1</v>
      </c>
      <c r="AY162" s="12">
        <v>2</v>
      </c>
      <c r="AZ162" s="12">
        <v>0</v>
      </c>
      <c r="BA162" s="12">
        <v>2</v>
      </c>
      <c r="BB162" s="12">
        <v>2</v>
      </c>
      <c r="BC162" s="12">
        <v>0</v>
      </c>
      <c r="BD162" s="12">
        <v>0</v>
      </c>
      <c r="BE162" s="12">
        <v>2</v>
      </c>
      <c r="BF162" s="12">
        <v>0</v>
      </c>
      <c r="BG162" s="12">
        <v>0</v>
      </c>
      <c r="BH162" s="12">
        <v>0</v>
      </c>
      <c r="BI162" s="12">
        <v>0</v>
      </c>
      <c r="BJ162" s="12">
        <v>1</v>
      </c>
      <c r="BK162" s="12">
        <v>1</v>
      </c>
      <c r="BL162" s="12">
        <v>0</v>
      </c>
      <c r="BM162" s="12">
        <v>0</v>
      </c>
      <c r="BN162" s="12">
        <v>0</v>
      </c>
      <c r="BO162" s="12">
        <v>2</v>
      </c>
      <c r="BP162" s="12">
        <v>0</v>
      </c>
      <c r="BQ162" s="12">
        <v>1</v>
      </c>
      <c r="BR162" s="12">
        <v>0</v>
      </c>
      <c r="BS162" s="12">
        <v>1</v>
      </c>
      <c r="BT162" s="12">
        <v>0</v>
      </c>
      <c r="BU162" s="12">
        <v>0</v>
      </c>
      <c r="BV162" s="12">
        <v>0</v>
      </c>
      <c r="BW162" s="12">
        <v>1</v>
      </c>
      <c r="BX162" s="12">
        <v>2</v>
      </c>
      <c r="BY162" s="12">
        <v>0</v>
      </c>
      <c r="BZ162" s="12">
        <v>1</v>
      </c>
      <c r="CA162" s="12">
        <v>0</v>
      </c>
      <c r="CB162" s="12">
        <v>0</v>
      </c>
      <c r="CC162" s="12">
        <v>0</v>
      </c>
      <c r="CD162" s="12">
        <v>1</v>
      </c>
      <c r="CE162" s="12">
        <v>0</v>
      </c>
      <c r="CF162" s="12">
        <v>0</v>
      </c>
      <c r="CG162" s="12">
        <v>1</v>
      </c>
      <c r="CH162" s="12">
        <v>0</v>
      </c>
      <c r="CI162" s="12">
        <v>1</v>
      </c>
      <c r="CJ162" s="12">
        <v>0</v>
      </c>
      <c r="CK162" s="12">
        <v>0</v>
      </c>
      <c r="CL162" s="12">
        <v>1</v>
      </c>
      <c r="CM162" s="12">
        <v>0</v>
      </c>
      <c r="CN162" s="12">
        <v>0</v>
      </c>
      <c r="CO162" s="12">
        <v>0</v>
      </c>
      <c r="CP162" s="12">
        <v>1</v>
      </c>
      <c r="CQ162" s="12">
        <v>0</v>
      </c>
      <c r="CR162" s="12">
        <v>0</v>
      </c>
      <c r="CS162" s="12">
        <v>0</v>
      </c>
      <c r="CT162" s="12">
        <v>1</v>
      </c>
      <c r="CU162" s="12">
        <v>1</v>
      </c>
      <c r="CV162" s="12">
        <v>1</v>
      </c>
      <c r="CW162" s="12">
        <v>0</v>
      </c>
      <c r="CX162" s="12">
        <v>0</v>
      </c>
      <c r="CY162" s="12">
        <v>1</v>
      </c>
      <c r="CZ162" s="12">
        <v>1</v>
      </c>
      <c r="DA162" s="12">
        <v>0</v>
      </c>
      <c r="DB162" s="12">
        <v>0</v>
      </c>
      <c r="DC162" s="12">
        <v>1</v>
      </c>
      <c r="DD162" s="12">
        <v>1</v>
      </c>
      <c r="DE162" s="12">
        <v>1</v>
      </c>
      <c r="DF162" s="12">
        <v>0</v>
      </c>
      <c r="DG162" s="12">
        <v>0</v>
      </c>
      <c r="DH162" s="12">
        <v>0</v>
      </c>
      <c r="DI162" s="12">
        <v>0</v>
      </c>
      <c r="DJ162" s="12">
        <v>0</v>
      </c>
      <c r="DK162" s="12">
        <v>1</v>
      </c>
      <c r="DL162" s="12">
        <v>2</v>
      </c>
      <c r="DM162" s="12">
        <v>1</v>
      </c>
      <c r="DN162" s="12">
        <v>0</v>
      </c>
      <c r="DO162" s="12">
        <v>0</v>
      </c>
      <c r="DP162" s="12">
        <v>0</v>
      </c>
      <c r="DQ162" s="12">
        <v>0</v>
      </c>
      <c r="DR162" s="12">
        <v>0</v>
      </c>
      <c r="DS162" s="12">
        <v>1</v>
      </c>
      <c r="DT162" s="12">
        <v>0</v>
      </c>
      <c r="DU162" s="12">
        <v>1</v>
      </c>
      <c r="DV162" s="12">
        <v>2</v>
      </c>
      <c r="DW162" s="12">
        <v>0</v>
      </c>
      <c r="DX162" s="12">
        <v>0</v>
      </c>
      <c r="DY162" s="12">
        <v>0</v>
      </c>
      <c r="DZ162" s="12">
        <v>0</v>
      </c>
      <c r="EA162" s="12">
        <v>0</v>
      </c>
      <c r="EB162" s="12">
        <v>0</v>
      </c>
      <c r="EC162" s="12">
        <v>1</v>
      </c>
      <c r="ED162" s="12">
        <v>0</v>
      </c>
      <c r="EE162" s="12">
        <v>0</v>
      </c>
      <c r="EF162" s="12">
        <v>1</v>
      </c>
      <c r="EG162" s="12">
        <v>0</v>
      </c>
      <c r="EH162" s="12">
        <v>1</v>
      </c>
      <c r="EI162" s="12">
        <v>1</v>
      </c>
      <c r="EJ162" s="12">
        <v>0</v>
      </c>
      <c r="EK162" s="12">
        <v>0</v>
      </c>
      <c r="EL162" s="12">
        <v>0</v>
      </c>
      <c r="EM162" s="12">
        <v>0</v>
      </c>
      <c r="EN162" s="12">
        <v>0</v>
      </c>
      <c r="EO162" s="12">
        <v>0</v>
      </c>
      <c r="EP162" s="12" t="str">
        <f t="shared" si="41"/>
        <v>🔴 Sin venta</v>
      </c>
      <c r="EQ162" s="23">
        <f t="shared" si="35"/>
        <v>0.33333333333333331</v>
      </c>
      <c r="ER162" s="19">
        <f t="shared" si="34"/>
        <v>4306.96</v>
      </c>
      <c r="ES162" s="12">
        <f t="shared" si="33"/>
        <v>8</v>
      </c>
      <c r="ET162" s="23">
        <f t="shared" si="38"/>
        <v>2</v>
      </c>
      <c r="EU162" s="23">
        <f t="shared" si="39"/>
        <v>2</v>
      </c>
      <c r="EV162" s="23">
        <f t="shared" si="40"/>
        <v>1.33</v>
      </c>
      <c r="EW162" s="23"/>
      <c r="EX162" s="12">
        <v>77</v>
      </c>
      <c r="EY162" s="19" cm="1">
        <f t="array" ref="EY162:FC162">VLOOKUP(_xlfn.SINGLE(B:B),'[1]Price List'!$B:$N,{8,4,5,6,7},0)</f>
        <v>538.37</v>
      </c>
      <c r="EZ162" s="9" t="str">
        <v>Speck Smartshell Case with Microban for Macbook Pro 16" M1 Pro/M1 Max - Crystal Pi</v>
      </c>
      <c r="FA162" s="12" t="str">
        <v>Cases Macbook</v>
      </c>
      <c r="FB162" s="12" t="str">
        <v>Macbook</v>
      </c>
      <c r="FC162" s="12" t="str">
        <v>MacBook Pro 16" Touch Bar Cases</v>
      </c>
      <c r="FD162" s="23" t="str">
        <f>_xlfn.XLOOKUP(B:B,'[1]Price List'!$B:$B,'[1]Price List'!$A:$A)</f>
        <v>Speck</v>
      </c>
    </row>
    <row r="163" spans="1:160" s="9" customFormat="1" x14ac:dyDescent="0.2">
      <c r="A163" s="23" t="s">
        <v>599</v>
      </c>
      <c r="B163" s="23">
        <v>840168533268</v>
      </c>
      <c r="C163" s="9" t="s">
        <v>267</v>
      </c>
      <c r="D163" s="9" t="s">
        <v>644</v>
      </c>
      <c r="E163" s="9" t="s">
        <v>301</v>
      </c>
      <c r="F163" s="9" t="s">
        <v>313</v>
      </c>
      <c r="G163" s="9" t="s">
        <v>313</v>
      </c>
      <c r="H163" s="12" t="s">
        <v>268</v>
      </c>
      <c r="I163" s="12">
        <v>999</v>
      </c>
      <c r="J163" s="11">
        <v>387.54</v>
      </c>
      <c r="K163" s="62">
        <v>0.5</v>
      </c>
      <c r="L163" s="19">
        <f t="shared" si="43"/>
        <v>499.5</v>
      </c>
      <c r="M163" s="13" t="s">
        <v>467</v>
      </c>
      <c r="N163" s="13" t="s">
        <v>475</v>
      </c>
      <c r="O163" s="27" t="s">
        <v>250</v>
      </c>
      <c r="P163" s="12">
        <v>2</v>
      </c>
      <c r="Q163" s="12">
        <v>1</v>
      </c>
      <c r="R163" s="12">
        <v>3</v>
      </c>
      <c r="S163" s="12">
        <v>0</v>
      </c>
      <c r="T163" s="12">
        <v>3</v>
      </c>
      <c r="U163" s="12">
        <v>2</v>
      </c>
      <c r="V163" s="12">
        <v>13</v>
      </c>
      <c r="W163" s="12">
        <v>14</v>
      </c>
      <c r="X163" s="12">
        <v>3</v>
      </c>
      <c r="Y163" s="12">
        <v>3</v>
      </c>
      <c r="Z163" s="12">
        <v>5</v>
      </c>
      <c r="AA163" s="12">
        <v>2</v>
      </c>
      <c r="AB163" s="12">
        <v>4</v>
      </c>
      <c r="AC163" s="12">
        <v>3</v>
      </c>
      <c r="AD163" s="12">
        <v>3</v>
      </c>
      <c r="AE163" s="12">
        <v>2</v>
      </c>
      <c r="AF163" s="12">
        <v>4</v>
      </c>
      <c r="AG163" s="12">
        <v>6</v>
      </c>
      <c r="AH163" s="12">
        <v>6</v>
      </c>
      <c r="AI163" s="12">
        <v>4</v>
      </c>
      <c r="AJ163" s="12">
        <v>2</v>
      </c>
      <c r="AK163" s="12">
        <v>4</v>
      </c>
      <c r="AL163" s="12">
        <v>3</v>
      </c>
      <c r="AM163" s="12">
        <v>3</v>
      </c>
      <c r="AN163" s="12">
        <v>5</v>
      </c>
      <c r="AO163" s="12">
        <v>2</v>
      </c>
      <c r="AP163" s="12">
        <v>3</v>
      </c>
      <c r="AQ163" s="12">
        <v>8</v>
      </c>
      <c r="AR163" s="12">
        <v>2</v>
      </c>
      <c r="AS163" s="12">
        <v>4</v>
      </c>
      <c r="AT163" s="12">
        <v>1</v>
      </c>
      <c r="AU163" s="12">
        <v>0</v>
      </c>
      <c r="AV163" s="12">
        <v>1</v>
      </c>
      <c r="AW163" s="12">
        <v>6</v>
      </c>
      <c r="AX163" s="12">
        <v>6</v>
      </c>
      <c r="AY163" s="12">
        <v>4</v>
      </c>
      <c r="AZ163" s="12">
        <v>7</v>
      </c>
      <c r="BA163" s="12">
        <v>11</v>
      </c>
      <c r="BB163" s="12">
        <v>6</v>
      </c>
      <c r="BC163" s="12">
        <v>6</v>
      </c>
      <c r="BD163" s="12">
        <v>10</v>
      </c>
      <c r="BE163" s="12">
        <v>8</v>
      </c>
      <c r="BF163" s="12">
        <v>3</v>
      </c>
      <c r="BG163" s="12">
        <v>1</v>
      </c>
      <c r="BH163" s="12">
        <v>1</v>
      </c>
      <c r="BI163" s="12">
        <v>2</v>
      </c>
      <c r="BJ163" s="12">
        <v>1</v>
      </c>
      <c r="BK163" s="12">
        <v>2</v>
      </c>
      <c r="BL163" s="12">
        <v>2</v>
      </c>
      <c r="BM163" s="12">
        <v>1</v>
      </c>
      <c r="BN163" s="12">
        <v>0</v>
      </c>
      <c r="BO163" s="12">
        <v>0</v>
      </c>
      <c r="BP163" s="12">
        <v>1</v>
      </c>
      <c r="BQ163" s="12">
        <v>1</v>
      </c>
      <c r="BR163" s="12">
        <v>1</v>
      </c>
      <c r="BS163" s="12">
        <v>0</v>
      </c>
      <c r="BT163" s="12">
        <v>1</v>
      </c>
      <c r="BU163" s="12">
        <v>0</v>
      </c>
      <c r="BV163" s="12">
        <v>2</v>
      </c>
      <c r="BW163" s="12">
        <v>0</v>
      </c>
      <c r="BX163" s="12">
        <v>3</v>
      </c>
      <c r="BY163" s="12">
        <v>0</v>
      </c>
      <c r="BZ163" s="12">
        <v>2</v>
      </c>
      <c r="CA163" s="12">
        <v>1</v>
      </c>
      <c r="CB163" s="12">
        <v>2</v>
      </c>
      <c r="CC163" s="12">
        <v>3</v>
      </c>
      <c r="CD163" s="12">
        <v>1</v>
      </c>
      <c r="CE163" s="12">
        <v>3</v>
      </c>
      <c r="CF163" s="12">
        <v>0</v>
      </c>
      <c r="CG163" s="12">
        <v>1</v>
      </c>
      <c r="CH163" s="12">
        <v>2</v>
      </c>
      <c r="CI163" s="12">
        <v>0</v>
      </c>
      <c r="CJ163" s="12">
        <v>3</v>
      </c>
      <c r="CK163" s="12">
        <v>1</v>
      </c>
      <c r="CL163" s="12">
        <v>2</v>
      </c>
      <c r="CM163" s="12">
        <v>0</v>
      </c>
      <c r="CN163" s="12">
        <v>1</v>
      </c>
      <c r="CO163" s="12">
        <v>0</v>
      </c>
      <c r="CP163" s="12">
        <v>2</v>
      </c>
      <c r="CQ163" s="12">
        <v>1</v>
      </c>
      <c r="CR163" s="12">
        <v>2</v>
      </c>
      <c r="CS163" s="12">
        <v>0</v>
      </c>
      <c r="CT163" s="12">
        <v>1</v>
      </c>
      <c r="CU163" s="12">
        <v>2</v>
      </c>
      <c r="CV163" s="12">
        <v>0</v>
      </c>
      <c r="CW163" s="12">
        <v>1</v>
      </c>
      <c r="CX163" s="12">
        <v>2</v>
      </c>
      <c r="CY163" s="12">
        <v>0</v>
      </c>
      <c r="CZ163" s="12">
        <v>0</v>
      </c>
      <c r="DA163" s="12">
        <v>1</v>
      </c>
      <c r="DB163" s="12">
        <v>1</v>
      </c>
      <c r="DC163" s="12">
        <v>1</v>
      </c>
      <c r="DD163" s="12">
        <v>0</v>
      </c>
      <c r="DE163" s="12">
        <v>0</v>
      </c>
      <c r="DF163" s="12">
        <v>0</v>
      </c>
      <c r="DG163" s="12">
        <v>0</v>
      </c>
      <c r="DH163" s="12">
        <v>0</v>
      </c>
      <c r="DI163" s="12">
        <v>0</v>
      </c>
      <c r="DJ163" s="12">
        <v>0</v>
      </c>
      <c r="DK163" s="12">
        <v>0</v>
      </c>
      <c r="DL163" s="12">
        <v>0</v>
      </c>
      <c r="DM163" s="12">
        <v>0</v>
      </c>
      <c r="DN163" s="12">
        <v>0</v>
      </c>
      <c r="DO163" s="12">
        <v>3</v>
      </c>
      <c r="DP163" s="12">
        <v>0</v>
      </c>
      <c r="DQ163" s="12">
        <v>0</v>
      </c>
      <c r="DR163" s="12">
        <v>0</v>
      </c>
      <c r="DS163" s="12">
        <v>0</v>
      </c>
      <c r="DT163" s="12">
        <v>0</v>
      </c>
      <c r="DU163" s="12">
        <v>2</v>
      </c>
      <c r="DV163" s="12">
        <v>1</v>
      </c>
      <c r="DW163" s="12">
        <v>0</v>
      </c>
      <c r="DX163" s="12">
        <v>0</v>
      </c>
      <c r="DY163" s="12">
        <v>0</v>
      </c>
      <c r="DZ163" s="12">
        <v>0</v>
      </c>
      <c r="EA163" s="12">
        <v>0</v>
      </c>
      <c r="EB163" s="12">
        <v>0</v>
      </c>
      <c r="EC163" s="12">
        <v>1</v>
      </c>
      <c r="ED163" s="12">
        <v>0</v>
      </c>
      <c r="EE163" s="12">
        <v>1</v>
      </c>
      <c r="EF163" s="12">
        <v>1</v>
      </c>
      <c r="EG163" s="12">
        <v>1</v>
      </c>
      <c r="EH163" s="12">
        <v>0</v>
      </c>
      <c r="EI163" s="12">
        <v>0</v>
      </c>
      <c r="EJ163" s="12">
        <v>0</v>
      </c>
      <c r="EK163" s="12">
        <v>0</v>
      </c>
      <c r="EL163" s="12">
        <v>0</v>
      </c>
      <c r="EM163" s="12">
        <v>0</v>
      </c>
      <c r="EN163" s="12">
        <v>0</v>
      </c>
      <c r="EO163" s="12">
        <v>1</v>
      </c>
      <c r="EP163" s="12" t="str">
        <f t="shared" si="41"/>
        <v>🔴 Sin venta</v>
      </c>
      <c r="EQ163" s="23">
        <f t="shared" si="35"/>
        <v>0.29166666666666669</v>
      </c>
      <c r="ER163" s="19">
        <f t="shared" si="34"/>
        <v>3100.32</v>
      </c>
      <c r="ES163" s="12">
        <f t="shared" si="33"/>
        <v>8</v>
      </c>
      <c r="ET163" s="23">
        <f t="shared" si="38"/>
        <v>1.5</v>
      </c>
      <c r="EU163" s="23">
        <f t="shared" si="39"/>
        <v>1.5</v>
      </c>
      <c r="EV163" s="23">
        <f t="shared" si="40"/>
        <v>1.07</v>
      </c>
      <c r="EW163" s="23"/>
      <c r="EX163" s="12">
        <v>32</v>
      </c>
      <c r="EY163" s="19" cm="1">
        <f t="array" ref="EY163:FC163">VLOOKUP(_xlfn.SINGLE(B:B),'[1]Price List'!$B:$N,{8,4,5,6,7},0)</f>
        <v>387.54</v>
      </c>
      <c r="EZ163" s="9" t="str">
        <v>Speck Presidio®2 Grip Magsafe® Clicklock™ Costal Blue / Dust Grey iPhone 15 Plus</v>
      </c>
      <c r="FA163" s="12" t="str">
        <v>Cases iPhone</v>
      </c>
      <c r="FB163" s="12" t="str">
        <v>iPhone 15</v>
      </c>
      <c r="FC163" s="12" t="str">
        <v>iPhone 15 Plus</v>
      </c>
      <c r="FD163" s="23" t="str">
        <f>_xlfn.XLOOKUP(B:B,'[1]Price List'!$B:$B,'[1]Price List'!$A:$A)</f>
        <v>Speck</v>
      </c>
    </row>
    <row r="164" spans="1:160" s="9" customFormat="1" x14ac:dyDescent="0.2">
      <c r="A164" s="23" t="s">
        <v>599</v>
      </c>
      <c r="B164" s="23">
        <v>840168533381</v>
      </c>
      <c r="C164" s="9" t="s">
        <v>271</v>
      </c>
      <c r="D164" s="9" t="s">
        <v>644</v>
      </c>
      <c r="E164" s="9" t="s">
        <v>301</v>
      </c>
      <c r="F164" s="9" t="s">
        <v>313</v>
      </c>
      <c r="G164" s="9" t="s">
        <v>313</v>
      </c>
      <c r="H164" s="12" t="s">
        <v>272</v>
      </c>
      <c r="I164" s="12">
        <v>999</v>
      </c>
      <c r="J164" s="11">
        <v>387.54</v>
      </c>
      <c r="K164" s="62">
        <v>0.5</v>
      </c>
      <c r="L164" s="19">
        <f t="shared" si="43"/>
        <v>499.5</v>
      </c>
      <c r="M164" s="13" t="s">
        <v>467</v>
      </c>
      <c r="N164" s="13" t="s">
        <v>475</v>
      </c>
      <c r="O164" s="27" t="s">
        <v>250</v>
      </c>
      <c r="P164" s="12">
        <v>0</v>
      </c>
      <c r="Q164" s="12">
        <v>0</v>
      </c>
      <c r="R164" s="12">
        <v>2</v>
      </c>
      <c r="S164" s="12">
        <v>6</v>
      </c>
      <c r="T164" s="12">
        <v>4</v>
      </c>
      <c r="U164" s="12">
        <v>9</v>
      </c>
      <c r="V164" s="12">
        <v>12</v>
      </c>
      <c r="W164" s="12">
        <v>12</v>
      </c>
      <c r="X164" s="12">
        <v>2</v>
      </c>
      <c r="Y164" s="12">
        <v>9</v>
      </c>
      <c r="Z164" s="12">
        <v>4</v>
      </c>
      <c r="AA164" s="12">
        <v>15</v>
      </c>
      <c r="AB164" s="12">
        <v>10</v>
      </c>
      <c r="AC164" s="12">
        <v>12</v>
      </c>
      <c r="AD164" s="12">
        <v>3</v>
      </c>
      <c r="AE164" s="12">
        <v>5</v>
      </c>
      <c r="AF164" s="12">
        <v>1</v>
      </c>
      <c r="AG164" s="12">
        <v>3</v>
      </c>
      <c r="AH164" s="12">
        <v>3</v>
      </c>
      <c r="AI164" s="12">
        <v>4</v>
      </c>
      <c r="AJ164" s="12">
        <v>2</v>
      </c>
      <c r="AK164" s="12">
        <v>2</v>
      </c>
      <c r="AL164" s="12">
        <v>2</v>
      </c>
      <c r="AM164" s="12">
        <v>1</v>
      </c>
      <c r="AN164" s="12">
        <v>2</v>
      </c>
      <c r="AO164" s="12">
        <v>5</v>
      </c>
      <c r="AP164" s="12">
        <v>3</v>
      </c>
      <c r="AQ164" s="12">
        <v>3</v>
      </c>
      <c r="AR164" s="12">
        <v>0</v>
      </c>
      <c r="AS164" s="12">
        <v>2</v>
      </c>
      <c r="AT164" s="12">
        <v>3</v>
      </c>
      <c r="AU164" s="12">
        <v>0</v>
      </c>
      <c r="AV164" s="12">
        <v>3</v>
      </c>
      <c r="AW164" s="12">
        <v>1</v>
      </c>
      <c r="AX164" s="12">
        <v>4</v>
      </c>
      <c r="AY164" s="12">
        <v>5</v>
      </c>
      <c r="AZ164" s="12">
        <v>1</v>
      </c>
      <c r="BA164" s="12">
        <v>2</v>
      </c>
      <c r="BB164" s="12">
        <v>6</v>
      </c>
      <c r="BC164" s="12">
        <v>3</v>
      </c>
      <c r="BD164" s="12">
        <v>1</v>
      </c>
      <c r="BE164" s="12">
        <v>0</v>
      </c>
      <c r="BF164" s="12">
        <v>0</v>
      </c>
      <c r="BG164" s="12">
        <v>1</v>
      </c>
      <c r="BH164" s="12">
        <v>0</v>
      </c>
      <c r="BI164" s="12">
        <v>0</v>
      </c>
      <c r="BJ164" s="12">
        <v>2</v>
      </c>
      <c r="BK164" s="12">
        <v>2</v>
      </c>
      <c r="BL164" s="12">
        <v>2</v>
      </c>
      <c r="BM164" s="12">
        <v>0</v>
      </c>
      <c r="BN164" s="12">
        <v>0</v>
      </c>
      <c r="BO164" s="12">
        <v>1</v>
      </c>
      <c r="BP164" s="12">
        <v>0</v>
      </c>
      <c r="BQ164" s="12">
        <v>1</v>
      </c>
      <c r="BR164" s="12">
        <v>0</v>
      </c>
      <c r="BS164" s="12">
        <v>0</v>
      </c>
      <c r="BT164" s="12">
        <v>0</v>
      </c>
      <c r="BU164" s="12">
        <v>0</v>
      </c>
      <c r="BV164" s="12">
        <v>0</v>
      </c>
      <c r="BW164" s="12">
        <v>1</v>
      </c>
      <c r="BX164" s="12">
        <v>0</v>
      </c>
      <c r="BY164" s="12">
        <v>0</v>
      </c>
      <c r="BZ164" s="12">
        <v>1</v>
      </c>
      <c r="CA164" s="12">
        <v>1</v>
      </c>
      <c r="CB164" s="12">
        <v>0</v>
      </c>
      <c r="CC164" s="12">
        <v>1</v>
      </c>
      <c r="CD164" s="12">
        <v>0</v>
      </c>
      <c r="CE164" s="12">
        <v>0</v>
      </c>
      <c r="CF164" s="12">
        <v>1</v>
      </c>
      <c r="CG164" s="12">
        <v>0</v>
      </c>
      <c r="CH164" s="12">
        <v>1</v>
      </c>
      <c r="CI164" s="12">
        <v>1</v>
      </c>
      <c r="CJ164" s="12">
        <v>0</v>
      </c>
      <c r="CK164" s="12">
        <v>0</v>
      </c>
      <c r="CL164" s="12">
        <v>0</v>
      </c>
      <c r="CM164" s="12">
        <v>1</v>
      </c>
      <c r="CN164" s="12">
        <v>1</v>
      </c>
      <c r="CO164" s="12">
        <v>-1</v>
      </c>
      <c r="CP164" s="12">
        <v>0</v>
      </c>
      <c r="CQ164" s="12">
        <v>0</v>
      </c>
      <c r="CR164" s="12">
        <v>0</v>
      </c>
      <c r="CS164" s="12">
        <v>0</v>
      </c>
      <c r="CT164" s="12">
        <v>0</v>
      </c>
      <c r="CU164" s="12">
        <v>0</v>
      </c>
      <c r="CV164" s="12">
        <v>0</v>
      </c>
      <c r="CW164" s="12">
        <v>0</v>
      </c>
      <c r="CX164" s="12">
        <v>1</v>
      </c>
      <c r="CY164" s="12">
        <v>2</v>
      </c>
      <c r="CZ164" s="12">
        <v>0</v>
      </c>
      <c r="DA164" s="12">
        <v>0</v>
      </c>
      <c r="DB164" s="12">
        <v>0</v>
      </c>
      <c r="DC164" s="12">
        <v>0</v>
      </c>
      <c r="DD164" s="12">
        <v>0</v>
      </c>
      <c r="DE164" s="12">
        <v>0</v>
      </c>
      <c r="DF164" s="12">
        <v>0</v>
      </c>
      <c r="DG164" s="12">
        <v>0</v>
      </c>
      <c r="DH164" s="12">
        <v>0</v>
      </c>
      <c r="DI164" s="12">
        <v>0</v>
      </c>
      <c r="DJ164" s="12">
        <v>1</v>
      </c>
      <c r="DK164" s="12">
        <v>0</v>
      </c>
      <c r="DL164" s="12">
        <v>0</v>
      </c>
      <c r="DM164" s="12">
        <v>0</v>
      </c>
      <c r="DN164" s="12">
        <v>0</v>
      </c>
      <c r="DO164" s="12">
        <v>0</v>
      </c>
      <c r="DP164" s="12">
        <v>0</v>
      </c>
      <c r="DQ164" s="12">
        <v>0</v>
      </c>
      <c r="DR164" s="12">
        <v>0</v>
      </c>
      <c r="DS164" s="12">
        <v>0</v>
      </c>
      <c r="DT164" s="12">
        <v>0</v>
      </c>
      <c r="DU164" s="12">
        <v>1</v>
      </c>
      <c r="DV164" s="12">
        <v>0</v>
      </c>
      <c r="DW164" s="12">
        <v>0</v>
      </c>
      <c r="DX164" s="12">
        <v>0</v>
      </c>
      <c r="DY164" s="12">
        <v>0</v>
      </c>
      <c r="DZ164" s="12">
        <v>0</v>
      </c>
      <c r="EA164" s="12">
        <v>0</v>
      </c>
      <c r="EB164" s="12">
        <v>0</v>
      </c>
      <c r="EC164" s="12">
        <v>0</v>
      </c>
      <c r="ED164" s="12">
        <v>0</v>
      </c>
      <c r="EE164" s="12">
        <v>0</v>
      </c>
      <c r="EF164" s="12">
        <v>0</v>
      </c>
      <c r="EG164" s="12">
        <v>0</v>
      </c>
      <c r="EH164" s="12">
        <v>0</v>
      </c>
      <c r="EI164" s="12">
        <v>0</v>
      </c>
      <c r="EJ164" s="12">
        <v>0</v>
      </c>
      <c r="EK164" s="12">
        <v>0</v>
      </c>
      <c r="EL164" s="12">
        <v>0</v>
      </c>
      <c r="EM164" s="12">
        <v>0</v>
      </c>
      <c r="EN164" s="12">
        <v>0</v>
      </c>
      <c r="EO164" s="12">
        <v>0</v>
      </c>
      <c r="EP164" s="12" t="str">
        <f t="shared" si="41"/>
        <v>🔴 Sin venta</v>
      </c>
      <c r="EQ164" s="23">
        <f t="shared" si="35"/>
        <v>4.1666666666666664E-2</v>
      </c>
      <c r="ER164" s="19">
        <f t="shared" si="34"/>
        <v>387.54</v>
      </c>
      <c r="ES164" s="12">
        <f t="shared" si="33"/>
        <v>1</v>
      </c>
      <c r="ET164" s="23">
        <f t="shared" si="38"/>
        <v>0</v>
      </c>
      <c r="EU164" s="23">
        <f t="shared" si="39"/>
        <v>0.5</v>
      </c>
      <c r="EV164" s="23">
        <f t="shared" si="40"/>
        <v>0.27</v>
      </c>
      <c r="EW164" s="23"/>
      <c r="EX164" s="12">
        <v>4</v>
      </c>
      <c r="EY164" s="19" cm="1">
        <f t="array" ref="EY164:FC164">VLOOKUP(_xlfn.SINGLE(B:B),'[1]Price List'!$B:$N,{8,4,5,6,7},0)</f>
        <v>387.54</v>
      </c>
      <c r="EZ164" s="9" t="str">
        <v>Speck Presidio® Perfect-Clear Grip Magsafe® Clicklock™ Clear/Clear/Chrome iPhone 15 Plus</v>
      </c>
      <c r="FA164" s="12" t="str">
        <v>Cases iPhone</v>
      </c>
      <c r="FB164" s="12" t="str">
        <v>iPhone 15</v>
      </c>
      <c r="FC164" s="12" t="str">
        <v>iPhone 15 Plus</v>
      </c>
      <c r="FD164" s="23" t="str">
        <f>_xlfn.XLOOKUP(B:B,'[1]Price List'!$B:$B,'[1]Price List'!$A:$A)</f>
        <v>Speck</v>
      </c>
    </row>
    <row r="165" spans="1:160" s="9" customFormat="1" x14ac:dyDescent="0.2">
      <c r="A165" s="23" t="s">
        <v>599</v>
      </c>
      <c r="B165" s="23">
        <v>840168533251</v>
      </c>
      <c r="C165" s="9" t="s">
        <v>265</v>
      </c>
      <c r="D165" s="9" t="s">
        <v>644</v>
      </c>
      <c r="E165" s="9" t="s">
        <v>301</v>
      </c>
      <c r="F165" s="9" t="s">
        <v>313</v>
      </c>
      <c r="G165" s="9" t="s">
        <v>313</v>
      </c>
      <c r="H165" s="12" t="s">
        <v>266</v>
      </c>
      <c r="I165" s="12">
        <v>999</v>
      </c>
      <c r="J165" s="11">
        <v>387.54</v>
      </c>
      <c r="K165" s="62">
        <v>0.5</v>
      </c>
      <c r="L165" s="19">
        <f t="shared" si="43"/>
        <v>499.5</v>
      </c>
      <c r="M165" s="13" t="s">
        <v>467</v>
      </c>
      <c r="N165" s="13" t="s">
        <v>475</v>
      </c>
      <c r="O165" s="27" t="s">
        <v>250</v>
      </c>
      <c r="P165" s="12">
        <v>6</v>
      </c>
      <c r="Q165" s="12">
        <v>7</v>
      </c>
      <c r="R165" s="12">
        <v>1</v>
      </c>
      <c r="S165" s="12">
        <v>2</v>
      </c>
      <c r="T165" s="12">
        <v>3</v>
      </c>
      <c r="U165" s="12">
        <v>3</v>
      </c>
      <c r="V165" s="12">
        <v>27</v>
      </c>
      <c r="W165" s="12">
        <v>12</v>
      </c>
      <c r="X165" s="12">
        <v>7</v>
      </c>
      <c r="Y165" s="12">
        <v>7</v>
      </c>
      <c r="Z165" s="12">
        <v>5</v>
      </c>
      <c r="AA165" s="12">
        <v>9</v>
      </c>
      <c r="AB165" s="12">
        <v>13</v>
      </c>
      <c r="AC165" s="12">
        <v>14</v>
      </c>
      <c r="AD165" s="12">
        <v>6</v>
      </c>
      <c r="AE165" s="12">
        <v>10</v>
      </c>
      <c r="AF165" s="12">
        <v>4</v>
      </c>
      <c r="AG165" s="12">
        <v>6</v>
      </c>
      <c r="AH165" s="12">
        <v>3</v>
      </c>
      <c r="AI165" s="12">
        <v>5</v>
      </c>
      <c r="AJ165" s="12">
        <v>3</v>
      </c>
      <c r="AK165" s="12">
        <v>6</v>
      </c>
      <c r="AL165" s="12">
        <v>3</v>
      </c>
      <c r="AM165" s="12">
        <v>3</v>
      </c>
      <c r="AN165" s="12">
        <v>4</v>
      </c>
      <c r="AO165" s="12">
        <v>6</v>
      </c>
      <c r="AP165" s="12">
        <v>4</v>
      </c>
      <c r="AQ165" s="12">
        <v>2</v>
      </c>
      <c r="AR165" s="12">
        <v>7</v>
      </c>
      <c r="AS165" s="12">
        <v>4</v>
      </c>
      <c r="AT165" s="12">
        <v>3</v>
      </c>
      <c r="AU165" s="12">
        <v>0</v>
      </c>
      <c r="AV165" s="12">
        <v>9</v>
      </c>
      <c r="AW165" s="12">
        <v>7</v>
      </c>
      <c r="AX165" s="12">
        <v>6</v>
      </c>
      <c r="AY165" s="12">
        <v>12</v>
      </c>
      <c r="AZ165" s="12">
        <v>4</v>
      </c>
      <c r="BA165" s="12">
        <v>3</v>
      </c>
      <c r="BB165" s="12">
        <v>7</v>
      </c>
      <c r="BC165" s="12">
        <v>6</v>
      </c>
      <c r="BD165" s="12">
        <v>3</v>
      </c>
      <c r="BE165" s="12">
        <v>5</v>
      </c>
      <c r="BF165" s="12">
        <v>1</v>
      </c>
      <c r="BG165" s="12">
        <v>0</v>
      </c>
      <c r="BH165" s="12">
        <v>1</v>
      </c>
      <c r="BI165" s="12">
        <v>3</v>
      </c>
      <c r="BJ165" s="12">
        <v>2</v>
      </c>
      <c r="BK165" s="12">
        <v>0</v>
      </c>
      <c r="BL165" s="12">
        <v>0</v>
      </c>
      <c r="BM165" s="12">
        <v>1</v>
      </c>
      <c r="BN165" s="12">
        <v>1</v>
      </c>
      <c r="BO165" s="12">
        <v>1</v>
      </c>
      <c r="BP165" s="12">
        <v>2</v>
      </c>
      <c r="BQ165" s="12">
        <v>0</v>
      </c>
      <c r="BR165" s="12">
        <v>0</v>
      </c>
      <c r="BS165" s="12">
        <v>0</v>
      </c>
      <c r="BT165" s="12">
        <v>0</v>
      </c>
      <c r="BU165" s="12">
        <v>3</v>
      </c>
      <c r="BV165" s="12">
        <v>1</v>
      </c>
      <c r="BW165" s="12">
        <v>0</v>
      </c>
      <c r="BX165" s="12">
        <v>0</v>
      </c>
      <c r="BY165" s="12">
        <v>0</v>
      </c>
      <c r="BZ165" s="12">
        <v>0</v>
      </c>
      <c r="CA165" s="12">
        <v>1</v>
      </c>
      <c r="CB165" s="12">
        <v>0</v>
      </c>
      <c r="CC165" s="12">
        <v>1</v>
      </c>
      <c r="CD165" s="12">
        <v>1</v>
      </c>
      <c r="CE165" s="12">
        <v>0</v>
      </c>
      <c r="CF165" s="12">
        <v>0</v>
      </c>
      <c r="CG165" s="12">
        <v>1</v>
      </c>
      <c r="CH165" s="12">
        <v>0</v>
      </c>
      <c r="CI165" s="12">
        <v>0</v>
      </c>
      <c r="CJ165" s="12">
        <v>0</v>
      </c>
      <c r="CK165" s="12">
        <v>0</v>
      </c>
      <c r="CL165" s="12">
        <v>1</v>
      </c>
      <c r="CM165" s="12">
        <v>0</v>
      </c>
      <c r="CN165" s="12">
        <v>0</v>
      </c>
      <c r="CO165" s="12">
        <v>0</v>
      </c>
      <c r="CP165" s="12">
        <v>0</v>
      </c>
      <c r="CQ165" s="12">
        <v>0</v>
      </c>
      <c r="CR165" s="12">
        <v>0</v>
      </c>
      <c r="CS165" s="12">
        <v>0</v>
      </c>
      <c r="CT165" s="12">
        <v>0</v>
      </c>
      <c r="CU165" s="12">
        <v>1</v>
      </c>
      <c r="CV165" s="12">
        <v>0</v>
      </c>
      <c r="CW165" s="12">
        <v>0</v>
      </c>
      <c r="CX165" s="12">
        <v>0</v>
      </c>
      <c r="CY165" s="12">
        <v>0</v>
      </c>
      <c r="CZ165" s="12">
        <v>0</v>
      </c>
      <c r="DA165" s="12">
        <v>0</v>
      </c>
      <c r="DB165" s="12">
        <v>0</v>
      </c>
      <c r="DC165" s="12">
        <v>0</v>
      </c>
      <c r="DD165" s="12">
        <v>0</v>
      </c>
      <c r="DE165" s="12">
        <v>0</v>
      </c>
      <c r="DF165" s="12">
        <v>0</v>
      </c>
      <c r="DG165" s="12">
        <v>0</v>
      </c>
      <c r="DH165" s="12">
        <v>0</v>
      </c>
      <c r="DI165" s="12">
        <v>0</v>
      </c>
      <c r="DJ165" s="12">
        <v>0</v>
      </c>
      <c r="DK165" s="12">
        <v>0</v>
      </c>
      <c r="DL165" s="12">
        <v>0</v>
      </c>
      <c r="DM165" s="12">
        <v>0</v>
      </c>
      <c r="DN165" s="12">
        <v>0</v>
      </c>
      <c r="DO165" s="12">
        <v>0</v>
      </c>
      <c r="DP165" s="12">
        <v>0</v>
      </c>
      <c r="DQ165" s="12">
        <v>0</v>
      </c>
      <c r="DR165" s="12">
        <v>0</v>
      </c>
      <c r="DS165" s="12">
        <v>0</v>
      </c>
      <c r="DT165" s="12">
        <v>0</v>
      </c>
      <c r="DU165" s="12">
        <v>0</v>
      </c>
      <c r="DV165" s="12">
        <v>0</v>
      </c>
      <c r="DW165" s="12">
        <v>0</v>
      </c>
      <c r="DX165" s="12">
        <v>0</v>
      </c>
      <c r="DY165" s="12">
        <v>0</v>
      </c>
      <c r="DZ165" s="12">
        <v>0</v>
      </c>
      <c r="EA165" s="12">
        <v>0</v>
      </c>
      <c r="EB165" s="12">
        <v>1</v>
      </c>
      <c r="EC165" s="12">
        <v>0</v>
      </c>
      <c r="ED165" s="12">
        <v>0</v>
      </c>
      <c r="EE165" s="12">
        <v>0</v>
      </c>
      <c r="EF165" s="12">
        <v>0</v>
      </c>
      <c r="EG165" s="12">
        <v>0</v>
      </c>
      <c r="EH165" s="12">
        <v>0</v>
      </c>
      <c r="EI165" s="12">
        <v>0</v>
      </c>
      <c r="EJ165" s="12">
        <v>0</v>
      </c>
      <c r="EK165" s="12">
        <v>0</v>
      </c>
      <c r="EL165" s="12">
        <v>0</v>
      </c>
      <c r="EM165" s="12">
        <v>0</v>
      </c>
      <c r="EN165" s="12">
        <v>0</v>
      </c>
      <c r="EO165" s="12">
        <v>0</v>
      </c>
      <c r="EP165" s="12" t="str">
        <f t="shared" si="41"/>
        <v>🔴 Sin venta</v>
      </c>
      <c r="EQ165" s="23">
        <f t="shared" si="35"/>
        <v>4.1666666666666664E-2</v>
      </c>
      <c r="ER165" s="19">
        <f t="shared" si="34"/>
        <v>387.54</v>
      </c>
      <c r="ES165" s="12">
        <f t="shared" si="33"/>
        <v>1</v>
      </c>
      <c r="ET165" s="23">
        <f t="shared" si="38"/>
        <v>0</v>
      </c>
      <c r="EU165" s="23">
        <f t="shared" si="39"/>
        <v>0</v>
      </c>
      <c r="EV165" s="23">
        <f t="shared" si="40"/>
        <v>0.27</v>
      </c>
      <c r="EW165" s="23"/>
      <c r="EX165" s="12">
        <v>11</v>
      </c>
      <c r="EY165" s="19" cm="1">
        <f t="array" ref="EY165:FC165">VLOOKUP(_xlfn.SINGLE(B:B),'[1]Price List'!$B:$N,{8,4,5,6,7},0)</f>
        <v>387.54</v>
      </c>
      <c r="EZ165" s="9" t="str">
        <v>Speck Presidio®2 Grip Magsafe® Clicklock™ Black / Slate Grey iPhone 15 Plus</v>
      </c>
      <c r="FA165" s="12" t="str">
        <v>Cases iPhone</v>
      </c>
      <c r="FB165" s="12" t="str">
        <v>iPhone 15</v>
      </c>
      <c r="FC165" s="12" t="str">
        <v>iPhone 15 Plus</v>
      </c>
      <c r="FD165" s="23" t="str">
        <f>_xlfn.XLOOKUP(B:B,'[1]Price List'!$B:$B,'[1]Price List'!$A:$A)</f>
        <v>Speck</v>
      </c>
    </row>
    <row r="166" spans="1:160" s="9" customFormat="1" x14ac:dyDescent="0.2">
      <c r="A166" s="23" t="s">
        <v>599</v>
      </c>
      <c r="B166" s="23">
        <v>840168533329</v>
      </c>
      <c r="C166" s="9" t="s">
        <v>269</v>
      </c>
      <c r="D166" s="9" t="s">
        <v>644</v>
      </c>
      <c r="E166" s="9" t="s">
        <v>301</v>
      </c>
      <c r="F166" s="9" t="s">
        <v>313</v>
      </c>
      <c r="G166" s="9" t="s">
        <v>313</v>
      </c>
      <c r="H166" s="12" t="s">
        <v>270</v>
      </c>
      <c r="I166" s="12">
        <v>999</v>
      </c>
      <c r="J166" s="11">
        <v>387.54</v>
      </c>
      <c r="K166" s="62">
        <v>0.5</v>
      </c>
      <c r="L166" s="19">
        <f t="shared" si="43"/>
        <v>499.5</v>
      </c>
      <c r="M166" s="13" t="s">
        <v>467</v>
      </c>
      <c r="N166" s="13" t="s">
        <v>475</v>
      </c>
      <c r="O166" s="27" t="s">
        <v>250</v>
      </c>
      <c r="P166" s="12">
        <v>1</v>
      </c>
      <c r="Q166" s="12">
        <v>2</v>
      </c>
      <c r="R166" s="12">
        <v>1</v>
      </c>
      <c r="S166" s="12">
        <v>4</v>
      </c>
      <c r="T166" s="12">
        <v>4</v>
      </c>
      <c r="U166" s="12">
        <v>0</v>
      </c>
      <c r="V166" s="12">
        <v>7</v>
      </c>
      <c r="W166" s="12">
        <v>5</v>
      </c>
      <c r="X166" s="12">
        <v>0</v>
      </c>
      <c r="Y166" s="12">
        <v>1</v>
      </c>
      <c r="Z166" s="12">
        <v>6</v>
      </c>
      <c r="AA166" s="12">
        <v>5</v>
      </c>
      <c r="AB166" s="12">
        <v>6</v>
      </c>
      <c r="AC166" s="12">
        <v>5</v>
      </c>
      <c r="AD166" s="12">
        <v>3</v>
      </c>
      <c r="AE166" s="12">
        <v>0</v>
      </c>
      <c r="AF166" s="12">
        <v>2</v>
      </c>
      <c r="AG166" s="12">
        <v>3</v>
      </c>
      <c r="AH166" s="12">
        <v>5</v>
      </c>
      <c r="AI166" s="12">
        <v>4</v>
      </c>
      <c r="AJ166" s="12">
        <v>1</v>
      </c>
      <c r="AK166" s="12">
        <v>3</v>
      </c>
      <c r="AL166" s="12">
        <v>1</v>
      </c>
      <c r="AM166" s="12">
        <v>5</v>
      </c>
      <c r="AN166" s="12">
        <v>0</v>
      </c>
      <c r="AO166" s="12">
        <v>4</v>
      </c>
      <c r="AP166" s="12">
        <v>0</v>
      </c>
      <c r="AQ166" s="12">
        <v>3</v>
      </c>
      <c r="AR166" s="12">
        <v>5</v>
      </c>
      <c r="AS166" s="12">
        <v>7</v>
      </c>
      <c r="AT166" s="12">
        <v>4</v>
      </c>
      <c r="AU166" s="12">
        <v>0</v>
      </c>
      <c r="AV166" s="12">
        <v>5</v>
      </c>
      <c r="AW166" s="12">
        <v>6</v>
      </c>
      <c r="AX166" s="12">
        <v>4</v>
      </c>
      <c r="AY166" s="12">
        <v>2</v>
      </c>
      <c r="AZ166" s="12">
        <v>13</v>
      </c>
      <c r="BA166" s="12">
        <v>3</v>
      </c>
      <c r="BB166" s="12">
        <v>8</v>
      </c>
      <c r="BC166" s="12">
        <v>8</v>
      </c>
      <c r="BD166" s="12">
        <v>14</v>
      </c>
      <c r="BE166" s="12">
        <v>4</v>
      </c>
      <c r="BF166" s="12">
        <v>4</v>
      </c>
      <c r="BG166" s="12">
        <v>1</v>
      </c>
      <c r="BH166" s="12">
        <v>3</v>
      </c>
      <c r="BI166" s="12">
        <v>2</v>
      </c>
      <c r="BJ166" s="12">
        <v>4</v>
      </c>
      <c r="BK166" s="12">
        <v>1</v>
      </c>
      <c r="BL166" s="12">
        <v>1</v>
      </c>
      <c r="BM166" s="12">
        <v>2</v>
      </c>
      <c r="BN166" s="12">
        <v>5</v>
      </c>
      <c r="BO166" s="12">
        <v>7</v>
      </c>
      <c r="BP166" s="12">
        <v>2</v>
      </c>
      <c r="BQ166" s="12">
        <v>2</v>
      </c>
      <c r="BR166" s="12">
        <v>1</v>
      </c>
      <c r="BS166" s="12">
        <v>3</v>
      </c>
      <c r="BT166" s="12">
        <v>0</v>
      </c>
      <c r="BU166" s="12">
        <v>2</v>
      </c>
      <c r="BV166" s="12">
        <v>2</v>
      </c>
      <c r="BW166" s="12">
        <v>0</v>
      </c>
      <c r="BX166" s="12">
        <v>4</v>
      </c>
      <c r="BY166" s="12">
        <v>3</v>
      </c>
      <c r="BZ166" s="12">
        <v>2</v>
      </c>
      <c r="CA166" s="12">
        <v>0</v>
      </c>
      <c r="CB166" s="12">
        <v>2</v>
      </c>
      <c r="CC166" s="12">
        <v>4</v>
      </c>
      <c r="CD166" s="12">
        <v>0</v>
      </c>
      <c r="CE166" s="12">
        <v>5</v>
      </c>
      <c r="CF166" s="12">
        <v>0</v>
      </c>
      <c r="CG166" s="12">
        <v>1</v>
      </c>
      <c r="CH166" s="12">
        <v>1</v>
      </c>
      <c r="CI166" s="12">
        <v>1</v>
      </c>
      <c r="CJ166" s="12">
        <v>0</v>
      </c>
      <c r="CK166" s="12">
        <v>1</v>
      </c>
      <c r="CL166" s="12">
        <v>1</v>
      </c>
      <c r="CM166" s="12">
        <v>2</v>
      </c>
      <c r="CN166" s="12">
        <v>0</v>
      </c>
      <c r="CO166" s="12">
        <v>0</v>
      </c>
      <c r="CP166" s="12">
        <v>1</v>
      </c>
      <c r="CQ166" s="12">
        <v>1</v>
      </c>
      <c r="CR166" s="12">
        <v>2</v>
      </c>
      <c r="CS166" s="12">
        <v>2</v>
      </c>
      <c r="CT166" s="12">
        <v>0</v>
      </c>
      <c r="CU166" s="12">
        <v>0</v>
      </c>
      <c r="CV166" s="12">
        <v>0</v>
      </c>
      <c r="CW166" s="12">
        <v>0</v>
      </c>
      <c r="CX166" s="12">
        <v>1</v>
      </c>
      <c r="CY166" s="12">
        <v>2</v>
      </c>
      <c r="CZ166" s="12">
        <v>0</v>
      </c>
      <c r="DA166" s="12">
        <v>1</v>
      </c>
      <c r="DB166" s="12">
        <v>0</v>
      </c>
      <c r="DC166" s="12">
        <v>0</v>
      </c>
      <c r="DD166" s="12">
        <v>0</v>
      </c>
      <c r="DE166" s="12">
        <v>0</v>
      </c>
      <c r="DF166" s="12">
        <v>0</v>
      </c>
      <c r="DG166" s="12">
        <v>0</v>
      </c>
      <c r="DH166" s="12">
        <v>0</v>
      </c>
      <c r="DI166" s="12">
        <v>0</v>
      </c>
      <c r="DJ166" s="12">
        <v>0</v>
      </c>
      <c r="DK166" s="12">
        <v>0</v>
      </c>
      <c r="DL166" s="12">
        <v>1</v>
      </c>
      <c r="DM166" s="12">
        <v>0</v>
      </c>
      <c r="DN166" s="12">
        <v>0</v>
      </c>
      <c r="DO166" s="12">
        <v>2</v>
      </c>
      <c r="DP166" s="12">
        <v>0</v>
      </c>
      <c r="DQ166" s="12">
        <v>1</v>
      </c>
      <c r="DR166" s="12">
        <v>0</v>
      </c>
      <c r="DS166" s="12">
        <v>0</v>
      </c>
      <c r="DT166" s="12">
        <v>0</v>
      </c>
      <c r="DU166" s="12">
        <v>0</v>
      </c>
      <c r="DV166" s="12">
        <v>0</v>
      </c>
      <c r="DW166" s="12">
        <v>1</v>
      </c>
      <c r="DX166" s="12">
        <v>0</v>
      </c>
      <c r="DY166" s="12">
        <v>1</v>
      </c>
      <c r="DZ166" s="12">
        <v>0</v>
      </c>
      <c r="EA166" s="12">
        <v>0</v>
      </c>
      <c r="EB166" s="12">
        <v>0</v>
      </c>
      <c r="EC166" s="12">
        <v>0</v>
      </c>
      <c r="ED166" s="12">
        <v>1</v>
      </c>
      <c r="EE166" s="12">
        <v>1</v>
      </c>
      <c r="EF166" s="12">
        <v>0</v>
      </c>
      <c r="EG166" s="12">
        <v>1</v>
      </c>
      <c r="EH166" s="12">
        <v>1</v>
      </c>
      <c r="EI166" s="12">
        <v>0</v>
      </c>
      <c r="EJ166" s="12">
        <v>0</v>
      </c>
      <c r="EK166" s="12">
        <v>1</v>
      </c>
      <c r="EL166" s="12">
        <v>0</v>
      </c>
      <c r="EM166" s="12">
        <v>0</v>
      </c>
      <c r="EN166" s="12">
        <v>0</v>
      </c>
      <c r="EO166" s="12">
        <v>0</v>
      </c>
      <c r="EP166" s="12" t="str">
        <f t="shared" si="41"/>
        <v>🔴 Sin venta</v>
      </c>
      <c r="EQ166" s="23">
        <f t="shared" si="35"/>
        <v>0.33333333333333331</v>
      </c>
      <c r="ER166" s="19">
        <f t="shared" si="34"/>
        <v>3100.32</v>
      </c>
      <c r="ES166" s="12">
        <f t="shared" si="33"/>
        <v>8</v>
      </c>
      <c r="ET166" s="23">
        <f t="shared" si="38"/>
        <v>0.5</v>
      </c>
      <c r="EU166" s="23">
        <f t="shared" si="39"/>
        <v>1.5</v>
      </c>
      <c r="EV166" s="23">
        <f t="shared" si="40"/>
        <v>1.07</v>
      </c>
      <c r="EW166" s="23"/>
      <c r="EX166" s="12">
        <v>27</v>
      </c>
      <c r="EY166" s="19" cm="1">
        <f t="array" ref="EY166:FC166">VLOOKUP(_xlfn.SINGLE(B:B),'[1]Price List'!$B:$N,{8,4,5,6,7},0)</f>
        <v>387.54</v>
      </c>
      <c r="EZ166" s="9" t="str">
        <v>Speck Presidio®2 Grip Magsafe® Clicklock™ Charcoal Grey/ Cool Bronze iPhone 15 Plus</v>
      </c>
      <c r="FA166" s="12" t="str">
        <v>Cases iPhone</v>
      </c>
      <c r="FB166" s="12" t="str">
        <v>iPhone 15</v>
      </c>
      <c r="FC166" s="12" t="str">
        <v>iPhone 15 Plus</v>
      </c>
      <c r="FD166" s="23" t="str">
        <f>_xlfn.XLOOKUP(B:B,'[1]Price List'!$B:$B,'[1]Price List'!$A:$A)</f>
        <v>Speck</v>
      </c>
    </row>
    <row r="167" spans="1:160" s="9" customFormat="1" x14ac:dyDescent="0.2">
      <c r="A167" s="23" t="s">
        <v>599</v>
      </c>
      <c r="B167" s="24">
        <v>840168523320</v>
      </c>
      <c r="C167" s="16" t="s">
        <v>198</v>
      </c>
      <c r="D167" s="9" t="s">
        <v>644</v>
      </c>
      <c r="E167" s="16" t="s">
        <v>316</v>
      </c>
      <c r="F167" s="16" t="s">
        <v>315</v>
      </c>
      <c r="G167" s="9" t="s">
        <v>315</v>
      </c>
      <c r="H167" s="17" t="s">
        <v>199</v>
      </c>
      <c r="I167" s="18">
        <v>1099</v>
      </c>
      <c r="J167" s="11">
        <v>426.34</v>
      </c>
      <c r="K167" s="62">
        <v>0</v>
      </c>
      <c r="L167" s="12">
        <v>0</v>
      </c>
      <c r="M167" s="13" t="s">
        <v>467</v>
      </c>
      <c r="N167" s="13" t="s">
        <v>656</v>
      </c>
      <c r="O167" s="27" t="s">
        <v>169</v>
      </c>
      <c r="P167" s="12">
        <v>11</v>
      </c>
      <c r="Q167" s="12">
        <v>17</v>
      </c>
      <c r="R167" s="12">
        <v>10</v>
      </c>
      <c r="S167" s="12">
        <v>4</v>
      </c>
      <c r="T167" s="12">
        <v>4</v>
      </c>
      <c r="U167" s="12">
        <v>3</v>
      </c>
      <c r="V167" s="12">
        <v>8</v>
      </c>
      <c r="W167" s="12">
        <v>9</v>
      </c>
      <c r="X167" s="12">
        <v>0</v>
      </c>
      <c r="Y167" s="12">
        <v>6</v>
      </c>
      <c r="Z167" s="12">
        <v>5</v>
      </c>
      <c r="AA167" s="12">
        <v>9</v>
      </c>
      <c r="AB167" s="12">
        <v>7</v>
      </c>
      <c r="AC167" s="12">
        <v>3</v>
      </c>
      <c r="AD167" s="12">
        <v>5</v>
      </c>
      <c r="AE167" s="12">
        <v>0</v>
      </c>
      <c r="AF167" s="12">
        <v>1</v>
      </c>
      <c r="AG167" s="12">
        <v>0</v>
      </c>
      <c r="AH167" s="12">
        <v>0</v>
      </c>
      <c r="AI167" s="12">
        <v>1</v>
      </c>
      <c r="AJ167" s="12">
        <v>0</v>
      </c>
      <c r="AK167" s="12">
        <v>1</v>
      </c>
      <c r="AL167" s="12">
        <v>2</v>
      </c>
      <c r="AM167" s="12">
        <v>1</v>
      </c>
      <c r="AN167" s="12">
        <v>1</v>
      </c>
      <c r="AO167" s="12">
        <v>0</v>
      </c>
      <c r="AP167" s="12">
        <v>2</v>
      </c>
      <c r="AQ167" s="12">
        <v>0</v>
      </c>
      <c r="AR167" s="12">
        <v>1</v>
      </c>
      <c r="AS167" s="12">
        <v>1</v>
      </c>
      <c r="AT167" s="12">
        <v>1</v>
      </c>
      <c r="AU167" s="12">
        <v>0</v>
      </c>
      <c r="AV167" s="12">
        <v>-1</v>
      </c>
      <c r="AW167" s="12">
        <v>3</v>
      </c>
      <c r="AX167" s="12">
        <v>0</v>
      </c>
      <c r="AY167" s="12">
        <v>0</v>
      </c>
      <c r="AZ167" s="12">
        <v>0</v>
      </c>
      <c r="BA167" s="12">
        <v>0</v>
      </c>
      <c r="BB167" s="12">
        <v>0</v>
      </c>
      <c r="BC167" s="12">
        <v>0</v>
      </c>
      <c r="BD167" s="12">
        <v>0</v>
      </c>
      <c r="BE167" s="12">
        <v>0</v>
      </c>
      <c r="BF167" s="12">
        <v>0</v>
      </c>
      <c r="BG167" s="12">
        <v>0</v>
      </c>
      <c r="BH167" s="12">
        <v>0</v>
      </c>
      <c r="BI167" s="12">
        <v>0</v>
      </c>
      <c r="BJ167" s="12">
        <v>0</v>
      </c>
      <c r="BK167" s="12">
        <v>0</v>
      </c>
      <c r="BL167" s="12">
        <v>1</v>
      </c>
      <c r="BM167" s="12">
        <v>0</v>
      </c>
      <c r="BN167" s="12">
        <v>0</v>
      </c>
      <c r="BO167" s="12">
        <v>0</v>
      </c>
      <c r="BP167" s="12">
        <v>0</v>
      </c>
      <c r="BQ167" s="12">
        <v>0</v>
      </c>
      <c r="BR167" s="12">
        <v>0</v>
      </c>
      <c r="BS167" s="12">
        <v>0</v>
      </c>
      <c r="BT167" s="12">
        <v>0</v>
      </c>
      <c r="BU167" s="12">
        <v>0</v>
      </c>
      <c r="BV167" s="12">
        <v>0</v>
      </c>
      <c r="BW167" s="12">
        <v>0</v>
      </c>
      <c r="BX167" s="12">
        <v>0</v>
      </c>
      <c r="BY167" s="12">
        <v>0</v>
      </c>
      <c r="BZ167" s="12">
        <v>0</v>
      </c>
      <c r="CA167" s="12">
        <v>0</v>
      </c>
      <c r="CB167" s="12">
        <v>0</v>
      </c>
      <c r="CC167" s="12">
        <v>0</v>
      </c>
      <c r="CD167" s="12">
        <v>0</v>
      </c>
      <c r="CE167" s="12">
        <v>0</v>
      </c>
      <c r="CF167" s="12">
        <v>0</v>
      </c>
      <c r="CG167" s="12">
        <v>0</v>
      </c>
      <c r="CH167" s="12">
        <v>0</v>
      </c>
      <c r="CI167" s="12">
        <v>0</v>
      </c>
      <c r="CJ167" s="12">
        <v>0</v>
      </c>
      <c r="CK167" s="12">
        <v>0</v>
      </c>
      <c r="CL167" s="12">
        <v>0</v>
      </c>
      <c r="CM167" s="12">
        <v>0</v>
      </c>
      <c r="CN167" s="12">
        <v>0</v>
      </c>
      <c r="CO167" s="12">
        <v>0</v>
      </c>
      <c r="CP167" s="12">
        <v>0</v>
      </c>
      <c r="CQ167" s="12">
        <v>0</v>
      </c>
      <c r="CR167" s="12">
        <v>0</v>
      </c>
      <c r="CS167" s="12">
        <v>0</v>
      </c>
      <c r="CT167" s="12">
        <v>0</v>
      </c>
      <c r="CU167" s="12">
        <v>0</v>
      </c>
      <c r="CV167" s="12">
        <v>0</v>
      </c>
      <c r="CW167" s="12">
        <v>0</v>
      </c>
      <c r="CX167" s="12">
        <v>0</v>
      </c>
      <c r="CY167" s="12">
        <v>0</v>
      </c>
      <c r="CZ167" s="12">
        <v>0</v>
      </c>
      <c r="DA167" s="12">
        <v>0</v>
      </c>
      <c r="DB167" s="12">
        <v>0</v>
      </c>
      <c r="DC167" s="12">
        <v>0</v>
      </c>
      <c r="DD167" s="12">
        <v>0</v>
      </c>
      <c r="DE167" s="12">
        <v>0</v>
      </c>
      <c r="DF167" s="12">
        <v>0</v>
      </c>
      <c r="DG167" s="12">
        <v>0</v>
      </c>
      <c r="DH167" s="12">
        <v>0</v>
      </c>
      <c r="DI167" s="12">
        <v>0</v>
      </c>
      <c r="DJ167" s="12">
        <v>0</v>
      </c>
      <c r="DK167" s="12">
        <v>0</v>
      </c>
      <c r="DL167" s="12">
        <v>0</v>
      </c>
      <c r="DM167" s="12">
        <v>0</v>
      </c>
      <c r="DN167" s="12">
        <v>0</v>
      </c>
      <c r="DO167" s="12">
        <v>0</v>
      </c>
      <c r="DP167" s="12">
        <v>0</v>
      </c>
      <c r="DQ167" s="12">
        <v>0</v>
      </c>
      <c r="DR167" s="12">
        <v>0</v>
      </c>
      <c r="DS167" s="12">
        <v>0</v>
      </c>
      <c r="DT167" s="12">
        <v>0</v>
      </c>
      <c r="DU167" s="12">
        <v>0</v>
      </c>
      <c r="DV167" s="12">
        <v>0</v>
      </c>
      <c r="DW167" s="12">
        <v>0</v>
      </c>
      <c r="DX167" s="12">
        <v>0</v>
      </c>
      <c r="DY167" s="12">
        <v>0</v>
      </c>
      <c r="DZ167" s="12">
        <v>0</v>
      </c>
      <c r="EA167" s="12">
        <v>0</v>
      </c>
      <c r="EB167" s="12">
        <v>0</v>
      </c>
      <c r="EC167" s="12">
        <v>0</v>
      </c>
      <c r="ED167" s="12">
        <v>0</v>
      </c>
      <c r="EE167" s="12">
        <v>0</v>
      </c>
      <c r="EF167" s="12">
        <v>0</v>
      </c>
      <c r="EG167" s="12">
        <v>0</v>
      </c>
      <c r="EH167" s="12">
        <v>0</v>
      </c>
      <c r="EI167" s="12">
        <v>0</v>
      </c>
      <c r="EJ167" s="12">
        <v>0</v>
      </c>
      <c r="EK167" s="12">
        <v>0</v>
      </c>
      <c r="EL167" s="12">
        <v>0</v>
      </c>
      <c r="EM167" s="12">
        <v>0</v>
      </c>
      <c r="EN167" s="12">
        <v>0</v>
      </c>
      <c r="EO167" s="12">
        <v>0</v>
      </c>
      <c r="EP167" s="12" t="str">
        <f t="shared" si="41"/>
        <v>🔴 Sin venta</v>
      </c>
      <c r="EQ167" s="23">
        <f t="shared" si="35"/>
        <v>0</v>
      </c>
      <c r="ER167" s="19">
        <f t="shared" si="34"/>
        <v>0</v>
      </c>
      <c r="ES167" s="12">
        <f t="shared" si="33"/>
        <v>0</v>
      </c>
      <c r="ET167" s="23">
        <f t="shared" si="38"/>
        <v>0</v>
      </c>
      <c r="EU167" s="23">
        <f t="shared" si="39"/>
        <v>0</v>
      </c>
      <c r="EV167" s="23">
        <f t="shared" si="40"/>
        <v>0</v>
      </c>
      <c r="EW167" s="23"/>
      <c r="EX167" s="12">
        <v>0</v>
      </c>
      <c r="EY167" s="19" cm="1">
        <f t="array" ref="EY167:FC167">VLOOKUP(_xlfn.SINGLE(B:B),'[1]Price List'!$B:$N,{8,4,5,6,7},0)</f>
        <v>426.34</v>
      </c>
      <c r="EZ167" s="9" t="str">
        <v>Speck Presidio Perfect Mist Case with MagSafe for iPhone 14 Pro Max - Coastal Blue</v>
      </c>
      <c r="FA167" s="12" t="str">
        <v>Cases iPhone</v>
      </c>
      <c r="FB167" s="12" t="str">
        <v>iPhone 14</v>
      </c>
      <c r="FC167" s="12" t="str">
        <v>iPhone 14 Pro Max</v>
      </c>
      <c r="FD167" s="23" t="str">
        <f>_xlfn.XLOOKUP(B:B,'[1]Price List'!$B:$B,'[1]Price List'!$A:$A)</f>
        <v>Speck</v>
      </c>
    </row>
    <row r="168" spans="1:160" s="9" customFormat="1" x14ac:dyDescent="0.2">
      <c r="A168" s="23" t="s">
        <v>599</v>
      </c>
      <c r="B168" s="24">
        <v>840168522828</v>
      </c>
      <c r="C168" s="16" t="s">
        <v>184</v>
      </c>
      <c r="D168" s="9" t="s">
        <v>644</v>
      </c>
      <c r="E168" s="16" t="s">
        <v>316</v>
      </c>
      <c r="F168" s="16" t="s">
        <v>315</v>
      </c>
      <c r="G168" s="9" t="s">
        <v>315</v>
      </c>
      <c r="H168" s="17" t="s">
        <v>185</v>
      </c>
      <c r="I168" s="17">
        <v>899</v>
      </c>
      <c r="J168" s="11">
        <v>348.75</v>
      </c>
      <c r="K168" s="62">
        <v>0</v>
      </c>
      <c r="L168" s="12">
        <v>0</v>
      </c>
      <c r="M168" s="13" t="s">
        <v>467</v>
      </c>
      <c r="N168" s="13" t="s">
        <v>656</v>
      </c>
      <c r="O168" s="27" t="s">
        <v>169</v>
      </c>
      <c r="P168" s="12">
        <v>11</v>
      </c>
      <c r="Q168" s="12">
        <v>14</v>
      </c>
      <c r="R168" s="12">
        <v>10</v>
      </c>
      <c r="S168" s="12">
        <v>4</v>
      </c>
      <c r="T168" s="12">
        <v>7</v>
      </c>
      <c r="U168" s="12">
        <v>6</v>
      </c>
      <c r="V168" s="12">
        <v>1</v>
      </c>
      <c r="W168" s="12">
        <v>1</v>
      </c>
      <c r="X168" s="12">
        <v>3</v>
      </c>
      <c r="Y168" s="12">
        <v>2</v>
      </c>
      <c r="Z168" s="12">
        <v>7</v>
      </c>
      <c r="AA168" s="12">
        <v>6</v>
      </c>
      <c r="AB168" s="12">
        <v>5</v>
      </c>
      <c r="AC168" s="12">
        <v>5</v>
      </c>
      <c r="AD168" s="12">
        <v>1</v>
      </c>
      <c r="AE168" s="12">
        <v>7</v>
      </c>
      <c r="AF168" s="12">
        <v>2</v>
      </c>
      <c r="AG168" s="12">
        <v>3</v>
      </c>
      <c r="AH168" s="12">
        <v>0</v>
      </c>
      <c r="AI168" s="12">
        <v>1</v>
      </c>
      <c r="AJ168" s="12">
        <v>2</v>
      </c>
      <c r="AK168" s="12">
        <v>2</v>
      </c>
      <c r="AL168" s="12">
        <v>1</v>
      </c>
      <c r="AM168" s="12">
        <v>1</v>
      </c>
      <c r="AN168" s="12">
        <v>1</v>
      </c>
      <c r="AO168" s="12">
        <v>0</v>
      </c>
      <c r="AP168" s="12">
        <v>1</v>
      </c>
      <c r="AQ168" s="12">
        <v>1</v>
      </c>
      <c r="AR168" s="12">
        <v>0</v>
      </c>
      <c r="AS168" s="12">
        <v>0</v>
      </c>
      <c r="AT168" s="12">
        <v>0</v>
      </c>
      <c r="AU168" s="12">
        <v>1</v>
      </c>
      <c r="AV168" s="12">
        <v>1</v>
      </c>
      <c r="AW168" s="12">
        <v>0</v>
      </c>
      <c r="AX168" s="12">
        <v>2</v>
      </c>
      <c r="AY168" s="12">
        <v>0</v>
      </c>
      <c r="AZ168" s="12">
        <v>0</v>
      </c>
      <c r="BA168" s="12">
        <v>0</v>
      </c>
      <c r="BB168" s="12">
        <v>0</v>
      </c>
      <c r="BC168" s="12">
        <v>0</v>
      </c>
      <c r="BD168" s="12">
        <v>0</v>
      </c>
      <c r="BE168" s="12">
        <v>1</v>
      </c>
      <c r="BF168" s="12">
        <v>0</v>
      </c>
      <c r="BG168" s="12">
        <v>0</v>
      </c>
      <c r="BH168" s="12">
        <v>0</v>
      </c>
      <c r="BI168" s="12">
        <v>0</v>
      </c>
      <c r="BJ168" s="12">
        <v>0</v>
      </c>
      <c r="BK168" s="12">
        <v>0</v>
      </c>
      <c r="BL168" s="12">
        <v>1</v>
      </c>
      <c r="BM168" s="12">
        <v>0</v>
      </c>
      <c r="BN168" s="12">
        <v>0</v>
      </c>
      <c r="BO168" s="12">
        <v>0</v>
      </c>
      <c r="BP168" s="12">
        <v>0</v>
      </c>
      <c r="BQ168" s="12">
        <v>0</v>
      </c>
      <c r="BR168" s="12">
        <v>0</v>
      </c>
      <c r="BS168" s="12">
        <v>0</v>
      </c>
      <c r="BT168" s="12">
        <v>0</v>
      </c>
      <c r="BU168" s="12">
        <v>0</v>
      </c>
      <c r="BV168" s="12">
        <v>0</v>
      </c>
      <c r="BW168" s="12">
        <v>0</v>
      </c>
      <c r="BX168" s="12">
        <v>0</v>
      </c>
      <c r="BY168" s="12">
        <v>0</v>
      </c>
      <c r="BZ168" s="12">
        <v>0</v>
      </c>
      <c r="CA168" s="12">
        <v>0</v>
      </c>
      <c r="CB168" s="12">
        <v>0</v>
      </c>
      <c r="CC168" s="12">
        <v>0</v>
      </c>
      <c r="CD168" s="12">
        <v>0</v>
      </c>
      <c r="CE168" s="12">
        <v>0</v>
      </c>
      <c r="CF168" s="12">
        <v>0</v>
      </c>
      <c r="CG168" s="12">
        <v>0</v>
      </c>
      <c r="CH168" s="12">
        <v>0</v>
      </c>
      <c r="CI168" s="12">
        <v>0</v>
      </c>
      <c r="CJ168" s="12">
        <v>0</v>
      </c>
      <c r="CK168" s="12">
        <v>0</v>
      </c>
      <c r="CL168" s="12">
        <v>0</v>
      </c>
      <c r="CM168" s="12">
        <v>0</v>
      </c>
      <c r="CN168" s="12">
        <v>0</v>
      </c>
      <c r="CO168" s="12">
        <v>0</v>
      </c>
      <c r="CP168" s="12">
        <v>0</v>
      </c>
      <c r="CQ168" s="12">
        <v>0</v>
      </c>
      <c r="CR168" s="12">
        <v>0</v>
      </c>
      <c r="CS168" s="12">
        <v>0</v>
      </c>
      <c r="CT168" s="12">
        <v>0</v>
      </c>
      <c r="CU168" s="12">
        <v>0</v>
      </c>
      <c r="CV168" s="12">
        <v>0</v>
      </c>
      <c r="CW168" s="12">
        <v>0</v>
      </c>
      <c r="CX168" s="12">
        <v>0</v>
      </c>
      <c r="CY168" s="12">
        <v>0</v>
      </c>
      <c r="CZ168" s="12">
        <v>0</v>
      </c>
      <c r="DA168" s="12">
        <v>0</v>
      </c>
      <c r="DB168" s="12">
        <v>0</v>
      </c>
      <c r="DC168" s="12">
        <v>0</v>
      </c>
      <c r="DD168" s="12">
        <v>0</v>
      </c>
      <c r="DE168" s="12">
        <v>0</v>
      </c>
      <c r="DF168" s="12">
        <v>0</v>
      </c>
      <c r="DG168" s="12">
        <v>0</v>
      </c>
      <c r="DH168" s="12">
        <v>0</v>
      </c>
      <c r="DI168" s="12">
        <v>0</v>
      </c>
      <c r="DJ168" s="12">
        <v>0</v>
      </c>
      <c r="DK168" s="12">
        <v>0</v>
      </c>
      <c r="DL168" s="12">
        <v>0</v>
      </c>
      <c r="DM168" s="12">
        <v>0</v>
      </c>
      <c r="DN168" s="12">
        <v>0</v>
      </c>
      <c r="DO168" s="12">
        <v>0</v>
      </c>
      <c r="DP168" s="12">
        <v>0</v>
      </c>
      <c r="DQ168" s="12">
        <v>0</v>
      </c>
      <c r="DR168" s="12">
        <v>0</v>
      </c>
      <c r="DS168" s="12">
        <v>0</v>
      </c>
      <c r="DT168" s="12">
        <v>0</v>
      </c>
      <c r="DU168" s="12">
        <v>0</v>
      </c>
      <c r="DV168" s="12">
        <v>0</v>
      </c>
      <c r="DW168" s="12">
        <v>0</v>
      </c>
      <c r="DX168" s="12">
        <v>0</v>
      </c>
      <c r="DY168" s="12">
        <v>0</v>
      </c>
      <c r="DZ168" s="12">
        <v>0</v>
      </c>
      <c r="EA168" s="12">
        <v>0</v>
      </c>
      <c r="EB168" s="12">
        <v>0</v>
      </c>
      <c r="EC168" s="12">
        <v>0</v>
      </c>
      <c r="ED168" s="12">
        <v>0</v>
      </c>
      <c r="EE168" s="12">
        <v>0</v>
      </c>
      <c r="EF168" s="12">
        <v>0</v>
      </c>
      <c r="EG168" s="12">
        <v>0</v>
      </c>
      <c r="EH168" s="12">
        <v>0</v>
      </c>
      <c r="EI168" s="12">
        <v>0</v>
      </c>
      <c r="EJ168" s="12">
        <v>0</v>
      </c>
      <c r="EK168" s="12">
        <v>0</v>
      </c>
      <c r="EL168" s="12">
        <v>0</v>
      </c>
      <c r="EM168" s="12">
        <v>0</v>
      </c>
      <c r="EN168" s="12">
        <v>0</v>
      </c>
      <c r="EO168" s="12">
        <v>0</v>
      </c>
      <c r="EP168" s="12" t="str">
        <f t="shared" si="41"/>
        <v>🔴 Sin venta</v>
      </c>
      <c r="EQ168" s="23">
        <f t="shared" si="35"/>
        <v>0</v>
      </c>
      <c r="ER168" s="19">
        <f t="shared" si="34"/>
        <v>0</v>
      </c>
      <c r="ES168" s="12">
        <f t="shared" si="33"/>
        <v>0</v>
      </c>
      <c r="ET168" s="23">
        <f t="shared" si="38"/>
        <v>0</v>
      </c>
      <c r="EU168" s="23">
        <f t="shared" si="39"/>
        <v>0</v>
      </c>
      <c r="EV168" s="23">
        <f t="shared" si="40"/>
        <v>0</v>
      </c>
      <c r="EW168" s="23"/>
      <c r="EX168" s="12">
        <v>0</v>
      </c>
      <c r="EY168" s="19" cm="1">
        <f t="array" ref="EY168:FC168">VLOOKUP(_xlfn.SINGLE(B:B),'[1]Price List'!$B:$N,{8,4,5,6,7},0)</f>
        <v>348.75</v>
      </c>
      <c r="EZ168" s="9" t="str">
        <v>Speck Presidio2 Pro Case for iPhone 14 Pro Max - Charcoal/Cool Bronze</v>
      </c>
      <c r="FA168" s="12" t="str">
        <v>Cases iPhone</v>
      </c>
      <c r="FB168" s="12" t="str">
        <v>iPhone 14</v>
      </c>
      <c r="FC168" s="12" t="str">
        <v>iPhone 14 Pro Max</v>
      </c>
      <c r="FD168" s="23" t="str">
        <f>_xlfn.XLOOKUP(B:B,'[1]Price List'!$B:$B,'[1]Price List'!$A:$A)</f>
        <v>Speck</v>
      </c>
    </row>
    <row r="169" spans="1:160" s="9" customFormat="1" x14ac:dyDescent="0.2">
      <c r="A169" s="23" t="s">
        <v>599</v>
      </c>
      <c r="B169" s="24">
        <v>840168524792</v>
      </c>
      <c r="C169" s="16" t="s">
        <v>218</v>
      </c>
      <c r="D169" s="9" t="e">
        <v>#N/A</v>
      </c>
      <c r="E169" s="16" t="e">
        <v>#N/A</v>
      </c>
      <c r="F169" s="16" t="e">
        <v>#N/A</v>
      </c>
      <c r="G169" s="9" t="s">
        <v>689</v>
      </c>
      <c r="H169" s="17" t="s">
        <v>219</v>
      </c>
      <c r="I169" s="17">
        <v>899</v>
      </c>
      <c r="J169" s="11">
        <v>348.75</v>
      </c>
      <c r="K169" s="62">
        <v>0</v>
      </c>
      <c r="L169" s="12">
        <v>0</v>
      </c>
      <c r="M169" s="13" t="s">
        <v>467</v>
      </c>
      <c r="N169" s="13" t="s">
        <v>656</v>
      </c>
      <c r="O169" s="27" t="s">
        <v>169</v>
      </c>
      <c r="P169" s="12">
        <v>13</v>
      </c>
      <c r="Q169" s="12">
        <v>12</v>
      </c>
      <c r="R169" s="12">
        <v>6</v>
      </c>
      <c r="S169" s="12">
        <v>6</v>
      </c>
      <c r="T169" s="12">
        <v>6</v>
      </c>
      <c r="U169" s="12">
        <v>5</v>
      </c>
      <c r="V169" s="12">
        <v>6</v>
      </c>
      <c r="W169" s="12">
        <v>9</v>
      </c>
      <c r="X169" s="12">
        <v>16</v>
      </c>
      <c r="Y169" s="12">
        <v>9</v>
      </c>
      <c r="Z169" s="12">
        <v>8</v>
      </c>
      <c r="AA169" s="12">
        <v>10</v>
      </c>
      <c r="AB169" s="12">
        <v>6</v>
      </c>
      <c r="AC169" s="12">
        <v>4</v>
      </c>
      <c r="AD169" s="12">
        <v>7</v>
      </c>
      <c r="AE169" s="12">
        <v>5</v>
      </c>
      <c r="AF169" s="12">
        <v>7</v>
      </c>
      <c r="AG169" s="12">
        <v>4</v>
      </c>
      <c r="AH169" s="12">
        <v>3</v>
      </c>
      <c r="AI169" s="12">
        <v>3</v>
      </c>
      <c r="AJ169" s="12">
        <v>5</v>
      </c>
      <c r="AK169" s="12">
        <v>5</v>
      </c>
      <c r="AL169" s="12">
        <v>6</v>
      </c>
      <c r="AM169" s="12">
        <v>1</v>
      </c>
      <c r="AN169" s="12">
        <v>2</v>
      </c>
      <c r="AO169" s="12">
        <v>2</v>
      </c>
      <c r="AP169" s="12">
        <v>2</v>
      </c>
      <c r="AQ169" s="12">
        <v>2</v>
      </c>
      <c r="AR169" s="12">
        <v>1</v>
      </c>
      <c r="AS169" s="12">
        <v>0</v>
      </c>
      <c r="AT169" s="12">
        <v>2</v>
      </c>
      <c r="AU169" s="12">
        <v>0</v>
      </c>
      <c r="AV169" s="12">
        <v>0</v>
      </c>
      <c r="AW169" s="12">
        <v>3</v>
      </c>
      <c r="AX169" s="12">
        <v>0</v>
      </c>
      <c r="AY169" s="12">
        <v>0</v>
      </c>
      <c r="AZ169" s="12">
        <v>0</v>
      </c>
      <c r="BA169" s="12">
        <v>0</v>
      </c>
      <c r="BB169" s="12">
        <v>1</v>
      </c>
      <c r="BC169" s="12">
        <v>0</v>
      </c>
      <c r="BD169" s="12">
        <v>0</v>
      </c>
      <c r="BE169" s="12">
        <v>0</v>
      </c>
      <c r="BF169" s="12">
        <v>0</v>
      </c>
      <c r="BG169" s="12">
        <v>0</v>
      </c>
      <c r="BH169" s="12">
        <v>0</v>
      </c>
      <c r="BI169" s="12">
        <v>0</v>
      </c>
      <c r="BJ169" s="12">
        <v>0</v>
      </c>
      <c r="BK169" s="12">
        <v>0</v>
      </c>
      <c r="BL169" s="12">
        <v>0</v>
      </c>
      <c r="BM169" s="12">
        <v>0</v>
      </c>
      <c r="BN169" s="12">
        <v>0</v>
      </c>
      <c r="BO169" s="12">
        <v>0</v>
      </c>
      <c r="BP169" s="12">
        <v>0</v>
      </c>
      <c r="BQ169" s="12">
        <v>0</v>
      </c>
      <c r="BR169" s="12">
        <v>0</v>
      </c>
      <c r="BS169" s="12">
        <v>0</v>
      </c>
      <c r="BT169" s="12">
        <v>0</v>
      </c>
      <c r="BU169" s="12">
        <v>0</v>
      </c>
      <c r="BV169" s="12">
        <v>0</v>
      </c>
      <c r="BW169" s="12">
        <v>0</v>
      </c>
      <c r="BX169" s="12">
        <v>0</v>
      </c>
      <c r="BY169" s="12">
        <v>0</v>
      </c>
      <c r="BZ169" s="12">
        <v>0</v>
      </c>
      <c r="CA169" s="12">
        <v>0</v>
      </c>
      <c r="CB169" s="12">
        <v>0</v>
      </c>
      <c r="CC169" s="12">
        <v>0</v>
      </c>
      <c r="CD169" s="12">
        <v>0</v>
      </c>
      <c r="CE169" s="12">
        <v>0</v>
      </c>
      <c r="CF169" s="12">
        <v>0</v>
      </c>
      <c r="CG169" s="12">
        <v>0</v>
      </c>
      <c r="CH169" s="12">
        <v>0</v>
      </c>
      <c r="CI169" s="12">
        <v>0</v>
      </c>
      <c r="CJ169" s="12">
        <v>0</v>
      </c>
      <c r="CK169" s="12">
        <v>0</v>
      </c>
      <c r="CL169" s="12">
        <v>0</v>
      </c>
      <c r="CM169" s="12">
        <v>0</v>
      </c>
      <c r="CN169" s="12">
        <v>0</v>
      </c>
      <c r="CO169" s="12">
        <v>0</v>
      </c>
      <c r="CP169" s="12">
        <v>0</v>
      </c>
      <c r="CQ169" s="12">
        <v>0</v>
      </c>
      <c r="CR169" s="12">
        <v>0</v>
      </c>
      <c r="CS169" s="12">
        <v>0</v>
      </c>
      <c r="CT169" s="12">
        <v>0</v>
      </c>
      <c r="CU169" s="12">
        <v>0</v>
      </c>
      <c r="CV169" s="12">
        <v>0</v>
      </c>
      <c r="CW169" s="12">
        <v>0</v>
      </c>
      <c r="CX169" s="12">
        <v>0</v>
      </c>
      <c r="CY169" s="12">
        <v>0</v>
      </c>
      <c r="CZ169" s="12">
        <v>0</v>
      </c>
      <c r="DA169" s="12">
        <v>0</v>
      </c>
      <c r="DB169" s="12">
        <v>0</v>
      </c>
      <c r="DC169" s="12">
        <v>0</v>
      </c>
      <c r="DD169" s="12">
        <v>0</v>
      </c>
      <c r="DE169" s="12">
        <v>0</v>
      </c>
      <c r="DF169" s="12">
        <v>0</v>
      </c>
      <c r="DG169" s="12">
        <v>0</v>
      </c>
      <c r="DH169" s="12">
        <v>0</v>
      </c>
      <c r="DI169" s="12">
        <v>0</v>
      </c>
      <c r="DJ169" s="12">
        <v>0</v>
      </c>
      <c r="DK169" s="12">
        <v>0</v>
      </c>
      <c r="DL169" s="12">
        <v>0</v>
      </c>
      <c r="DM169" s="12">
        <v>0</v>
      </c>
      <c r="DN169" s="12">
        <v>0</v>
      </c>
      <c r="DO169" s="12">
        <v>0</v>
      </c>
      <c r="DP169" s="12">
        <v>0</v>
      </c>
      <c r="DQ169" s="12">
        <v>0</v>
      </c>
      <c r="DR169" s="12">
        <v>0</v>
      </c>
      <c r="DS169" s="12">
        <v>0</v>
      </c>
      <c r="DT169" s="12">
        <v>0</v>
      </c>
      <c r="DU169" s="12">
        <v>0</v>
      </c>
      <c r="DV169" s="12">
        <v>0</v>
      </c>
      <c r="DW169" s="12">
        <v>0</v>
      </c>
      <c r="DX169" s="12">
        <v>0</v>
      </c>
      <c r="DY169" s="12">
        <v>0</v>
      </c>
      <c r="DZ169" s="12">
        <v>0</v>
      </c>
      <c r="EA169" s="12">
        <v>0</v>
      </c>
      <c r="EB169" s="12">
        <v>0</v>
      </c>
      <c r="EC169" s="12">
        <v>0</v>
      </c>
      <c r="ED169" s="12">
        <v>0</v>
      </c>
      <c r="EE169" s="12">
        <v>0</v>
      </c>
      <c r="EF169" s="12">
        <v>0</v>
      </c>
      <c r="EG169" s="12">
        <v>0</v>
      </c>
      <c r="EH169" s="12">
        <v>0</v>
      </c>
      <c r="EI169" s="12">
        <v>0</v>
      </c>
      <c r="EJ169" s="12">
        <v>0</v>
      </c>
      <c r="EK169" s="12">
        <v>0</v>
      </c>
      <c r="EL169" s="12">
        <v>0</v>
      </c>
      <c r="EM169" s="12">
        <v>0</v>
      </c>
      <c r="EN169" s="12">
        <v>0</v>
      </c>
      <c r="EO169" s="12">
        <v>0</v>
      </c>
      <c r="EP169" s="12" t="str">
        <f t="shared" si="41"/>
        <v>🔴 Sin venta</v>
      </c>
      <c r="EQ169" s="23">
        <f t="shared" si="35"/>
        <v>0</v>
      </c>
      <c r="ER169" s="19">
        <f t="shared" si="34"/>
        <v>0</v>
      </c>
      <c r="ES169" s="12">
        <f t="shared" si="33"/>
        <v>0</v>
      </c>
      <c r="ET169" s="23">
        <f t="shared" si="38"/>
        <v>0</v>
      </c>
      <c r="EU169" s="23">
        <f t="shared" si="39"/>
        <v>0</v>
      </c>
      <c r="EV169" s="23">
        <f t="shared" si="40"/>
        <v>0</v>
      </c>
      <c r="EW169" s="23"/>
      <c r="EX169" s="12">
        <v>0</v>
      </c>
      <c r="EY169" s="19" cm="1">
        <f t="array" ref="EY169:FC169">VLOOKUP(_xlfn.SINGLE(B:B),'[1]Price List'!$B:$N,{8,4,5,6,7},0)</f>
        <v>348.75</v>
      </c>
      <c r="EZ169" s="9" t="str">
        <v>Speck Presidio2 Pro Case for iPhone 14 Pro - Black/White</v>
      </c>
      <c r="FA169" s="12" t="str">
        <v>Cases iPhone</v>
      </c>
      <c r="FB169" s="12" t="str">
        <v>iPhone 14</v>
      </c>
      <c r="FC169" s="12" t="str">
        <v xml:space="preserve">iPhone 14 Pro </v>
      </c>
      <c r="FD169" s="23" t="str">
        <f>_xlfn.XLOOKUP(B:B,'[1]Price List'!$B:$B,'[1]Price List'!$A:$A)</f>
        <v>Speck</v>
      </c>
    </row>
    <row r="170" spans="1:160" s="9" customFormat="1" x14ac:dyDescent="0.2">
      <c r="A170" s="23" t="s">
        <v>599</v>
      </c>
      <c r="B170" s="24">
        <v>840168521760</v>
      </c>
      <c r="C170" s="16" t="s">
        <v>170</v>
      </c>
      <c r="D170" s="9" t="e">
        <v>#N/A</v>
      </c>
      <c r="E170" s="16" t="e">
        <v>#N/A</v>
      </c>
      <c r="F170" s="16" t="e">
        <v>#N/A</v>
      </c>
      <c r="G170" s="9" t="s">
        <v>690</v>
      </c>
      <c r="H170" s="17" t="s">
        <v>171</v>
      </c>
      <c r="I170" s="17">
        <v>899</v>
      </c>
      <c r="J170" s="11">
        <v>348.75</v>
      </c>
      <c r="K170" s="62">
        <v>0</v>
      </c>
      <c r="L170" s="12">
        <v>0</v>
      </c>
      <c r="M170" s="13" t="s">
        <v>467</v>
      </c>
      <c r="N170" s="13" t="s">
        <v>656</v>
      </c>
      <c r="O170" s="27" t="s">
        <v>169</v>
      </c>
      <c r="P170" s="12">
        <v>10</v>
      </c>
      <c r="Q170" s="12">
        <v>10</v>
      </c>
      <c r="R170" s="12">
        <v>3</v>
      </c>
      <c r="S170" s="12">
        <v>7</v>
      </c>
      <c r="T170" s="12">
        <v>1</v>
      </c>
      <c r="U170" s="12">
        <v>2</v>
      </c>
      <c r="V170" s="12">
        <v>7</v>
      </c>
      <c r="W170" s="12">
        <v>4</v>
      </c>
      <c r="X170" s="12">
        <v>2</v>
      </c>
      <c r="Y170" s="12">
        <v>1</v>
      </c>
      <c r="Z170" s="12">
        <v>2</v>
      </c>
      <c r="AA170" s="12">
        <v>1</v>
      </c>
      <c r="AB170" s="12">
        <v>3</v>
      </c>
      <c r="AC170" s="12">
        <v>3</v>
      </c>
      <c r="AD170" s="12">
        <v>4</v>
      </c>
      <c r="AE170" s="12">
        <v>1</v>
      </c>
      <c r="AF170" s="12">
        <v>1</v>
      </c>
      <c r="AG170" s="12">
        <v>0</v>
      </c>
      <c r="AH170" s="12">
        <v>1</v>
      </c>
      <c r="AI170" s="12">
        <v>2</v>
      </c>
      <c r="AJ170" s="12">
        <v>1</v>
      </c>
      <c r="AK170" s="12">
        <v>0</v>
      </c>
      <c r="AL170" s="12">
        <v>0</v>
      </c>
      <c r="AM170" s="12">
        <v>1</v>
      </c>
      <c r="AN170" s="12">
        <v>1</v>
      </c>
      <c r="AO170" s="12">
        <v>0</v>
      </c>
      <c r="AP170" s="12">
        <v>1</v>
      </c>
      <c r="AQ170" s="12">
        <v>1</v>
      </c>
      <c r="AR170" s="12">
        <v>0</v>
      </c>
      <c r="AS170" s="12">
        <v>0</v>
      </c>
      <c r="AT170" s="12">
        <v>1</v>
      </c>
      <c r="AU170" s="12">
        <v>0</v>
      </c>
      <c r="AV170" s="12">
        <v>1</v>
      </c>
      <c r="AW170" s="12">
        <v>2</v>
      </c>
      <c r="AX170" s="12">
        <v>1</v>
      </c>
      <c r="AY170" s="12">
        <v>2</v>
      </c>
      <c r="AZ170" s="12">
        <v>0</v>
      </c>
      <c r="BA170" s="12">
        <v>1</v>
      </c>
      <c r="BB170" s="12">
        <v>0</v>
      </c>
      <c r="BC170" s="12">
        <v>0</v>
      </c>
      <c r="BD170" s="12">
        <v>0</v>
      </c>
      <c r="BE170" s="12">
        <v>0</v>
      </c>
      <c r="BF170" s="12">
        <v>0</v>
      </c>
      <c r="BG170" s="12">
        <v>0</v>
      </c>
      <c r="BH170" s="12">
        <v>0</v>
      </c>
      <c r="BI170" s="12">
        <v>0</v>
      </c>
      <c r="BJ170" s="12">
        <v>0</v>
      </c>
      <c r="BK170" s="12">
        <v>0</v>
      </c>
      <c r="BL170" s="12">
        <v>0</v>
      </c>
      <c r="BM170" s="12">
        <v>0</v>
      </c>
      <c r="BN170" s="12">
        <v>0</v>
      </c>
      <c r="BO170" s="12">
        <v>0</v>
      </c>
      <c r="BP170" s="12">
        <v>0</v>
      </c>
      <c r="BQ170" s="12">
        <v>0</v>
      </c>
      <c r="BR170" s="12">
        <v>0</v>
      </c>
      <c r="BS170" s="12">
        <v>0</v>
      </c>
      <c r="BT170" s="12">
        <v>0</v>
      </c>
      <c r="BU170" s="12">
        <v>0</v>
      </c>
      <c r="BV170" s="12">
        <v>0</v>
      </c>
      <c r="BW170" s="12">
        <v>0</v>
      </c>
      <c r="BX170" s="12">
        <v>0</v>
      </c>
      <c r="BY170" s="12">
        <v>0</v>
      </c>
      <c r="BZ170" s="12">
        <v>0</v>
      </c>
      <c r="CA170" s="12">
        <v>0</v>
      </c>
      <c r="CB170" s="12">
        <v>1</v>
      </c>
      <c r="CC170" s="12">
        <v>0</v>
      </c>
      <c r="CD170" s="12">
        <v>0</v>
      </c>
      <c r="CE170" s="12">
        <v>0</v>
      </c>
      <c r="CF170" s="12">
        <v>0</v>
      </c>
      <c r="CG170" s="12">
        <v>0</v>
      </c>
      <c r="CH170" s="12">
        <v>0</v>
      </c>
      <c r="CI170" s="12">
        <v>0</v>
      </c>
      <c r="CJ170" s="12">
        <v>0</v>
      </c>
      <c r="CK170" s="12">
        <v>0</v>
      </c>
      <c r="CL170" s="12">
        <v>0</v>
      </c>
      <c r="CM170" s="12">
        <v>0</v>
      </c>
      <c r="CN170" s="12">
        <v>0</v>
      </c>
      <c r="CO170" s="12">
        <v>0</v>
      </c>
      <c r="CP170" s="12">
        <v>0</v>
      </c>
      <c r="CQ170" s="12">
        <v>0</v>
      </c>
      <c r="CR170" s="12">
        <v>0</v>
      </c>
      <c r="CS170" s="12">
        <v>0</v>
      </c>
      <c r="CT170" s="12">
        <v>0</v>
      </c>
      <c r="CU170" s="12">
        <v>1</v>
      </c>
      <c r="CV170" s="12">
        <v>0</v>
      </c>
      <c r="CW170" s="12">
        <v>0</v>
      </c>
      <c r="CX170" s="12">
        <v>0</v>
      </c>
      <c r="CY170" s="12">
        <v>0</v>
      </c>
      <c r="CZ170" s="12">
        <v>0</v>
      </c>
      <c r="DA170" s="12">
        <v>0</v>
      </c>
      <c r="DB170" s="12">
        <v>0</v>
      </c>
      <c r="DC170" s="12">
        <v>0</v>
      </c>
      <c r="DD170" s="12">
        <v>1</v>
      </c>
      <c r="DE170" s="12">
        <v>0</v>
      </c>
      <c r="DF170" s="12">
        <v>1</v>
      </c>
      <c r="DG170" s="12">
        <v>0</v>
      </c>
      <c r="DH170" s="12">
        <v>0</v>
      </c>
      <c r="DI170" s="12">
        <v>0</v>
      </c>
      <c r="DJ170" s="12">
        <v>0</v>
      </c>
      <c r="DK170" s="12">
        <v>0</v>
      </c>
      <c r="DL170" s="12">
        <v>0</v>
      </c>
      <c r="DM170" s="12">
        <v>0</v>
      </c>
      <c r="DN170" s="12">
        <v>0</v>
      </c>
      <c r="DO170" s="12">
        <v>0</v>
      </c>
      <c r="DP170" s="12">
        <v>0</v>
      </c>
      <c r="DQ170" s="12">
        <v>0</v>
      </c>
      <c r="DR170" s="12">
        <v>0</v>
      </c>
      <c r="DS170" s="12">
        <v>0</v>
      </c>
      <c r="DT170" s="12">
        <v>0</v>
      </c>
      <c r="DU170" s="12">
        <v>0</v>
      </c>
      <c r="DV170" s="12">
        <v>0</v>
      </c>
      <c r="DW170" s="12">
        <v>0</v>
      </c>
      <c r="DX170" s="12">
        <v>0</v>
      </c>
      <c r="DY170" s="12">
        <v>0</v>
      </c>
      <c r="DZ170" s="12">
        <v>0</v>
      </c>
      <c r="EA170" s="12">
        <v>0</v>
      </c>
      <c r="EB170" s="12">
        <v>0</v>
      </c>
      <c r="EC170" s="12">
        <v>0</v>
      </c>
      <c r="ED170" s="12">
        <v>0</v>
      </c>
      <c r="EE170" s="12">
        <v>0</v>
      </c>
      <c r="EF170" s="12">
        <v>0</v>
      </c>
      <c r="EG170" s="12">
        <v>0</v>
      </c>
      <c r="EH170" s="12">
        <v>0</v>
      </c>
      <c r="EI170" s="12">
        <v>0</v>
      </c>
      <c r="EJ170" s="12">
        <v>0</v>
      </c>
      <c r="EK170" s="12">
        <v>0</v>
      </c>
      <c r="EL170" s="12">
        <v>0</v>
      </c>
      <c r="EM170" s="12">
        <v>0</v>
      </c>
      <c r="EN170" s="12">
        <v>0</v>
      </c>
      <c r="EO170" s="12">
        <v>0</v>
      </c>
      <c r="EP170" s="12" t="str">
        <f t="shared" si="41"/>
        <v>🔴 Sin venta</v>
      </c>
      <c r="EQ170" s="23">
        <f t="shared" si="35"/>
        <v>0</v>
      </c>
      <c r="ER170" s="19">
        <f t="shared" si="34"/>
        <v>0</v>
      </c>
      <c r="ES170" s="12">
        <f t="shared" si="33"/>
        <v>0</v>
      </c>
      <c r="ET170" s="23">
        <f t="shared" si="38"/>
        <v>1</v>
      </c>
      <c r="EU170" s="23">
        <f t="shared" si="39"/>
        <v>0</v>
      </c>
      <c r="EV170" s="23">
        <f t="shared" si="40"/>
        <v>0</v>
      </c>
      <c r="EW170" s="23"/>
      <c r="EX170" s="12">
        <v>2</v>
      </c>
      <c r="EY170" s="19" cm="1">
        <f t="array" ref="EY170:FC170">VLOOKUP(_xlfn.SINGLE(B:B),'[1]Price List'!$B:$N,{8,4,5,6,7},0)</f>
        <v>348.75</v>
      </c>
      <c r="EZ170" s="9" t="str">
        <v>Speck Presidio2 Pro Case for iPhone 13/14 - Black/White</v>
      </c>
      <c r="FA170" s="12" t="str">
        <v>Cases iPhone</v>
      </c>
      <c r="FB170" s="12" t="str">
        <v>iPhone 14</v>
      </c>
      <c r="FC170" s="12" t="str">
        <v>iPhone 13/14</v>
      </c>
      <c r="FD170" s="23" t="str">
        <f>_xlfn.XLOOKUP(B:B,'[1]Price List'!$B:$B,'[1]Price List'!$A:$A)</f>
        <v>Speck</v>
      </c>
    </row>
    <row r="171" spans="1:160" s="9" customFormat="1" x14ac:dyDescent="0.2">
      <c r="A171" s="23" t="s">
        <v>599</v>
      </c>
      <c r="B171" s="24">
        <v>840168525034</v>
      </c>
      <c r="C171" s="16" t="s">
        <v>220</v>
      </c>
      <c r="D171" s="9" t="s">
        <v>644</v>
      </c>
      <c r="E171" s="16" t="s">
        <v>316</v>
      </c>
      <c r="F171" s="16" t="s">
        <v>314</v>
      </c>
      <c r="G171" s="9" t="s">
        <v>314</v>
      </c>
      <c r="H171" s="17" t="s">
        <v>221</v>
      </c>
      <c r="I171" s="17">
        <v>899</v>
      </c>
      <c r="J171" s="11">
        <v>348.75</v>
      </c>
      <c r="K171" s="62">
        <v>0</v>
      </c>
      <c r="L171" s="12">
        <v>0</v>
      </c>
      <c r="M171" s="13" t="s">
        <v>467</v>
      </c>
      <c r="N171" s="13" t="s">
        <v>656</v>
      </c>
      <c r="O171" s="27" t="s">
        <v>169</v>
      </c>
      <c r="P171" s="12">
        <v>8</v>
      </c>
      <c r="Q171" s="12">
        <v>9</v>
      </c>
      <c r="R171" s="12">
        <v>9</v>
      </c>
      <c r="S171" s="12">
        <v>7</v>
      </c>
      <c r="T171" s="12">
        <v>9</v>
      </c>
      <c r="U171" s="12">
        <v>0</v>
      </c>
      <c r="V171" s="12">
        <v>19</v>
      </c>
      <c r="W171" s="12">
        <v>27</v>
      </c>
      <c r="X171" s="12">
        <v>16</v>
      </c>
      <c r="Y171" s="12">
        <v>14</v>
      </c>
      <c r="Z171" s="12">
        <v>14</v>
      </c>
      <c r="AA171" s="12">
        <v>14</v>
      </c>
      <c r="AB171" s="12">
        <v>11</v>
      </c>
      <c r="AC171" s="12">
        <v>7</v>
      </c>
      <c r="AD171" s="12">
        <v>6</v>
      </c>
      <c r="AE171" s="12">
        <v>4</v>
      </c>
      <c r="AF171" s="12">
        <v>0</v>
      </c>
      <c r="AG171" s="12">
        <v>1</v>
      </c>
      <c r="AH171" s="12">
        <v>0</v>
      </c>
      <c r="AI171" s="12">
        <v>7</v>
      </c>
      <c r="AJ171" s="12">
        <v>3</v>
      </c>
      <c r="AK171" s="12">
        <v>3</v>
      </c>
      <c r="AL171" s="12">
        <v>1</v>
      </c>
      <c r="AM171" s="12">
        <v>5</v>
      </c>
      <c r="AN171" s="12">
        <v>1</v>
      </c>
      <c r="AO171" s="12">
        <v>3</v>
      </c>
      <c r="AP171" s="12">
        <v>1</v>
      </c>
      <c r="AQ171" s="12">
        <v>2</v>
      </c>
      <c r="AR171" s="12">
        <v>3</v>
      </c>
      <c r="AS171" s="12">
        <v>2</v>
      </c>
      <c r="AT171" s="12">
        <v>4</v>
      </c>
      <c r="AU171" s="12">
        <v>1</v>
      </c>
      <c r="AV171" s="12">
        <v>0</v>
      </c>
      <c r="AW171" s="12">
        <v>1</v>
      </c>
      <c r="AX171" s="12">
        <v>1</v>
      </c>
      <c r="AY171" s="12">
        <v>3</v>
      </c>
      <c r="AZ171" s="12">
        <v>2</v>
      </c>
      <c r="BA171" s="12">
        <v>1</v>
      </c>
      <c r="BB171" s="12">
        <v>4</v>
      </c>
      <c r="BC171" s="12">
        <v>0</v>
      </c>
      <c r="BD171" s="12">
        <v>1</v>
      </c>
      <c r="BE171" s="12">
        <v>0</v>
      </c>
      <c r="BF171" s="12">
        <v>0</v>
      </c>
      <c r="BG171" s="12">
        <v>0</v>
      </c>
      <c r="BH171" s="12">
        <v>1</v>
      </c>
      <c r="BI171" s="12">
        <v>0</v>
      </c>
      <c r="BJ171" s="12">
        <v>0</v>
      </c>
      <c r="BK171" s="12">
        <v>0</v>
      </c>
      <c r="BL171" s="12">
        <v>0</v>
      </c>
      <c r="BM171" s="12">
        <v>0</v>
      </c>
      <c r="BN171" s="12">
        <v>0</v>
      </c>
      <c r="BO171" s="12">
        <v>0</v>
      </c>
      <c r="BP171" s="12">
        <v>0</v>
      </c>
      <c r="BQ171" s="12">
        <v>0</v>
      </c>
      <c r="BR171" s="12">
        <v>0</v>
      </c>
      <c r="BS171" s="12">
        <v>0</v>
      </c>
      <c r="BT171" s="12">
        <v>0</v>
      </c>
      <c r="BU171" s="12">
        <v>0</v>
      </c>
      <c r="BV171" s="12">
        <v>0</v>
      </c>
      <c r="BW171" s="12">
        <v>0</v>
      </c>
      <c r="BX171" s="12">
        <v>1</v>
      </c>
      <c r="BY171" s="12">
        <v>0</v>
      </c>
      <c r="BZ171" s="12">
        <v>0</v>
      </c>
      <c r="CA171" s="12">
        <v>0</v>
      </c>
      <c r="CB171" s="12">
        <v>0</v>
      </c>
      <c r="CC171" s="12">
        <v>0</v>
      </c>
      <c r="CD171" s="12">
        <v>0</v>
      </c>
      <c r="CE171" s="12">
        <v>0</v>
      </c>
      <c r="CF171" s="12">
        <v>0</v>
      </c>
      <c r="CG171" s="12">
        <v>0</v>
      </c>
      <c r="CH171" s="12">
        <v>0</v>
      </c>
      <c r="CI171" s="12">
        <v>0</v>
      </c>
      <c r="CJ171" s="12">
        <v>0</v>
      </c>
      <c r="CK171" s="12">
        <v>0</v>
      </c>
      <c r="CL171" s="12">
        <v>0</v>
      </c>
      <c r="CM171" s="12">
        <v>0</v>
      </c>
      <c r="CN171" s="12">
        <v>0</v>
      </c>
      <c r="CO171" s="12">
        <v>0</v>
      </c>
      <c r="CP171" s="12">
        <v>0</v>
      </c>
      <c r="CQ171" s="12">
        <v>0</v>
      </c>
      <c r="CR171" s="12">
        <v>0</v>
      </c>
      <c r="CS171" s="12">
        <v>0</v>
      </c>
      <c r="CT171" s="12">
        <v>0</v>
      </c>
      <c r="CU171" s="12">
        <v>0</v>
      </c>
      <c r="CV171" s="12">
        <v>0</v>
      </c>
      <c r="CW171" s="12">
        <v>0</v>
      </c>
      <c r="CX171" s="12">
        <v>0</v>
      </c>
      <c r="CY171" s="12">
        <v>0</v>
      </c>
      <c r="CZ171" s="12">
        <v>0</v>
      </c>
      <c r="DA171" s="12">
        <v>0</v>
      </c>
      <c r="DB171" s="12">
        <v>0</v>
      </c>
      <c r="DC171" s="12">
        <v>0</v>
      </c>
      <c r="DD171" s="12">
        <v>0</v>
      </c>
      <c r="DE171" s="12">
        <v>0</v>
      </c>
      <c r="DF171" s="12">
        <v>0</v>
      </c>
      <c r="DG171" s="12">
        <v>0</v>
      </c>
      <c r="DH171" s="12">
        <v>0</v>
      </c>
      <c r="DI171" s="12">
        <v>0</v>
      </c>
      <c r="DJ171" s="12">
        <v>0</v>
      </c>
      <c r="DK171" s="12">
        <v>0</v>
      </c>
      <c r="DL171" s="12">
        <v>0</v>
      </c>
      <c r="DM171" s="12">
        <v>0</v>
      </c>
      <c r="DN171" s="12">
        <v>0</v>
      </c>
      <c r="DO171" s="12">
        <v>0</v>
      </c>
      <c r="DP171" s="12">
        <v>0</v>
      </c>
      <c r="DQ171" s="12">
        <v>0</v>
      </c>
      <c r="DR171" s="12">
        <v>0</v>
      </c>
      <c r="DS171" s="12">
        <v>0</v>
      </c>
      <c r="DT171" s="12">
        <v>0</v>
      </c>
      <c r="DU171" s="12">
        <v>0</v>
      </c>
      <c r="DV171" s="12">
        <v>0</v>
      </c>
      <c r="DW171" s="12">
        <v>0</v>
      </c>
      <c r="DX171" s="12">
        <v>0</v>
      </c>
      <c r="DY171" s="12">
        <v>0</v>
      </c>
      <c r="DZ171" s="12">
        <v>0</v>
      </c>
      <c r="EA171" s="12">
        <v>0</v>
      </c>
      <c r="EB171" s="12">
        <v>0</v>
      </c>
      <c r="EC171" s="12">
        <v>0</v>
      </c>
      <c r="ED171" s="12">
        <v>0</v>
      </c>
      <c r="EE171" s="12">
        <v>0</v>
      </c>
      <c r="EF171" s="12">
        <v>0</v>
      </c>
      <c r="EG171" s="12">
        <v>0</v>
      </c>
      <c r="EH171" s="12">
        <v>0</v>
      </c>
      <c r="EI171" s="12">
        <v>0</v>
      </c>
      <c r="EJ171" s="12">
        <v>0</v>
      </c>
      <c r="EK171" s="12">
        <v>0</v>
      </c>
      <c r="EL171" s="12">
        <v>0</v>
      </c>
      <c r="EM171" s="12">
        <v>0</v>
      </c>
      <c r="EN171" s="12">
        <v>0</v>
      </c>
      <c r="EO171" s="12">
        <v>0</v>
      </c>
      <c r="EP171" s="12" t="str">
        <f t="shared" si="41"/>
        <v>🔴 Sin venta</v>
      </c>
      <c r="EQ171" s="23">
        <f t="shared" si="35"/>
        <v>0</v>
      </c>
      <c r="ER171" s="19">
        <f t="shared" si="34"/>
        <v>0</v>
      </c>
      <c r="ES171" s="12">
        <f t="shared" si="33"/>
        <v>0</v>
      </c>
      <c r="ET171" s="23">
        <f t="shared" si="38"/>
        <v>0</v>
      </c>
      <c r="EU171" s="23">
        <f t="shared" si="39"/>
        <v>0</v>
      </c>
      <c r="EV171" s="23">
        <f t="shared" si="40"/>
        <v>0</v>
      </c>
      <c r="EW171" s="23"/>
      <c r="EX171" s="12">
        <v>0</v>
      </c>
      <c r="EY171" s="19" cm="1">
        <f t="array" ref="EY171:FC171">VLOOKUP(_xlfn.SINGLE(B:B),'[1]Price List'!$B:$N,{8,4,5,6,7},0)</f>
        <v>348.75</v>
      </c>
      <c r="EZ171" s="9" t="str">
        <v>Speck Presidio Perfect Clear Case for iPhone 14 Pro - Clear</v>
      </c>
      <c r="FA171" s="12" t="str">
        <v>Cases iPhone</v>
      </c>
      <c r="FB171" s="12" t="str">
        <v>iPhone 14</v>
      </c>
      <c r="FC171" s="12" t="str">
        <v>iPhone 14 Pro</v>
      </c>
      <c r="FD171" s="23" t="str">
        <f>_xlfn.XLOOKUP(B:B,'[1]Price List'!$B:$B,'[1]Price List'!$A:$A)</f>
        <v>Speck</v>
      </c>
    </row>
    <row r="172" spans="1:160" s="9" customFormat="1" x14ac:dyDescent="0.2">
      <c r="A172" s="23" t="s">
        <v>599</v>
      </c>
      <c r="B172" s="24">
        <v>840168525348</v>
      </c>
      <c r="C172" s="16" t="s">
        <v>230</v>
      </c>
      <c r="D172" s="9" t="e">
        <v>#N/A</v>
      </c>
      <c r="E172" s="16" t="e">
        <v>#N/A</v>
      </c>
      <c r="F172" s="16" t="e">
        <v>#N/A</v>
      </c>
      <c r="G172" s="9" t="s">
        <v>689</v>
      </c>
      <c r="H172" s="17" t="s">
        <v>231</v>
      </c>
      <c r="I172" s="18">
        <v>1099</v>
      </c>
      <c r="J172" s="11">
        <v>426.34</v>
      </c>
      <c r="K172" s="62">
        <v>0</v>
      </c>
      <c r="L172" s="12">
        <v>0</v>
      </c>
      <c r="M172" s="13" t="s">
        <v>467</v>
      </c>
      <c r="N172" s="13" t="s">
        <v>656</v>
      </c>
      <c r="O172" s="27" t="s">
        <v>169</v>
      </c>
      <c r="P172" s="12">
        <v>3</v>
      </c>
      <c r="Q172" s="12">
        <v>9</v>
      </c>
      <c r="R172" s="12">
        <v>7</v>
      </c>
      <c r="S172" s="12">
        <v>6</v>
      </c>
      <c r="T172" s="12">
        <v>4</v>
      </c>
      <c r="U172" s="12">
        <v>4</v>
      </c>
      <c r="V172" s="12">
        <v>7</v>
      </c>
      <c r="W172" s="12">
        <v>6</v>
      </c>
      <c r="X172" s="12">
        <v>6</v>
      </c>
      <c r="Y172" s="12">
        <v>3</v>
      </c>
      <c r="Z172" s="12">
        <v>4</v>
      </c>
      <c r="AA172" s="12">
        <v>6</v>
      </c>
      <c r="AB172" s="12">
        <v>1</v>
      </c>
      <c r="AC172" s="12">
        <v>5</v>
      </c>
      <c r="AD172" s="12">
        <v>2</v>
      </c>
      <c r="AE172" s="12">
        <v>3</v>
      </c>
      <c r="AF172" s="12">
        <v>4</v>
      </c>
      <c r="AG172" s="12">
        <v>0</v>
      </c>
      <c r="AH172" s="12">
        <v>2</v>
      </c>
      <c r="AI172" s="12">
        <v>2</v>
      </c>
      <c r="AJ172" s="12">
        <v>3</v>
      </c>
      <c r="AK172" s="12">
        <v>1</v>
      </c>
      <c r="AL172" s="12">
        <v>1</v>
      </c>
      <c r="AM172" s="12">
        <v>2</v>
      </c>
      <c r="AN172" s="12">
        <v>1</v>
      </c>
      <c r="AO172" s="12">
        <v>2</v>
      </c>
      <c r="AP172" s="12">
        <v>0</v>
      </c>
      <c r="AQ172" s="12">
        <v>0</v>
      </c>
      <c r="AR172" s="12">
        <v>0</v>
      </c>
      <c r="AS172" s="12">
        <v>0</v>
      </c>
      <c r="AT172" s="12">
        <v>5</v>
      </c>
      <c r="AU172" s="12">
        <v>2</v>
      </c>
      <c r="AV172" s="12">
        <v>1</v>
      </c>
      <c r="AW172" s="12">
        <v>1</v>
      </c>
      <c r="AX172" s="12">
        <v>0</v>
      </c>
      <c r="AY172" s="12">
        <v>0</v>
      </c>
      <c r="AZ172" s="12">
        <v>0</v>
      </c>
      <c r="BA172" s="12">
        <v>0</v>
      </c>
      <c r="BB172" s="12">
        <v>0</v>
      </c>
      <c r="BC172" s="12">
        <v>1</v>
      </c>
      <c r="BD172" s="12">
        <v>0</v>
      </c>
      <c r="BE172" s="12">
        <v>0</v>
      </c>
      <c r="BF172" s="12">
        <v>0</v>
      </c>
      <c r="BG172" s="12">
        <v>0</v>
      </c>
      <c r="BH172" s="12">
        <v>0</v>
      </c>
      <c r="BI172" s="12">
        <v>0</v>
      </c>
      <c r="BJ172" s="12">
        <v>0</v>
      </c>
      <c r="BK172" s="12">
        <v>0</v>
      </c>
      <c r="BL172" s="12">
        <v>0</v>
      </c>
      <c r="BM172" s="12">
        <v>0</v>
      </c>
      <c r="BN172" s="12">
        <v>0</v>
      </c>
      <c r="BO172" s="12">
        <v>0</v>
      </c>
      <c r="BP172" s="12">
        <v>0</v>
      </c>
      <c r="BQ172" s="12">
        <v>0</v>
      </c>
      <c r="BR172" s="12">
        <v>0</v>
      </c>
      <c r="BS172" s="12">
        <v>0</v>
      </c>
      <c r="BT172" s="12">
        <v>0</v>
      </c>
      <c r="BU172" s="12">
        <v>0</v>
      </c>
      <c r="BV172" s="12">
        <v>0</v>
      </c>
      <c r="BW172" s="12">
        <v>0</v>
      </c>
      <c r="BX172" s="12">
        <v>0</v>
      </c>
      <c r="BY172" s="12">
        <v>0</v>
      </c>
      <c r="BZ172" s="12">
        <v>0</v>
      </c>
      <c r="CA172" s="12">
        <v>0</v>
      </c>
      <c r="CB172" s="12">
        <v>0</v>
      </c>
      <c r="CC172" s="12">
        <v>0</v>
      </c>
      <c r="CD172" s="12">
        <v>0</v>
      </c>
      <c r="CE172" s="12">
        <v>0</v>
      </c>
      <c r="CF172" s="12">
        <v>0</v>
      </c>
      <c r="CG172" s="12">
        <v>0</v>
      </c>
      <c r="CH172" s="12">
        <v>0</v>
      </c>
      <c r="CI172" s="12">
        <v>0</v>
      </c>
      <c r="CJ172" s="12">
        <v>0</v>
      </c>
      <c r="CK172" s="12">
        <v>0</v>
      </c>
      <c r="CL172" s="12">
        <v>0</v>
      </c>
      <c r="CM172" s="12">
        <v>0</v>
      </c>
      <c r="CN172" s="12">
        <v>0</v>
      </c>
      <c r="CO172" s="12">
        <v>0</v>
      </c>
      <c r="CP172" s="12">
        <v>0</v>
      </c>
      <c r="CQ172" s="12">
        <v>0</v>
      </c>
      <c r="CR172" s="12">
        <v>0</v>
      </c>
      <c r="CS172" s="12">
        <v>0</v>
      </c>
      <c r="CT172" s="12">
        <v>0</v>
      </c>
      <c r="CU172" s="12">
        <v>0</v>
      </c>
      <c r="CV172" s="12">
        <v>0</v>
      </c>
      <c r="CW172" s="12">
        <v>0</v>
      </c>
      <c r="CX172" s="12">
        <v>0</v>
      </c>
      <c r="CY172" s="12">
        <v>0</v>
      </c>
      <c r="CZ172" s="12">
        <v>0</v>
      </c>
      <c r="DA172" s="12">
        <v>0</v>
      </c>
      <c r="DB172" s="12">
        <v>0</v>
      </c>
      <c r="DC172" s="12">
        <v>0</v>
      </c>
      <c r="DD172" s="12">
        <v>0</v>
      </c>
      <c r="DE172" s="12">
        <v>0</v>
      </c>
      <c r="DF172" s="12">
        <v>0</v>
      </c>
      <c r="DG172" s="12">
        <v>0</v>
      </c>
      <c r="DH172" s="12">
        <v>0</v>
      </c>
      <c r="DI172" s="12">
        <v>0</v>
      </c>
      <c r="DJ172" s="12">
        <v>0</v>
      </c>
      <c r="DK172" s="12">
        <v>0</v>
      </c>
      <c r="DL172" s="12">
        <v>0</v>
      </c>
      <c r="DM172" s="12">
        <v>0</v>
      </c>
      <c r="DN172" s="12">
        <v>0</v>
      </c>
      <c r="DO172" s="12">
        <v>0</v>
      </c>
      <c r="DP172" s="12">
        <v>0</v>
      </c>
      <c r="DQ172" s="12">
        <v>0</v>
      </c>
      <c r="DR172" s="12">
        <v>0</v>
      </c>
      <c r="DS172" s="12">
        <v>0</v>
      </c>
      <c r="DT172" s="12">
        <v>0</v>
      </c>
      <c r="DU172" s="12">
        <v>0</v>
      </c>
      <c r="DV172" s="12">
        <v>0</v>
      </c>
      <c r="DW172" s="12">
        <v>0</v>
      </c>
      <c r="DX172" s="12">
        <v>0</v>
      </c>
      <c r="DY172" s="12">
        <v>0</v>
      </c>
      <c r="DZ172" s="12">
        <v>0</v>
      </c>
      <c r="EA172" s="12">
        <v>0</v>
      </c>
      <c r="EB172" s="12">
        <v>0</v>
      </c>
      <c r="EC172" s="12">
        <v>0</v>
      </c>
      <c r="ED172" s="12">
        <v>0</v>
      </c>
      <c r="EE172" s="12">
        <v>0</v>
      </c>
      <c r="EF172" s="12">
        <v>0</v>
      </c>
      <c r="EG172" s="12">
        <v>0</v>
      </c>
      <c r="EH172" s="12">
        <v>0</v>
      </c>
      <c r="EI172" s="12">
        <v>0</v>
      </c>
      <c r="EJ172" s="12">
        <v>0</v>
      </c>
      <c r="EK172" s="12">
        <v>0</v>
      </c>
      <c r="EL172" s="12">
        <v>0</v>
      </c>
      <c r="EM172" s="12">
        <v>0</v>
      </c>
      <c r="EN172" s="12">
        <v>0</v>
      </c>
      <c r="EO172" s="12">
        <v>0</v>
      </c>
      <c r="EP172" s="12" t="str">
        <f t="shared" si="41"/>
        <v>🔴 Sin venta</v>
      </c>
      <c r="EQ172" s="23">
        <f t="shared" si="35"/>
        <v>0</v>
      </c>
      <c r="ER172" s="19">
        <f t="shared" si="34"/>
        <v>0</v>
      </c>
      <c r="ES172" s="12">
        <f t="shared" si="33"/>
        <v>0</v>
      </c>
      <c r="ET172" s="23">
        <f t="shared" si="38"/>
        <v>0</v>
      </c>
      <c r="EU172" s="23">
        <f t="shared" si="39"/>
        <v>0</v>
      </c>
      <c r="EV172" s="23">
        <f t="shared" si="40"/>
        <v>0</v>
      </c>
      <c r="EW172" s="23"/>
      <c r="EX172" s="12">
        <v>0</v>
      </c>
      <c r="EY172" s="19" cm="1">
        <f t="array" ref="EY172:FC172">VLOOKUP(_xlfn.SINGLE(B:B),'[1]Price List'!$B:$N,{8,4,5,6,7},0)</f>
        <v>426.34</v>
      </c>
      <c r="EZ172" s="9" t="str">
        <v>Speck Presidio Perfect Mist Case with MagSafe for iPhone 14 Pro - Coastal Blue</v>
      </c>
      <c r="FA172" s="12" t="str">
        <v>Cases iPhone</v>
      </c>
      <c r="FB172" s="12" t="str">
        <v>iPhone 14</v>
      </c>
      <c r="FC172" s="12" t="str">
        <v xml:space="preserve">iPhone 14 Pro </v>
      </c>
      <c r="FD172" s="23" t="str">
        <f>_xlfn.XLOOKUP(B:B,'[1]Price List'!$B:$B,'[1]Price List'!$A:$A)</f>
        <v>Speck</v>
      </c>
    </row>
    <row r="173" spans="1:160" s="9" customFormat="1" x14ac:dyDescent="0.2">
      <c r="A173" s="23" t="s">
        <v>599</v>
      </c>
      <c r="B173" s="24">
        <v>840168522774</v>
      </c>
      <c r="C173" s="16" t="s">
        <v>186</v>
      </c>
      <c r="D173" s="9" t="e">
        <v>#N/A</v>
      </c>
      <c r="E173" s="16" t="e">
        <v>#N/A</v>
      </c>
      <c r="F173" s="16" t="e">
        <v>#N/A</v>
      </c>
      <c r="G173" s="9" t="s">
        <v>315</v>
      </c>
      <c r="H173" s="17" t="s">
        <v>187</v>
      </c>
      <c r="I173" s="17">
        <v>899</v>
      </c>
      <c r="J173" s="11">
        <v>348.75</v>
      </c>
      <c r="K173" s="62">
        <v>0</v>
      </c>
      <c r="L173" s="12">
        <v>0</v>
      </c>
      <c r="M173" s="13" t="s">
        <v>467</v>
      </c>
      <c r="N173" s="13" t="s">
        <v>656</v>
      </c>
      <c r="O173" s="27" t="s">
        <v>169</v>
      </c>
      <c r="P173" s="12">
        <v>18</v>
      </c>
      <c r="Q173" s="12">
        <v>8</v>
      </c>
      <c r="R173" s="12">
        <v>8</v>
      </c>
      <c r="S173" s="12">
        <v>9</v>
      </c>
      <c r="T173" s="12">
        <v>8</v>
      </c>
      <c r="U173" s="12">
        <v>2</v>
      </c>
      <c r="V173" s="12">
        <v>13</v>
      </c>
      <c r="W173" s="12">
        <v>15</v>
      </c>
      <c r="X173" s="12">
        <v>18</v>
      </c>
      <c r="Y173" s="12">
        <v>13</v>
      </c>
      <c r="Z173" s="12">
        <v>14</v>
      </c>
      <c r="AA173" s="12">
        <v>16</v>
      </c>
      <c r="AB173" s="12">
        <v>11</v>
      </c>
      <c r="AC173" s="12">
        <v>7</v>
      </c>
      <c r="AD173" s="12">
        <v>5</v>
      </c>
      <c r="AE173" s="12">
        <v>3</v>
      </c>
      <c r="AF173" s="12">
        <v>2</v>
      </c>
      <c r="AG173" s="12">
        <v>4</v>
      </c>
      <c r="AH173" s="12">
        <v>5</v>
      </c>
      <c r="AI173" s="12">
        <v>2</v>
      </c>
      <c r="AJ173" s="12">
        <v>8</v>
      </c>
      <c r="AK173" s="12">
        <v>5</v>
      </c>
      <c r="AL173" s="12">
        <v>3</v>
      </c>
      <c r="AM173" s="12">
        <v>2</v>
      </c>
      <c r="AN173" s="12">
        <v>2</v>
      </c>
      <c r="AO173" s="12">
        <v>3</v>
      </c>
      <c r="AP173" s="12">
        <v>0</v>
      </c>
      <c r="AQ173" s="12">
        <v>2</v>
      </c>
      <c r="AR173" s="12">
        <v>3</v>
      </c>
      <c r="AS173" s="12">
        <v>0</v>
      </c>
      <c r="AT173" s="12">
        <v>2</v>
      </c>
      <c r="AU173" s="12">
        <v>1</v>
      </c>
      <c r="AV173" s="12">
        <v>0</v>
      </c>
      <c r="AW173" s="12">
        <v>3</v>
      </c>
      <c r="AX173" s="12">
        <v>0</v>
      </c>
      <c r="AY173" s="12">
        <v>0</v>
      </c>
      <c r="AZ173" s="12">
        <v>0</v>
      </c>
      <c r="BA173" s="12">
        <v>0</v>
      </c>
      <c r="BB173" s="12">
        <v>0</v>
      </c>
      <c r="BC173" s="12">
        <v>0</v>
      </c>
      <c r="BD173" s="12">
        <v>1</v>
      </c>
      <c r="BE173" s="12">
        <v>0</v>
      </c>
      <c r="BF173" s="12">
        <v>0</v>
      </c>
      <c r="BG173" s="12">
        <v>0</v>
      </c>
      <c r="BH173" s="12">
        <v>0</v>
      </c>
      <c r="BI173" s="12">
        <v>0</v>
      </c>
      <c r="BJ173" s="12">
        <v>0</v>
      </c>
      <c r="BK173" s="12">
        <v>0</v>
      </c>
      <c r="BL173" s="12">
        <v>0</v>
      </c>
      <c r="BM173" s="12">
        <v>0</v>
      </c>
      <c r="BN173" s="12">
        <v>0</v>
      </c>
      <c r="BO173" s="12">
        <v>0</v>
      </c>
      <c r="BP173" s="12">
        <v>0</v>
      </c>
      <c r="BQ173" s="12">
        <v>0</v>
      </c>
      <c r="BR173" s="12">
        <v>0</v>
      </c>
      <c r="BS173" s="12">
        <v>0</v>
      </c>
      <c r="BT173" s="12">
        <v>0</v>
      </c>
      <c r="BU173" s="12">
        <v>0</v>
      </c>
      <c r="BV173" s="12">
        <v>0</v>
      </c>
      <c r="BW173" s="12">
        <v>0</v>
      </c>
      <c r="BX173" s="12">
        <v>0</v>
      </c>
      <c r="BY173" s="12">
        <v>0</v>
      </c>
      <c r="BZ173" s="12">
        <v>0</v>
      </c>
      <c r="CA173" s="12">
        <v>0</v>
      </c>
      <c r="CB173" s="12">
        <v>0</v>
      </c>
      <c r="CC173" s="12">
        <v>0</v>
      </c>
      <c r="CD173" s="12">
        <v>0</v>
      </c>
      <c r="CE173" s="12">
        <v>0</v>
      </c>
      <c r="CF173" s="12">
        <v>0</v>
      </c>
      <c r="CG173" s="12">
        <v>0</v>
      </c>
      <c r="CH173" s="12">
        <v>0</v>
      </c>
      <c r="CI173" s="12">
        <v>0</v>
      </c>
      <c r="CJ173" s="12">
        <v>0</v>
      </c>
      <c r="CK173" s="12">
        <v>0</v>
      </c>
      <c r="CL173" s="12">
        <v>0</v>
      </c>
      <c r="CM173" s="12">
        <v>0</v>
      </c>
      <c r="CN173" s="12">
        <v>0</v>
      </c>
      <c r="CO173" s="12">
        <v>0</v>
      </c>
      <c r="CP173" s="12">
        <v>0</v>
      </c>
      <c r="CQ173" s="12">
        <v>0</v>
      </c>
      <c r="CR173" s="12">
        <v>0</v>
      </c>
      <c r="CS173" s="12">
        <v>0</v>
      </c>
      <c r="CT173" s="12">
        <v>0</v>
      </c>
      <c r="CU173" s="12">
        <v>0</v>
      </c>
      <c r="CV173" s="12">
        <v>0</v>
      </c>
      <c r="CW173" s="12">
        <v>0</v>
      </c>
      <c r="CX173" s="12">
        <v>0</v>
      </c>
      <c r="CY173" s="12">
        <v>0</v>
      </c>
      <c r="CZ173" s="12">
        <v>0</v>
      </c>
      <c r="DA173" s="12">
        <v>0</v>
      </c>
      <c r="DB173" s="12">
        <v>0</v>
      </c>
      <c r="DC173" s="12">
        <v>0</v>
      </c>
      <c r="DD173" s="12">
        <v>0</v>
      </c>
      <c r="DE173" s="12">
        <v>0</v>
      </c>
      <c r="DF173" s="12">
        <v>0</v>
      </c>
      <c r="DG173" s="12">
        <v>0</v>
      </c>
      <c r="DH173" s="12">
        <v>0</v>
      </c>
      <c r="DI173" s="12">
        <v>0</v>
      </c>
      <c r="DJ173" s="12">
        <v>0</v>
      </c>
      <c r="DK173" s="12">
        <v>0</v>
      </c>
      <c r="DL173" s="12">
        <v>0</v>
      </c>
      <c r="DM173" s="12">
        <v>0</v>
      </c>
      <c r="DN173" s="12">
        <v>0</v>
      </c>
      <c r="DO173" s="12">
        <v>0</v>
      </c>
      <c r="DP173" s="12">
        <v>0</v>
      </c>
      <c r="DQ173" s="12">
        <v>0</v>
      </c>
      <c r="DR173" s="12">
        <v>0</v>
      </c>
      <c r="DS173" s="12">
        <v>0</v>
      </c>
      <c r="DT173" s="12">
        <v>0</v>
      </c>
      <c r="DU173" s="12">
        <v>0</v>
      </c>
      <c r="DV173" s="12">
        <v>0</v>
      </c>
      <c r="DW173" s="12">
        <v>0</v>
      </c>
      <c r="DX173" s="12">
        <v>0</v>
      </c>
      <c r="DY173" s="12">
        <v>0</v>
      </c>
      <c r="DZ173" s="12">
        <v>0</v>
      </c>
      <c r="EA173" s="12">
        <v>0</v>
      </c>
      <c r="EB173" s="12">
        <v>0</v>
      </c>
      <c r="EC173" s="12">
        <v>0</v>
      </c>
      <c r="ED173" s="12">
        <v>0</v>
      </c>
      <c r="EE173" s="12">
        <v>0</v>
      </c>
      <c r="EF173" s="12">
        <v>0</v>
      </c>
      <c r="EG173" s="12">
        <v>0</v>
      </c>
      <c r="EH173" s="12">
        <v>0</v>
      </c>
      <c r="EI173" s="12">
        <v>0</v>
      </c>
      <c r="EJ173" s="12">
        <v>0</v>
      </c>
      <c r="EK173" s="12">
        <v>0</v>
      </c>
      <c r="EL173" s="12">
        <v>0</v>
      </c>
      <c r="EM173" s="12">
        <v>0</v>
      </c>
      <c r="EN173" s="12">
        <v>0</v>
      </c>
      <c r="EO173" s="12">
        <v>0</v>
      </c>
      <c r="EP173" s="12" t="str">
        <f t="shared" si="41"/>
        <v>🔴 Sin venta</v>
      </c>
      <c r="EQ173" s="23">
        <f t="shared" si="35"/>
        <v>0</v>
      </c>
      <c r="ER173" s="19">
        <f t="shared" si="34"/>
        <v>0</v>
      </c>
      <c r="ES173" s="12">
        <f t="shared" si="33"/>
        <v>0</v>
      </c>
      <c r="ET173" s="23">
        <f t="shared" si="38"/>
        <v>0</v>
      </c>
      <c r="EU173" s="23">
        <f t="shared" si="39"/>
        <v>0</v>
      </c>
      <c r="EV173" s="23">
        <f t="shared" si="40"/>
        <v>0</v>
      </c>
      <c r="EW173" s="23"/>
      <c r="EX173" s="12">
        <v>0</v>
      </c>
      <c r="EY173" s="19" cm="1">
        <f t="array" ref="EY173:FC173">VLOOKUP(_xlfn.SINGLE(B:B),'[1]Price List'!$B:$N,{8,4,5,6,7},0)</f>
        <v>348.75</v>
      </c>
      <c r="EZ173" s="9" t="str">
        <v>Speck Presidio2 Pro Case for iPhone 14 Pro Max - Black/White</v>
      </c>
      <c r="FA173" s="12" t="str">
        <v>Cases iPhone</v>
      </c>
      <c r="FB173" s="12" t="str">
        <v>iPhone 14</v>
      </c>
      <c r="FC173" s="12" t="str">
        <v>iPhone 14 Pro Max</v>
      </c>
      <c r="FD173" s="23" t="str">
        <f>_xlfn.XLOOKUP(B:B,'[1]Price List'!$B:$B,'[1]Price List'!$A:$A)</f>
        <v>Speck</v>
      </c>
    </row>
    <row r="174" spans="1:160" s="9" customFormat="1" x14ac:dyDescent="0.2">
      <c r="A174" s="23" t="s">
        <v>599</v>
      </c>
      <c r="B174" s="24">
        <v>840168525331</v>
      </c>
      <c r="C174" s="16" t="s">
        <v>228</v>
      </c>
      <c r="D174" s="9" t="e">
        <v>#N/A</v>
      </c>
      <c r="E174" s="16" t="e">
        <v>#N/A</v>
      </c>
      <c r="F174" s="16" t="e">
        <v>#N/A</v>
      </c>
      <c r="G174" s="9" t="s">
        <v>689</v>
      </c>
      <c r="H174" s="17" t="s">
        <v>229</v>
      </c>
      <c r="I174" s="18">
        <v>1099</v>
      </c>
      <c r="J174" s="11">
        <v>426.34</v>
      </c>
      <c r="K174" s="62">
        <v>0</v>
      </c>
      <c r="L174" s="12">
        <v>0</v>
      </c>
      <c r="M174" s="13" t="s">
        <v>467</v>
      </c>
      <c r="N174" s="13" t="s">
        <v>656</v>
      </c>
      <c r="O174" s="27" t="s">
        <v>169</v>
      </c>
      <c r="P174" s="12">
        <v>14</v>
      </c>
      <c r="Q174" s="12">
        <v>8</v>
      </c>
      <c r="R174" s="12">
        <v>7</v>
      </c>
      <c r="S174" s="12">
        <v>6</v>
      </c>
      <c r="T174" s="12">
        <v>5</v>
      </c>
      <c r="U174" s="12">
        <v>0</v>
      </c>
      <c r="V174" s="12">
        <v>11</v>
      </c>
      <c r="W174" s="12">
        <v>11</v>
      </c>
      <c r="X174" s="12">
        <v>9</v>
      </c>
      <c r="Y174" s="12">
        <v>8</v>
      </c>
      <c r="Z174" s="12">
        <v>8</v>
      </c>
      <c r="AA174" s="12">
        <v>8</v>
      </c>
      <c r="AB174" s="12">
        <v>6</v>
      </c>
      <c r="AC174" s="12">
        <v>2</v>
      </c>
      <c r="AD174" s="12">
        <v>3</v>
      </c>
      <c r="AE174" s="12">
        <v>2</v>
      </c>
      <c r="AF174" s="12">
        <v>2</v>
      </c>
      <c r="AG174" s="12">
        <v>3</v>
      </c>
      <c r="AH174" s="12">
        <v>3</v>
      </c>
      <c r="AI174" s="12">
        <v>0</v>
      </c>
      <c r="AJ174" s="12">
        <v>3</v>
      </c>
      <c r="AK174" s="12">
        <v>1</v>
      </c>
      <c r="AL174" s="12">
        <v>2</v>
      </c>
      <c r="AM174" s="12">
        <v>1</v>
      </c>
      <c r="AN174" s="12">
        <v>0</v>
      </c>
      <c r="AO174" s="12">
        <v>0</v>
      </c>
      <c r="AP174" s="12">
        <v>1</v>
      </c>
      <c r="AQ174" s="12">
        <v>1</v>
      </c>
      <c r="AR174" s="12">
        <v>2</v>
      </c>
      <c r="AS174" s="12">
        <v>0</v>
      </c>
      <c r="AT174" s="12">
        <v>1</v>
      </c>
      <c r="AU174" s="12">
        <v>1</v>
      </c>
      <c r="AV174" s="12">
        <v>1</v>
      </c>
      <c r="AW174" s="12">
        <v>1</v>
      </c>
      <c r="AX174" s="12">
        <v>2</v>
      </c>
      <c r="AY174" s="12">
        <v>0</v>
      </c>
      <c r="AZ174" s="12">
        <v>1</v>
      </c>
      <c r="BA174" s="12">
        <v>1</v>
      </c>
      <c r="BB174" s="12">
        <v>0</v>
      </c>
      <c r="BC174" s="12">
        <v>1</v>
      </c>
      <c r="BD174" s="12">
        <v>0</v>
      </c>
      <c r="BE174" s="12">
        <v>0</v>
      </c>
      <c r="BF174" s="12">
        <v>0</v>
      </c>
      <c r="BG174" s="12">
        <v>0</v>
      </c>
      <c r="BH174" s="12">
        <v>0</v>
      </c>
      <c r="BI174" s="12">
        <v>0</v>
      </c>
      <c r="BJ174" s="12">
        <v>0</v>
      </c>
      <c r="BK174" s="12">
        <v>0</v>
      </c>
      <c r="BL174" s="12">
        <v>0</v>
      </c>
      <c r="BM174" s="12">
        <v>0</v>
      </c>
      <c r="BN174" s="12">
        <v>0</v>
      </c>
      <c r="BO174" s="12">
        <v>0</v>
      </c>
      <c r="BP174" s="12">
        <v>0</v>
      </c>
      <c r="BQ174" s="12">
        <v>0</v>
      </c>
      <c r="BR174" s="12">
        <v>0</v>
      </c>
      <c r="BS174" s="12">
        <v>0</v>
      </c>
      <c r="BT174" s="12">
        <v>0</v>
      </c>
      <c r="BU174" s="12">
        <v>0</v>
      </c>
      <c r="BV174" s="12">
        <v>0</v>
      </c>
      <c r="BW174" s="12">
        <v>0</v>
      </c>
      <c r="BX174" s="12">
        <v>0</v>
      </c>
      <c r="BY174" s="12">
        <v>0</v>
      </c>
      <c r="BZ174" s="12">
        <v>0</v>
      </c>
      <c r="CA174" s="12">
        <v>0</v>
      </c>
      <c r="CB174" s="12">
        <v>0</v>
      </c>
      <c r="CC174" s="12">
        <v>0</v>
      </c>
      <c r="CD174" s="12">
        <v>0</v>
      </c>
      <c r="CE174" s="12">
        <v>0</v>
      </c>
      <c r="CF174" s="12">
        <v>0</v>
      </c>
      <c r="CG174" s="12">
        <v>0</v>
      </c>
      <c r="CH174" s="12">
        <v>0</v>
      </c>
      <c r="CI174" s="12">
        <v>0</v>
      </c>
      <c r="CJ174" s="12">
        <v>0</v>
      </c>
      <c r="CK174" s="12">
        <v>0</v>
      </c>
      <c r="CL174" s="12">
        <v>0</v>
      </c>
      <c r="CM174" s="12">
        <v>0</v>
      </c>
      <c r="CN174" s="12">
        <v>0</v>
      </c>
      <c r="CO174" s="12">
        <v>0</v>
      </c>
      <c r="CP174" s="12">
        <v>0</v>
      </c>
      <c r="CQ174" s="12">
        <v>0</v>
      </c>
      <c r="CR174" s="12">
        <v>0</v>
      </c>
      <c r="CS174" s="12">
        <v>0</v>
      </c>
      <c r="CT174" s="12">
        <v>0</v>
      </c>
      <c r="CU174" s="12">
        <v>0</v>
      </c>
      <c r="CV174" s="12">
        <v>0</v>
      </c>
      <c r="CW174" s="12">
        <v>0</v>
      </c>
      <c r="CX174" s="12">
        <v>0</v>
      </c>
      <c r="CY174" s="12">
        <v>0</v>
      </c>
      <c r="CZ174" s="12">
        <v>0</v>
      </c>
      <c r="DA174" s="12">
        <v>0</v>
      </c>
      <c r="DB174" s="12">
        <v>0</v>
      </c>
      <c r="DC174" s="12">
        <v>0</v>
      </c>
      <c r="DD174" s="12">
        <v>0</v>
      </c>
      <c r="DE174" s="12">
        <v>0</v>
      </c>
      <c r="DF174" s="12">
        <v>0</v>
      </c>
      <c r="DG174" s="12">
        <v>0</v>
      </c>
      <c r="DH174" s="12">
        <v>0</v>
      </c>
      <c r="DI174" s="12">
        <v>0</v>
      </c>
      <c r="DJ174" s="12">
        <v>0</v>
      </c>
      <c r="DK174" s="12">
        <v>0</v>
      </c>
      <c r="DL174" s="12">
        <v>0</v>
      </c>
      <c r="DM174" s="12">
        <v>0</v>
      </c>
      <c r="DN174" s="12">
        <v>0</v>
      </c>
      <c r="DO174" s="12">
        <v>0</v>
      </c>
      <c r="DP174" s="12">
        <v>0</v>
      </c>
      <c r="DQ174" s="12">
        <v>0</v>
      </c>
      <c r="DR174" s="12">
        <v>0</v>
      </c>
      <c r="DS174" s="12">
        <v>0</v>
      </c>
      <c r="DT174" s="12">
        <v>0</v>
      </c>
      <c r="DU174" s="12">
        <v>0</v>
      </c>
      <c r="DV174" s="12">
        <v>0</v>
      </c>
      <c r="DW174" s="12">
        <v>0</v>
      </c>
      <c r="DX174" s="12">
        <v>0</v>
      </c>
      <c r="DY174" s="12">
        <v>0</v>
      </c>
      <c r="DZ174" s="12">
        <v>0</v>
      </c>
      <c r="EA174" s="12">
        <v>0</v>
      </c>
      <c r="EB174" s="12">
        <v>0</v>
      </c>
      <c r="EC174" s="12">
        <v>0</v>
      </c>
      <c r="ED174" s="12">
        <v>0</v>
      </c>
      <c r="EE174" s="12">
        <v>0</v>
      </c>
      <c r="EF174" s="12">
        <v>0</v>
      </c>
      <c r="EG174" s="12">
        <v>0</v>
      </c>
      <c r="EH174" s="12">
        <v>0</v>
      </c>
      <c r="EI174" s="12">
        <v>0</v>
      </c>
      <c r="EJ174" s="12">
        <v>0</v>
      </c>
      <c r="EK174" s="12">
        <v>0</v>
      </c>
      <c r="EL174" s="12">
        <v>0</v>
      </c>
      <c r="EM174" s="12">
        <v>0</v>
      </c>
      <c r="EN174" s="12">
        <v>0</v>
      </c>
      <c r="EO174" s="12">
        <v>0</v>
      </c>
      <c r="EP174" s="12" t="str">
        <f t="shared" si="41"/>
        <v>🔴 Sin venta</v>
      </c>
      <c r="EQ174" s="23">
        <f t="shared" si="35"/>
        <v>0</v>
      </c>
      <c r="ER174" s="19">
        <f t="shared" si="34"/>
        <v>0</v>
      </c>
      <c r="ES174" s="12">
        <f t="shared" si="33"/>
        <v>0</v>
      </c>
      <c r="ET174" s="23">
        <f t="shared" si="38"/>
        <v>0</v>
      </c>
      <c r="EU174" s="23">
        <f t="shared" si="39"/>
        <v>0</v>
      </c>
      <c r="EV174" s="23">
        <f t="shared" si="40"/>
        <v>0</v>
      </c>
      <c r="EW174" s="23"/>
      <c r="EX174" s="12">
        <v>0</v>
      </c>
      <c r="EY174" s="19" cm="1">
        <f t="array" ref="EY174:FC174">VLOOKUP(_xlfn.SINGLE(B:B),'[1]Price List'!$B:$N,{8,4,5,6,7},0)</f>
        <v>426.34</v>
      </c>
      <c r="EZ174" s="9" t="str">
        <v>Speck Presidio Perfect Mist Case with MagSafe for iPhone 14 Pro - Obsidian/Obsidia</v>
      </c>
      <c r="FA174" s="12" t="str">
        <v>Cases iPhone</v>
      </c>
      <c r="FB174" s="12" t="str">
        <v>iPhone 14</v>
      </c>
      <c r="FC174" s="12" t="str">
        <v xml:space="preserve">iPhone 14 Pro </v>
      </c>
      <c r="FD174" s="23" t="str">
        <f>_xlfn.XLOOKUP(B:B,'[1]Price List'!$B:$B,'[1]Price List'!$A:$A)</f>
        <v>Speck</v>
      </c>
    </row>
    <row r="175" spans="1:160" s="9" customFormat="1" x14ac:dyDescent="0.2">
      <c r="A175" s="23" t="s">
        <v>599</v>
      </c>
      <c r="B175" s="24">
        <v>840168523245</v>
      </c>
      <c r="C175" s="16" t="s">
        <v>194</v>
      </c>
      <c r="D175" s="9" t="e">
        <v>#N/A</v>
      </c>
      <c r="E175" s="16" t="e">
        <v>#N/A</v>
      </c>
      <c r="F175" s="16" t="e">
        <v>#N/A</v>
      </c>
      <c r="G175" s="9" t="s">
        <v>315</v>
      </c>
      <c r="H175" s="17" t="s">
        <v>195</v>
      </c>
      <c r="I175" s="18">
        <v>1099</v>
      </c>
      <c r="J175" s="11">
        <v>426.34</v>
      </c>
      <c r="K175" s="62">
        <v>0</v>
      </c>
      <c r="L175" s="12">
        <v>0</v>
      </c>
      <c r="M175" s="13" t="s">
        <v>467</v>
      </c>
      <c r="N175" s="13" t="s">
        <v>656</v>
      </c>
      <c r="O175" s="27" t="s">
        <v>169</v>
      </c>
      <c r="P175" s="12">
        <v>8</v>
      </c>
      <c r="Q175" s="12">
        <v>8</v>
      </c>
      <c r="R175" s="12">
        <v>2</v>
      </c>
      <c r="S175" s="12">
        <v>4</v>
      </c>
      <c r="T175" s="12">
        <v>3</v>
      </c>
      <c r="U175" s="12">
        <v>3</v>
      </c>
      <c r="V175" s="12">
        <v>3</v>
      </c>
      <c r="W175" s="12">
        <v>3</v>
      </c>
      <c r="X175" s="12">
        <v>4</v>
      </c>
      <c r="Y175" s="12">
        <v>8</v>
      </c>
      <c r="Z175" s="12">
        <v>5</v>
      </c>
      <c r="AA175" s="12">
        <v>8</v>
      </c>
      <c r="AB175" s="12">
        <v>5</v>
      </c>
      <c r="AC175" s="12">
        <v>3</v>
      </c>
      <c r="AD175" s="12">
        <v>2</v>
      </c>
      <c r="AE175" s="12">
        <v>2</v>
      </c>
      <c r="AF175" s="12">
        <v>3</v>
      </c>
      <c r="AG175" s="12">
        <v>0</v>
      </c>
      <c r="AH175" s="12">
        <v>4</v>
      </c>
      <c r="AI175" s="12">
        <v>1</v>
      </c>
      <c r="AJ175" s="12">
        <v>3</v>
      </c>
      <c r="AK175" s="12">
        <v>1</v>
      </c>
      <c r="AL175" s="12">
        <v>0</v>
      </c>
      <c r="AM175" s="12">
        <v>1</v>
      </c>
      <c r="AN175" s="12">
        <v>0</v>
      </c>
      <c r="AO175" s="12">
        <v>2</v>
      </c>
      <c r="AP175" s="12">
        <v>0</v>
      </c>
      <c r="AQ175" s="12">
        <v>0</v>
      </c>
      <c r="AR175" s="12">
        <v>0</v>
      </c>
      <c r="AS175" s="12">
        <v>1</v>
      </c>
      <c r="AT175" s="12">
        <v>1</v>
      </c>
      <c r="AU175" s="12">
        <v>0</v>
      </c>
      <c r="AV175" s="12">
        <v>0</v>
      </c>
      <c r="AW175" s="12">
        <v>3</v>
      </c>
      <c r="AX175" s="12">
        <v>2</v>
      </c>
      <c r="AY175" s="12">
        <v>1</v>
      </c>
      <c r="AZ175" s="12">
        <v>1</v>
      </c>
      <c r="BA175" s="12">
        <v>0</v>
      </c>
      <c r="BB175" s="12">
        <v>0</v>
      </c>
      <c r="BC175" s="12">
        <v>0</v>
      </c>
      <c r="BD175" s="12">
        <v>0</v>
      </c>
      <c r="BE175" s="12">
        <v>1</v>
      </c>
      <c r="BF175" s="12">
        <v>0</v>
      </c>
      <c r="BG175" s="12">
        <v>0</v>
      </c>
      <c r="BH175" s="12">
        <v>0</v>
      </c>
      <c r="BI175" s="12">
        <v>0</v>
      </c>
      <c r="BJ175" s="12">
        <v>0</v>
      </c>
      <c r="BK175" s="12">
        <v>0</v>
      </c>
      <c r="BL175" s="12">
        <v>0</v>
      </c>
      <c r="BM175" s="12">
        <v>1</v>
      </c>
      <c r="BN175" s="12">
        <v>0</v>
      </c>
      <c r="BO175" s="12">
        <v>0</v>
      </c>
      <c r="BP175" s="12">
        <v>0</v>
      </c>
      <c r="BQ175" s="12">
        <v>0</v>
      </c>
      <c r="BR175" s="12">
        <v>0</v>
      </c>
      <c r="BS175" s="12">
        <v>0</v>
      </c>
      <c r="BT175" s="12">
        <v>0</v>
      </c>
      <c r="BU175" s="12">
        <v>0</v>
      </c>
      <c r="BV175" s="12">
        <v>0</v>
      </c>
      <c r="BW175" s="12">
        <v>0</v>
      </c>
      <c r="BX175" s="12">
        <v>0</v>
      </c>
      <c r="BY175" s="12">
        <v>0</v>
      </c>
      <c r="BZ175" s="12">
        <v>0</v>
      </c>
      <c r="CA175" s="12">
        <v>0</v>
      </c>
      <c r="CB175" s="12">
        <v>0</v>
      </c>
      <c r="CC175" s="12">
        <v>0</v>
      </c>
      <c r="CD175" s="12">
        <v>0</v>
      </c>
      <c r="CE175" s="12">
        <v>0</v>
      </c>
      <c r="CF175" s="12">
        <v>0</v>
      </c>
      <c r="CG175" s="12">
        <v>0</v>
      </c>
      <c r="CH175" s="12">
        <v>0</v>
      </c>
      <c r="CI175" s="12">
        <v>0</v>
      </c>
      <c r="CJ175" s="12">
        <v>0</v>
      </c>
      <c r="CK175" s="12">
        <v>0</v>
      </c>
      <c r="CL175" s="12">
        <v>0</v>
      </c>
      <c r="CM175" s="12">
        <v>0</v>
      </c>
      <c r="CN175" s="12">
        <v>0</v>
      </c>
      <c r="CO175" s="12">
        <v>0</v>
      </c>
      <c r="CP175" s="12">
        <v>0</v>
      </c>
      <c r="CQ175" s="12">
        <v>0</v>
      </c>
      <c r="CR175" s="12">
        <v>0</v>
      </c>
      <c r="CS175" s="12">
        <v>0</v>
      </c>
      <c r="CT175" s="12">
        <v>0</v>
      </c>
      <c r="CU175" s="12">
        <v>0</v>
      </c>
      <c r="CV175" s="12">
        <v>0</v>
      </c>
      <c r="CW175" s="12">
        <v>0</v>
      </c>
      <c r="CX175" s="12">
        <v>0</v>
      </c>
      <c r="CY175" s="12">
        <v>0</v>
      </c>
      <c r="CZ175" s="12">
        <v>0</v>
      </c>
      <c r="DA175" s="12">
        <v>0</v>
      </c>
      <c r="DB175" s="12">
        <v>0</v>
      </c>
      <c r="DC175" s="12">
        <v>0</v>
      </c>
      <c r="DD175" s="12">
        <v>0</v>
      </c>
      <c r="DE175" s="12">
        <v>0</v>
      </c>
      <c r="DF175" s="12">
        <v>0</v>
      </c>
      <c r="DG175" s="12">
        <v>0</v>
      </c>
      <c r="DH175" s="12">
        <v>0</v>
      </c>
      <c r="DI175" s="12">
        <v>0</v>
      </c>
      <c r="DJ175" s="12">
        <v>0</v>
      </c>
      <c r="DK175" s="12">
        <v>0</v>
      </c>
      <c r="DL175" s="12">
        <v>0</v>
      </c>
      <c r="DM175" s="12">
        <v>0</v>
      </c>
      <c r="DN175" s="12">
        <v>0</v>
      </c>
      <c r="DO175" s="12">
        <v>0</v>
      </c>
      <c r="DP175" s="12">
        <v>0</v>
      </c>
      <c r="DQ175" s="12">
        <v>0</v>
      </c>
      <c r="DR175" s="12">
        <v>0</v>
      </c>
      <c r="DS175" s="12">
        <v>0</v>
      </c>
      <c r="DT175" s="12">
        <v>0</v>
      </c>
      <c r="DU175" s="12">
        <v>0</v>
      </c>
      <c r="DV175" s="12">
        <v>0</v>
      </c>
      <c r="DW175" s="12">
        <v>0</v>
      </c>
      <c r="DX175" s="12">
        <v>0</v>
      </c>
      <c r="DY175" s="12">
        <v>0</v>
      </c>
      <c r="DZ175" s="12">
        <v>0</v>
      </c>
      <c r="EA175" s="12">
        <v>0</v>
      </c>
      <c r="EB175" s="12">
        <v>0</v>
      </c>
      <c r="EC175" s="12">
        <v>0</v>
      </c>
      <c r="ED175" s="12">
        <v>0</v>
      </c>
      <c r="EE175" s="12">
        <v>0</v>
      </c>
      <c r="EF175" s="12">
        <v>0</v>
      </c>
      <c r="EG175" s="12">
        <v>0</v>
      </c>
      <c r="EH175" s="12">
        <v>0</v>
      </c>
      <c r="EI175" s="12">
        <v>0</v>
      </c>
      <c r="EJ175" s="12">
        <v>0</v>
      </c>
      <c r="EK175" s="12">
        <v>0</v>
      </c>
      <c r="EL175" s="12">
        <v>0</v>
      </c>
      <c r="EM175" s="12">
        <v>0</v>
      </c>
      <c r="EN175" s="12">
        <v>0</v>
      </c>
      <c r="EO175" s="12">
        <v>0</v>
      </c>
      <c r="EP175" s="12" t="str">
        <f t="shared" si="41"/>
        <v>🔴 Sin venta</v>
      </c>
      <c r="EQ175" s="23">
        <f t="shared" si="35"/>
        <v>0</v>
      </c>
      <c r="ER175" s="19">
        <f t="shared" si="34"/>
        <v>0</v>
      </c>
      <c r="ES175" s="12">
        <f t="shared" si="33"/>
        <v>0</v>
      </c>
      <c r="ET175" s="23">
        <f t="shared" si="38"/>
        <v>0</v>
      </c>
      <c r="EU175" s="23">
        <f t="shared" si="39"/>
        <v>0</v>
      </c>
      <c r="EV175" s="23">
        <f t="shared" si="40"/>
        <v>0</v>
      </c>
      <c r="EW175" s="23"/>
      <c r="EX175" s="12">
        <v>0</v>
      </c>
      <c r="EY175" s="19" cm="1">
        <f t="array" ref="EY175:FC175">VLOOKUP(_xlfn.SINGLE(B:B),'[1]Price List'!$B:$N,{8,4,5,6,7},0)</f>
        <v>426.34</v>
      </c>
      <c r="EZ175" s="9" t="str">
        <v>Speck Presidio Perfect Clear Impact Geometry Case with MagSafe for iPhone 14 Pro M</v>
      </c>
      <c r="FA175" s="12" t="str">
        <v>Cases iPhone</v>
      </c>
      <c r="FB175" s="12" t="str">
        <v>iPhone 14</v>
      </c>
      <c r="FC175" s="12" t="str">
        <v>iPhone 14 Pro Max</v>
      </c>
      <c r="FD175" s="23" t="str">
        <f>_xlfn.XLOOKUP(B:B,'[1]Price List'!$B:$B,'[1]Price List'!$A:$A)</f>
        <v>Speck</v>
      </c>
    </row>
    <row r="176" spans="1:160" s="9" customFormat="1" x14ac:dyDescent="0.2">
      <c r="A176" s="23" t="s">
        <v>599</v>
      </c>
      <c r="B176" s="23">
        <v>840168522224</v>
      </c>
      <c r="C176" s="9" t="s">
        <v>176</v>
      </c>
      <c r="D176" s="9" t="e">
        <v>#N/A</v>
      </c>
      <c r="E176" s="9" t="e">
        <v>#N/A</v>
      </c>
      <c r="F176" s="9" t="e">
        <v>#N/A</v>
      </c>
      <c r="G176" s="9" t="s">
        <v>690</v>
      </c>
      <c r="H176" s="12" t="s">
        <v>177</v>
      </c>
      <c r="I176" s="11">
        <v>1099</v>
      </c>
      <c r="J176" s="11">
        <v>426.34</v>
      </c>
      <c r="K176" s="62">
        <v>0</v>
      </c>
      <c r="L176" s="12">
        <v>0</v>
      </c>
      <c r="M176" s="13" t="s">
        <v>467</v>
      </c>
      <c r="N176" s="13" t="s">
        <v>656</v>
      </c>
      <c r="O176" s="27" t="s">
        <v>169</v>
      </c>
      <c r="P176" s="12">
        <v>4</v>
      </c>
      <c r="Q176" s="12">
        <v>8</v>
      </c>
      <c r="R176" s="12">
        <v>10</v>
      </c>
      <c r="S176" s="12">
        <v>8</v>
      </c>
      <c r="T176" s="12">
        <v>7</v>
      </c>
      <c r="U176" s="12">
        <v>2</v>
      </c>
      <c r="V176" s="12">
        <v>10</v>
      </c>
      <c r="W176" s="12">
        <v>6</v>
      </c>
      <c r="X176" s="12">
        <v>4</v>
      </c>
      <c r="Y176" s="12">
        <v>3</v>
      </c>
      <c r="Z176" s="12">
        <v>4</v>
      </c>
      <c r="AA176" s="12">
        <v>8</v>
      </c>
      <c r="AB176" s="12">
        <v>5</v>
      </c>
      <c r="AC176" s="12">
        <v>3</v>
      </c>
      <c r="AD176" s="12">
        <v>1</v>
      </c>
      <c r="AE176" s="12">
        <v>0</v>
      </c>
      <c r="AF176" s="12">
        <v>6</v>
      </c>
      <c r="AG176" s="12">
        <v>3</v>
      </c>
      <c r="AH176" s="12">
        <v>0</v>
      </c>
      <c r="AI176" s="12">
        <v>0</v>
      </c>
      <c r="AJ176" s="12">
        <v>2</v>
      </c>
      <c r="AK176" s="12">
        <v>0</v>
      </c>
      <c r="AL176" s="12">
        <v>1</v>
      </c>
      <c r="AM176" s="12">
        <v>2</v>
      </c>
      <c r="AN176" s="12">
        <v>0</v>
      </c>
      <c r="AO176" s="12">
        <v>0</v>
      </c>
      <c r="AP176" s="12">
        <v>0</v>
      </c>
      <c r="AQ176" s="12">
        <v>2</v>
      </c>
      <c r="AR176" s="12">
        <v>1</v>
      </c>
      <c r="AS176" s="12">
        <v>0</v>
      </c>
      <c r="AT176" s="12">
        <v>0</v>
      </c>
      <c r="AU176" s="12">
        <v>0</v>
      </c>
      <c r="AV176" s="12">
        <v>1</v>
      </c>
      <c r="AW176" s="12">
        <v>2</v>
      </c>
      <c r="AX176" s="12">
        <v>0</v>
      </c>
      <c r="AY176" s="12">
        <v>1</v>
      </c>
      <c r="AZ176" s="12">
        <v>0</v>
      </c>
      <c r="BA176" s="12">
        <v>0</v>
      </c>
      <c r="BB176" s="12">
        <v>1</v>
      </c>
      <c r="BC176" s="12">
        <v>1</v>
      </c>
      <c r="BD176" s="12">
        <v>1</v>
      </c>
      <c r="BE176" s="12">
        <v>1</v>
      </c>
      <c r="BF176" s="12">
        <v>1</v>
      </c>
      <c r="BG176" s="12">
        <v>0</v>
      </c>
      <c r="BH176" s="12">
        <v>2</v>
      </c>
      <c r="BI176" s="12">
        <v>0</v>
      </c>
      <c r="BJ176" s="12">
        <v>1</v>
      </c>
      <c r="BK176" s="12">
        <v>0</v>
      </c>
      <c r="BL176" s="12">
        <v>0</v>
      </c>
      <c r="BM176" s="12">
        <v>1</v>
      </c>
      <c r="BN176" s="12">
        <v>0</v>
      </c>
      <c r="BO176" s="12">
        <v>0</v>
      </c>
      <c r="BP176" s="12">
        <v>1</v>
      </c>
      <c r="BQ176" s="12">
        <v>0</v>
      </c>
      <c r="BR176" s="12">
        <v>0</v>
      </c>
      <c r="BS176" s="12">
        <v>1</v>
      </c>
      <c r="BT176" s="12">
        <v>0</v>
      </c>
      <c r="BU176" s="12">
        <v>0</v>
      </c>
      <c r="BV176" s="12">
        <v>0</v>
      </c>
      <c r="BW176" s="12">
        <v>0</v>
      </c>
      <c r="BX176" s="12">
        <v>0</v>
      </c>
      <c r="BY176" s="12">
        <v>0</v>
      </c>
      <c r="BZ176" s="12">
        <v>0</v>
      </c>
      <c r="CA176" s="12">
        <v>0</v>
      </c>
      <c r="CB176" s="12">
        <v>0</v>
      </c>
      <c r="CC176" s="12">
        <v>0</v>
      </c>
      <c r="CD176" s="12">
        <v>1</v>
      </c>
      <c r="CE176" s="12">
        <v>0</v>
      </c>
      <c r="CF176" s="12">
        <v>0</v>
      </c>
      <c r="CG176" s="12">
        <v>0</v>
      </c>
      <c r="CH176" s="12">
        <v>0</v>
      </c>
      <c r="CI176" s="12">
        <v>1</v>
      </c>
      <c r="CJ176" s="12">
        <v>0</v>
      </c>
      <c r="CK176" s="12">
        <v>0</v>
      </c>
      <c r="CL176" s="12">
        <v>0</v>
      </c>
      <c r="CM176" s="12">
        <v>0</v>
      </c>
      <c r="CN176" s="12">
        <v>0</v>
      </c>
      <c r="CO176" s="12">
        <v>0</v>
      </c>
      <c r="CP176" s="12">
        <v>0</v>
      </c>
      <c r="CQ176" s="12">
        <v>0</v>
      </c>
      <c r="CR176" s="12">
        <v>0</v>
      </c>
      <c r="CS176" s="12">
        <v>0</v>
      </c>
      <c r="CT176" s="12">
        <v>0</v>
      </c>
      <c r="CU176" s="12">
        <v>0</v>
      </c>
      <c r="CV176" s="12">
        <v>1</v>
      </c>
      <c r="CW176" s="12">
        <v>0</v>
      </c>
      <c r="CX176" s="12">
        <v>0</v>
      </c>
      <c r="CY176" s="12">
        <v>0</v>
      </c>
      <c r="CZ176" s="12">
        <v>0</v>
      </c>
      <c r="DA176" s="12">
        <v>0</v>
      </c>
      <c r="DB176" s="12">
        <v>0</v>
      </c>
      <c r="DC176" s="12">
        <v>0</v>
      </c>
      <c r="DD176" s="12">
        <v>0</v>
      </c>
      <c r="DE176" s="12">
        <v>0</v>
      </c>
      <c r="DF176" s="12">
        <v>0</v>
      </c>
      <c r="DG176" s="12">
        <v>0</v>
      </c>
      <c r="DH176" s="12">
        <v>0</v>
      </c>
      <c r="DI176" s="12">
        <v>0</v>
      </c>
      <c r="DJ176" s="12">
        <v>0</v>
      </c>
      <c r="DK176" s="12">
        <v>0</v>
      </c>
      <c r="DL176" s="12">
        <v>0</v>
      </c>
      <c r="DM176" s="12">
        <v>0</v>
      </c>
      <c r="DN176" s="12">
        <v>0</v>
      </c>
      <c r="DO176" s="12">
        <v>0</v>
      </c>
      <c r="DP176" s="12">
        <v>0</v>
      </c>
      <c r="DQ176" s="12">
        <v>0</v>
      </c>
      <c r="DR176" s="12">
        <v>0</v>
      </c>
      <c r="DS176" s="12">
        <v>0</v>
      </c>
      <c r="DT176" s="12">
        <v>0</v>
      </c>
      <c r="DU176" s="12">
        <v>0</v>
      </c>
      <c r="DV176" s="12">
        <v>0</v>
      </c>
      <c r="DW176" s="12">
        <v>0</v>
      </c>
      <c r="DX176" s="12">
        <v>0</v>
      </c>
      <c r="DY176" s="12">
        <v>0</v>
      </c>
      <c r="DZ176" s="12">
        <v>0</v>
      </c>
      <c r="EA176" s="12">
        <v>0</v>
      </c>
      <c r="EB176" s="12">
        <v>0</v>
      </c>
      <c r="EC176" s="12">
        <v>0</v>
      </c>
      <c r="ED176" s="12">
        <v>0</v>
      </c>
      <c r="EE176" s="12">
        <v>0</v>
      </c>
      <c r="EF176" s="12">
        <v>1</v>
      </c>
      <c r="EG176" s="12">
        <v>0</v>
      </c>
      <c r="EH176" s="12">
        <v>0</v>
      </c>
      <c r="EI176" s="12">
        <v>0</v>
      </c>
      <c r="EJ176" s="12">
        <v>0</v>
      </c>
      <c r="EK176" s="12">
        <v>0</v>
      </c>
      <c r="EL176" s="12">
        <v>0</v>
      </c>
      <c r="EM176" s="12">
        <v>0</v>
      </c>
      <c r="EN176" s="12">
        <v>0</v>
      </c>
      <c r="EO176" s="12">
        <v>0</v>
      </c>
      <c r="EP176" s="12" t="str">
        <f t="shared" si="41"/>
        <v>🔴 Sin venta</v>
      </c>
      <c r="EQ176" s="23">
        <f t="shared" si="35"/>
        <v>4.1666666666666664E-2</v>
      </c>
      <c r="ER176" s="19">
        <f t="shared" si="34"/>
        <v>426.34</v>
      </c>
      <c r="ES176" s="12">
        <f t="shared" si="33"/>
        <v>1</v>
      </c>
      <c r="ET176" s="23">
        <f t="shared" si="38"/>
        <v>0</v>
      </c>
      <c r="EU176" s="23">
        <f t="shared" si="39"/>
        <v>0</v>
      </c>
      <c r="EV176" s="23">
        <f t="shared" si="40"/>
        <v>0</v>
      </c>
      <c r="EW176" s="23"/>
      <c r="EX176" s="12">
        <v>3</v>
      </c>
      <c r="EY176" s="19" cm="1">
        <f t="array" ref="EY176:FC176">VLOOKUP(_xlfn.SINGLE(B:B),'[1]Price List'!$B:$N,{8,4,5,6,7},0)</f>
        <v>426.34</v>
      </c>
      <c r="EZ176" s="9" t="str">
        <v>Speck Presidio Perfect Clear Impact Geometry Case with MagSafe for iPhone 13/14 -</v>
      </c>
      <c r="FA176" s="12" t="str">
        <v>Cases iPhone</v>
      </c>
      <c r="FB176" s="12" t="str">
        <v>iPhone 14</v>
      </c>
      <c r="FC176" s="12" t="str">
        <v>iPhone 13/14</v>
      </c>
      <c r="FD176" s="23" t="str">
        <f>_xlfn.XLOOKUP(B:B,'[1]Price List'!$B:$B,'[1]Price List'!$A:$A)</f>
        <v>Speck</v>
      </c>
    </row>
    <row r="177" spans="1:160" s="9" customFormat="1" x14ac:dyDescent="0.2">
      <c r="A177" s="23" t="s">
        <v>599</v>
      </c>
      <c r="B177" s="23">
        <v>840168522231</v>
      </c>
      <c r="C177" s="9" t="s">
        <v>178</v>
      </c>
      <c r="D177" s="9" t="e">
        <v>#N/A</v>
      </c>
      <c r="E177" s="9" t="e">
        <v>#N/A</v>
      </c>
      <c r="F177" s="9" t="e">
        <v>#N/A</v>
      </c>
      <c r="G177" s="9" t="s">
        <v>690</v>
      </c>
      <c r="H177" s="12" t="s">
        <v>179</v>
      </c>
      <c r="I177" s="11">
        <v>1099</v>
      </c>
      <c r="J177" s="11">
        <v>426.34</v>
      </c>
      <c r="K177" s="62">
        <v>0</v>
      </c>
      <c r="L177" s="12">
        <v>0</v>
      </c>
      <c r="M177" s="13" t="s">
        <v>467</v>
      </c>
      <c r="N177" s="13" t="s">
        <v>656</v>
      </c>
      <c r="O177" s="27" t="s">
        <v>169</v>
      </c>
      <c r="P177" s="12">
        <v>3</v>
      </c>
      <c r="Q177" s="12">
        <v>8</v>
      </c>
      <c r="R177" s="12">
        <v>1</v>
      </c>
      <c r="S177" s="12">
        <v>3</v>
      </c>
      <c r="T177" s="12">
        <v>5</v>
      </c>
      <c r="U177" s="12">
        <v>1</v>
      </c>
      <c r="V177" s="12">
        <v>5</v>
      </c>
      <c r="W177" s="12">
        <v>5</v>
      </c>
      <c r="X177" s="12">
        <v>8</v>
      </c>
      <c r="Y177" s="12">
        <v>6</v>
      </c>
      <c r="Z177" s="12">
        <v>7</v>
      </c>
      <c r="AA177" s="12">
        <v>15</v>
      </c>
      <c r="AB177" s="12">
        <v>5</v>
      </c>
      <c r="AC177" s="12">
        <v>6</v>
      </c>
      <c r="AD177" s="12">
        <v>5</v>
      </c>
      <c r="AE177" s="12">
        <v>6</v>
      </c>
      <c r="AF177" s="12">
        <v>2</v>
      </c>
      <c r="AG177" s="12">
        <v>1</v>
      </c>
      <c r="AH177" s="12">
        <v>6</v>
      </c>
      <c r="AI177" s="12">
        <v>0</v>
      </c>
      <c r="AJ177" s="12">
        <v>3</v>
      </c>
      <c r="AK177" s="12">
        <v>2</v>
      </c>
      <c r="AL177" s="12">
        <v>2</v>
      </c>
      <c r="AM177" s="12">
        <v>0</v>
      </c>
      <c r="AN177" s="12">
        <v>0</v>
      </c>
      <c r="AO177" s="12">
        <v>1</v>
      </c>
      <c r="AP177" s="12">
        <v>2</v>
      </c>
      <c r="AQ177" s="12">
        <v>2</v>
      </c>
      <c r="AR177" s="12">
        <v>1</v>
      </c>
      <c r="AS177" s="12">
        <v>1</v>
      </c>
      <c r="AT177" s="12">
        <v>2</v>
      </c>
      <c r="AU177" s="12">
        <v>3</v>
      </c>
      <c r="AV177" s="12">
        <v>1</v>
      </c>
      <c r="AW177" s="12">
        <v>4</v>
      </c>
      <c r="AX177" s="12">
        <v>1</v>
      </c>
      <c r="AY177" s="12">
        <v>2</v>
      </c>
      <c r="AZ177" s="12">
        <v>0</v>
      </c>
      <c r="BA177" s="12">
        <v>2</v>
      </c>
      <c r="BB177" s="12">
        <v>1</v>
      </c>
      <c r="BC177" s="12">
        <v>1</v>
      </c>
      <c r="BD177" s="12">
        <v>1</v>
      </c>
      <c r="BE177" s="12">
        <v>2</v>
      </c>
      <c r="BF177" s="12">
        <v>1</v>
      </c>
      <c r="BG177" s="12">
        <v>3</v>
      </c>
      <c r="BH177" s="12">
        <v>2</v>
      </c>
      <c r="BI177" s="12">
        <v>1</v>
      </c>
      <c r="BJ177" s="12">
        <v>3</v>
      </c>
      <c r="BK177" s="12">
        <v>1</v>
      </c>
      <c r="BL177" s="12">
        <v>1</v>
      </c>
      <c r="BM177" s="12">
        <v>0</v>
      </c>
      <c r="BN177" s="12">
        <v>0</v>
      </c>
      <c r="BO177" s="12">
        <v>0</v>
      </c>
      <c r="BP177" s="12">
        <v>1</v>
      </c>
      <c r="BQ177" s="12">
        <v>2</v>
      </c>
      <c r="BR177" s="12">
        <v>1</v>
      </c>
      <c r="BS177" s="12">
        <v>0</v>
      </c>
      <c r="BT177" s="12">
        <v>1</v>
      </c>
      <c r="BU177" s="12">
        <v>2</v>
      </c>
      <c r="BV177" s="12">
        <v>0</v>
      </c>
      <c r="BW177" s="12">
        <v>1</v>
      </c>
      <c r="BX177" s="12">
        <v>2</v>
      </c>
      <c r="BY177" s="12">
        <v>1</v>
      </c>
      <c r="BZ177" s="12">
        <v>1</v>
      </c>
      <c r="CA177" s="12">
        <v>0</v>
      </c>
      <c r="CB177" s="12">
        <v>0</v>
      </c>
      <c r="CC177" s="12">
        <v>0</v>
      </c>
      <c r="CD177" s="12">
        <v>1</v>
      </c>
      <c r="CE177" s="12">
        <v>1</v>
      </c>
      <c r="CF177" s="12">
        <v>0</v>
      </c>
      <c r="CG177" s="12">
        <v>0</v>
      </c>
      <c r="CH177" s="12">
        <v>0</v>
      </c>
      <c r="CI177" s="12">
        <v>1</v>
      </c>
      <c r="CJ177" s="12">
        <v>0</v>
      </c>
      <c r="CK177" s="12">
        <v>0</v>
      </c>
      <c r="CL177" s="12">
        <v>1</v>
      </c>
      <c r="CM177" s="12">
        <v>1</v>
      </c>
      <c r="CN177" s="12">
        <v>0</v>
      </c>
      <c r="CO177" s="12">
        <v>0</v>
      </c>
      <c r="CP177" s="12">
        <v>0</v>
      </c>
      <c r="CQ177" s="12">
        <v>0</v>
      </c>
      <c r="CR177" s="12">
        <v>0</v>
      </c>
      <c r="CS177" s="12">
        <v>0</v>
      </c>
      <c r="CT177" s="12">
        <v>0</v>
      </c>
      <c r="CU177" s="12">
        <v>1</v>
      </c>
      <c r="CV177" s="12">
        <v>0</v>
      </c>
      <c r="CW177" s="12">
        <v>0</v>
      </c>
      <c r="CX177" s="12">
        <v>1</v>
      </c>
      <c r="CY177" s="12">
        <v>0</v>
      </c>
      <c r="CZ177" s="12">
        <v>0</v>
      </c>
      <c r="DA177" s="12">
        <v>0</v>
      </c>
      <c r="DB177" s="12">
        <v>1</v>
      </c>
      <c r="DC177" s="12">
        <v>0</v>
      </c>
      <c r="DD177" s="12">
        <v>0</v>
      </c>
      <c r="DE177" s="12">
        <v>1</v>
      </c>
      <c r="DF177" s="12">
        <v>0</v>
      </c>
      <c r="DG177" s="12">
        <v>0</v>
      </c>
      <c r="DH177" s="12">
        <v>0</v>
      </c>
      <c r="DI177" s="12">
        <v>0</v>
      </c>
      <c r="DJ177" s="12">
        <v>0</v>
      </c>
      <c r="DK177" s="12">
        <v>0</v>
      </c>
      <c r="DL177" s="12">
        <v>0</v>
      </c>
      <c r="DM177" s="12">
        <v>0</v>
      </c>
      <c r="DN177" s="12">
        <v>0</v>
      </c>
      <c r="DO177" s="12">
        <v>0</v>
      </c>
      <c r="DP177" s="12">
        <v>0</v>
      </c>
      <c r="DQ177" s="12">
        <v>0</v>
      </c>
      <c r="DR177" s="12">
        <v>0</v>
      </c>
      <c r="DS177" s="12">
        <v>1</v>
      </c>
      <c r="DT177" s="12">
        <v>0</v>
      </c>
      <c r="DU177" s="12">
        <v>0</v>
      </c>
      <c r="DV177" s="12">
        <v>0</v>
      </c>
      <c r="DW177" s="12">
        <v>0</v>
      </c>
      <c r="DX177" s="12">
        <v>0</v>
      </c>
      <c r="DY177" s="12">
        <v>0</v>
      </c>
      <c r="DZ177" s="12">
        <v>0</v>
      </c>
      <c r="EA177" s="12">
        <v>0</v>
      </c>
      <c r="EB177" s="12">
        <v>0</v>
      </c>
      <c r="EC177" s="12">
        <v>1</v>
      </c>
      <c r="ED177" s="12">
        <v>0</v>
      </c>
      <c r="EE177" s="12">
        <v>0</v>
      </c>
      <c r="EF177" s="12">
        <v>0</v>
      </c>
      <c r="EG177" s="12">
        <v>0</v>
      </c>
      <c r="EH177" s="12">
        <v>0</v>
      </c>
      <c r="EI177" s="12">
        <v>0</v>
      </c>
      <c r="EJ177" s="12">
        <v>0</v>
      </c>
      <c r="EK177" s="12">
        <v>0</v>
      </c>
      <c r="EL177" s="12">
        <v>0</v>
      </c>
      <c r="EM177" s="12">
        <v>0</v>
      </c>
      <c r="EN177" s="12">
        <v>0</v>
      </c>
      <c r="EO177" s="12">
        <v>0</v>
      </c>
      <c r="EP177" s="12" t="str">
        <f t="shared" si="41"/>
        <v>🔴 Sin venta</v>
      </c>
      <c r="EQ177" s="23">
        <f t="shared" si="35"/>
        <v>8.3333333333333329E-2</v>
      </c>
      <c r="ER177" s="19">
        <f t="shared" si="34"/>
        <v>852.68</v>
      </c>
      <c r="ES177" s="12">
        <f t="shared" si="33"/>
        <v>2</v>
      </c>
      <c r="ET177" s="23">
        <f t="shared" ref="ET177:ET208" si="44">ROUND((AVERAGE(CZ177:DG177)*4),2)</f>
        <v>1</v>
      </c>
      <c r="EU177" s="23">
        <f t="shared" ref="EU177:EU207" si="45">ROUND((AVERAGE(DH177:DO177)*4),2)</f>
        <v>0</v>
      </c>
      <c r="EV177" s="23">
        <f t="shared" ref="EV177:EV208" si="46">ROUND((AVERAGE(DP177:ED177)*4),2)</f>
        <v>0.53</v>
      </c>
      <c r="EW177" s="23"/>
      <c r="EX177" s="12">
        <v>1</v>
      </c>
      <c r="EY177" s="19" cm="1">
        <f t="array" ref="EY177:FC177">VLOOKUP(_xlfn.SINGLE(B:B),'[1]Price List'!$B:$N,{8,4,5,6,7},0)</f>
        <v>426.34</v>
      </c>
      <c r="EZ177" s="9" t="str">
        <v>Speck Presidio Perfect Clear Impact Geometry Case with MagSafe for iPhone 13/14 -</v>
      </c>
      <c r="FA177" s="12" t="str">
        <v>Cases iPhone</v>
      </c>
      <c r="FB177" s="12" t="str">
        <v>iPhone 14</v>
      </c>
      <c r="FC177" s="12" t="str">
        <v>iPhone 13/14</v>
      </c>
      <c r="FD177" s="23" t="str">
        <f>_xlfn.XLOOKUP(B:B,'[1]Price List'!$B:$B,'[1]Price List'!$A:$A)</f>
        <v>Speck</v>
      </c>
    </row>
    <row r="178" spans="1:160" s="9" customFormat="1" x14ac:dyDescent="0.2">
      <c r="A178" s="23" t="s">
        <v>599</v>
      </c>
      <c r="B178" s="23">
        <v>840168522217</v>
      </c>
      <c r="C178" s="9" t="s">
        <v>174</v>
      </c>
      <c r="D178" s="9" t="e">
        <v>#N/A</v>
      </c>
      <c r="E178" s="9" t="e">
        <v>#N/A</v>
      </c>
      <c r="F178" s="9" t="e">
        <v>#N/A</v>
      </c>
      <c r="G178" s="9" t="s">
        <v>690</v>
      </c>
      <c r="H178" s="12" t="s">
        <v>175</v>
      </c>
      <c r="I178" s="11">
        <v>1099</v>
      </c>
      <c r="J178" s="11">
        <v>426.34</v>
      </c>
      <c r="K178" s="62">
        <v>0</v>
      </c>
      <c r="L178" s="12">
        <v>0</v>
      </c>
      <c r="M178" s="13" t="s">
        <v>467</v>
      </c>
      <c r="N178" s="13" t="s">
        <v>656</v>
      </c>
      <c r="O178" s="27" t="s">
        <v>169</v>
      </c>
      <c r="P178" s="12">
        <v>6</v>
      </c>
      <c r="Q178" s="12">
        <v>7</v>
      </c>
      <c r="R178" s="12">
        <v>8</v>
      </c>
      <c r="S178" s="12">
        <v>4</v>
      </c>
      <c r="T178" s="12">
        <v>7</v>
      </c>
      <c r="U178" s="12">
        <v>8</v>
      </c>
      <c r="V178" s="12">
        <v>10</v>
      </c>
      <c r="W178" s="12">
        <v>7</v>
      </c>
      <c r="X178" s="12">
        <v>2</v>
      </c>
      <c r="Y178" s="12">
        <v>4</v>
      </c>
      <c r="Z178" s="12">
        <v>4</v>
      </c>
      <c r="AA178" s="12">
        <v>1</v>
      </c>
      <c r="AB178" s="12">
        <v>4</v>
      </c>
      <c r="AC178" s="12">
        <v>3</v>
      </c>
      <c r="AD178" s="12">
        <v>0</v>
      </c>
      <c r="AE178" s="12">
        <v>2</v>
      </c>
      <c r="AF178" s="12">
        <v>2</v>
      </c>
      <c r="AG178" s="12">
        <v>0</v>
      </c>
      <c r="AH178" s="12">
        <v>0</v>
      </c>
      <c r="AI178" s="12">
        <v>1</v>
      </c>
      <c r="AJ178" s="12">
        <v>1</v>
      </c>
      <c r="AK178" s="12">
        <v>1</v>
      </c>
      <c r="AL178" s="12">
        <v>1</v>
      </c>
      <c r="AM178" s="12">
        <v>1</v>
      </c>
      <c r="AN178" s="12">
        <v>0</v>
      </c>
      <c r="AO178" s="12">
        <v>1</v>
      </c>
      <c r="AP178" s="12">
        <v>1</v>
      </c>
      <c r="AQ178" s="12">
        <v>0</v>
      </c>
      <c r="AR178" s="12">
        <v>0</v>
      </c>
      <c r="AS178" s="12">
        <v>2</v>
      </c>
      <c r="AT178" s="12">
        <v>0</v>
      </c>
      <c r="AU178" s="12">
        <v>0</v>
      </c>
      <c r="AV178" s="12">
        <v>0</v>
      </c>
      <c r="AW178" s="12">
        <v>1</v>
      </c>
      <c r="AX178" s="12">
        <v>0</v>
      </c>
      <c r="AY178" s="12">
        <v>0</v>
      </c>
      <c r="AZ178" s="12">
        <v>0</v>
      </c>
      <c r="BA178" s="12">
        <v>2</v>
      </c>
      <c r="BB178" s="12">
        <v>0</v>
      </c>
      <c r="BC178" s="12">
        <v>1</v>
      </c>
      <c r="BD178" s="12">
        <v>0</v>
      </c>
      <c r="BE178" s="12">
        <v>1</v>
      </c>
      <c r="BF178" s="12">
        <v>0</v>
      </c>
      <c r="BG178" s="12">
        <v>0</v>
      </c>
      <c r="BH178" s="12">
        <v>0</v>
      </c>
      <c r="BI178" s="12">
        <v>0</v>
      </c>
      <c r="BJ178" s="12">
        <v>0</v>
      </c>
      <c r="BK178" s="12">
        <v>0</v>
      </c>
      <c r="BL178" s="12">
        <v>0</v>
      </c>
      <c r="BM178" s="12">
        <v>0</v>
      </c>
      <c r="BN178" s="12">
        <v>0</v>
      </c>
      <c r="BO178" s="12">
        <v>0</v>
      </c>
      <c r="BP178" s="12">
        <v>0</v>
      </c>
      <c r="BQ178" s="12">
        <v>1</v>
      </c>
      <c r="BR178" s="12">
        <v>0</v>
      </c>
      <c r="BS178" s="12">
        <v>0</v>
      </c>
      <c r="BT178" s="12">
        <v>1</v>
      </c>
      <c r="BU178" s="12">
        <v>0</v>
      </c>
      <c r="BV178" s="12">
        <v>1</v>
      </c>
      <c r="BW178" s="12">
        <v>0</v>
      </c>
      <c r="BX178" s="12">
        <v>0</v>
      </c>
      <c r="BY178" s="12">
        <v>0</v>
      </c>
      <c r="BZ178" s="12">
        <v>0</v>
      </c>
      <c r="CA178" s="12">
        <v>0</v>
      </c>
      <c r="CB178" s="12">
        <v>1</v>
      </c>
      <c r="CC178" s="12">
        <v>0</v>
      </c>
      <c r="CD178" s="12">
        <v>0</v>
      </c>
      <c r="CE178" s="12">
        <v>0</v>
      </c>
      <c r="CF178" s="12">
        <v>0</v>
      </c>
      <c r="CG178" s="12">
        <v>1</v>
      </c>
      <c r="CH178" s="12">
        <v>0</v>
      </c>
      <c r="CI178" s="12">
        <v>0</v>
      </c>
      <c r="CJ178" s="12">
        <v>0</v>
      </c>
      <c r="CK178" s="12">
        <v>0</v>
      </c>
      <c r="CL178" s="12">
        <v>0</v>
      </c>
      <c r="CM178" s="12">
        <v>0</v>
      </c>
      <c r="CN178" s="12">
        <v>0</v>
      </c>
      <c r="CO178" s="12">
        <v>0</v>
      </c>
      <c r="CP178" s="12">
        <v>0</v>
      </c>
      <c r="CQ178" s="12">
        <v>0</v>
      </c>
      <c r="CR178" s="12">
        <v>0</v>
      </c>
      <c r="CS178" s="12">
        <v>0</v>
      </c>
      <c r="CT178" s="12">
        <v>0</v>
      </c>
      <c r="CU178" s="12">
        <v>0</v>
      </c>
      <c r="CV178" s="12">
        <v>0</v>
      </c>
      <c r="CW178" s="12">
        <v>0</v>
      </c>
      <c r="CX178" s="12">
        <v>0</v>
      </c>
      <c r="CY178" s="12">
        <v>0</v>
      </c>
      <c r="CZ178" s="12">
        <v>0</v>
      </c>
      <c r="DA178" s="12">
        <v>0</v>
      </c>
      <c r="DB178" s="12">
        <v>0</v>
      </c>
      <c r="DC178" s="12">
        <v>0</v>
      </c>
      <c r="DD178" s="12">
        <v>0</v>
      </c>
      <c r="DE178" s="12">
        <v>0</v>
      </c>
      <c r="DF178" s="12">
        <v>0</v>
      </c>
      <c r="DG178" s="12">
        <v>0</v>
      </c>
      <c r="DH178" s="12">
        <v>0</v>
      </c>
      <c r="DI178" s="12">
        <v>0</v>
      </c>
      <c r="DJ178" s="12">
        <v>0</v>
      </c>
      <c r="DK178" s="12">
        <v>0</v>
      </c>
      <c r="DL178" s="12">
        <v>0</v>
      </c>
      <c r="DM178" s="12">
        <v>0</v>
      </c>
      <c r="DN178" s="12">
        <v>0</v>
      </c>
      <c r="DO178" s="12">
        <v>0</v>
      </c>
      <c r="DP178" s="12">
        <v>0</v>
      </c>
      <c r="DQ178" s="12">
        <v>0</v>
      </c>
      <c r="DR178" s="12">
        <v>0</v>
      </c>
      <c r="DS178" s="12">
        <v>0</v>
      </c>
      <c r="DT178" s="12">
        <v>0</v>
      </c>
      <c r="DU178" s="12">
        <v>0</v>
      </c>
      <c r="DV178" s="12">
        <v>0</v>
      </c>
      <c r="DW178" s="12">
        <v>0</v>
      </c>
      <c r="DX178" s="12">
        <v>0</v>
      </c>
      <c r="DY178" s="12">
        <v>0</v>
      </c>
      <c r="DZ178" s="12">
        <v>0</v>
      </c>
      <c r="EA178" s="12">
        <v>0</v>
      </c>
      <c r="EB178" s="12">
        <v>0</v>
      </c>
      <c r="EC178" s="12">
        <v>0</v>
      </c>
      <c r="ED178" s="12">
        <v>0</v>
      </c>
      <c r="EE178" s="12">
        <v>0</v>
      </c>
      <c r="EF178" s="12">
        <v>0</v>
      </c>
      <c r="EG178" s="12">
        <v>0</v>
      </c>
      <c r="EH178" s="12">
        <v>0</v>
      </c>
      <c r="EI178" s="12">
        <v>0</v>
      </c>
      <c r="EJ178" s="12">
        <v>0</v>
      </c>
      <c r="EK178" s="12">
        <v>0</v>
      </c>
      <c r="EL178" s="12">
        <v>0</v>
      </c>
      <c r="EM178" s="12">
        <v>0</v>
      </c>
      <c r="EN178" s="12">
        <v>0</v>
      </c>
      <c r="EO178" s="12">
        <v>0</v>
      </c>
      <c r="EP178" s="12" t="str">
        <f t="shared" si="41"/>
        <v>🔴 Sin venta</v>
      </c>
      <c r="EQ178" s="23">
        <f t="shared" si="35"/>
        <v>0</v>
      </c>
      <c r="ER178" s="19">
        <f t="shared" si="34"/>
        <v>0</v>
      </c>
      <c r="ES178" s="12">
        <f t="shared" si="33"/>
        <v>0</v>
      </c>
      <c r="ET178" s="23">
        <f t="shared" si="44"/>
        <v>0</v>
      </c>
      <c r="EU178" s="23">
        <f t="shared" si="45"/>
        <v>0</v>
      </c>
      <c r="EV178" s="23">
        <f t="shared" si="46"/>
        <v>0</v>
      </c>
      <c r="EW178" s="23"/>
      <c r="EX178" s="12">
        <v>0</v>
      </c>
      <c r="EY178" s="19" cm="1">
        <f t="array" ref="EY178:FC178">VLOOKUP(_xlfn.SINGLE(B:B),'[1]Price List'!$B:$N,{8,4,5,6,7},0)</f>
        <v>426.34</v>
      </c>
      <c r="EZ178" s="9" t="str">
        <v>Speck Presidio Perfect Clear Impact Geometry Case with MagSafe for iPhone 13/14 -</v>
      </c>
      <c r="FA178" s="12" t="str">
        <v>Cases iPhone</v>
      </c>
      <c r="FB178" s="12" t="str">
        <v>iPhone 14</v>
      </c>
      <c r="FC178" s="12" t="str">
        <v>iPhone 13/14</v>
      </c>
      <c r="FD178" s="23" t="str">
        <f>_xlfn.XLOOKUP(B:B,'[1]Price List'!$B:$B,'[1]Price List'!$A:$A)</f>
        <v>Speck</v>
      </c>
    </row>
    <row r="179" spans="1:160" s="9" customFormat="1" x14ac:dyDescent="0.2">
      <c r="A179" s="23" t="s">
        <v>599</v>
      </c>
      <c r="B179" s="23">
        <v>840168525256</v>
      </c>
      <c r="C179" s="9" t="s">
        <v>224</v>
      </c>
      <c r="D179" s="9" t="e">
        <v>#N/A</v>
      </c>
      <c r="E179" s="9" t="e">
        <v>#N/A</v>
      </c>
      <c r="F179" s="9" t="e">
        <v>#N/A</v>
      </c>
      <c r="G179" s="9" t="s">
        <v>689</v>
      </c>
      <c r="H179" s="12" t="s">
        <v>225</v>
      </c>
      <c r="I179" s="11">
        <v>1099</v>
      </c>
      <c r="J179" s="11">
        <v>426.34</v>
      </c>
      <c r="K179" s="62">
        <v>0</v>
      </c>
      <c r="L179" s="12">
        <v>0</v>
      </c>
      <c r="M179" s="13" t="s">
        <v>467</v>
      </c>
      <c r="N179" s="13" t="s">
        <v>656</v>
      </c>
      <c r="O179" s="27" t="s">
        <v>169</v>
      </c>
      <c r="P179" s="12">
        <v>3</v>
      </c>
      <c r="Q179" s="12">
        <v>7</v>
      </c>
      <c r="R179" s="12">
        <v>8</v>
      </c>
      <c r="S179" s="12">
        <v>13</v>
      </c>
      <c r="T179" s="12">
        <v>5</v>
      </c>
      <c r="U179" s="12">
        <v>6</v>
      </c>
      <c r="V179" s="12">
        <v>3</v>
      </c>
      <c r="W179" s="12">
        <v>5</v>
      </c>
      <c r="X179" s="12">
        <v>1</v>
      </c>
      <c r="Y179" s="12">
        <v>3</v>
      </c>
      <c r="Z179" s="12">
        <v>5</v>
      </c>
      <c r="AA179" s="12">
        <v>1</v>
      </c>
      <c r="AB179" s="12">
        <v>8</v>
      </c>
      <c r="AC179" s="12">
        <v>7</v>
      </c>
      <c r="AD179" s="12">
        <v>3</v>
      </c>
      <c r="AE179" s="12">
        <v>2</v>
      </c>
      <c r="AF179" s="12">
        <v>3</v>
      </c>
      <c r="AG179" s="12">
        <v>1</v>
      </c>
      <c r="AH179" s="12">
        <v>4</v>
      </c>
      <c r="AI179" s="12">
        <v>2</v>
      </c>
      <c r="AJ179" s="12">
        <v>2</v>
      </c>
      <c r="AK179" s="12">
        <v>3</v>
      </c>
      <c r="AL179" s="12">
        <v>2</v>
      </c>
      <c r="AM179" s="12">
        <v>2</v>
      </c>
      <c r="AN179" s="12">
        <v>0</v>
      </c>
      <c r="AO179" s="12">
        <v>0</v>
      </c>
      <c r="AP179" s="12">
        <v>2</v>
      </c>
      <c r="AQ179" s="12">
        <v>0</v>
      </c>
      <c r="AR179" s="12">
        <v>2</v>
      </c>
      <c r="AS179" s="12">
        <v>1</v>
      </c>
      <c r="AT179" s="12">
        <v>4</v>
      </c>
      <c r="AU179" s="12">
        <v>0</v>
      </c>
      <c r="AV179" s="12">
        <v>1</v>
      </c>
      <c r="AW179" s="12">
        <v>0</v>
      </c>
      <c r="AX179" s="12">
        <v>0</v>
      </c>
      <c r="AY179" s="12">
        <v>2</v>
      </c>
      <c r="AZ179" s="12">
        <v>1</v>
      </c>
      <c r="BA179" s="12">
        <v>0</v>
      </c>
      <c r="BB179" s="12">
        <v>2</v>
      </c>
      <c r="BC179" s="12">
        <v>2</v>
      </c>
      <c r="BD179" s="12">
        <v>1</v>
      </c>
      <c r="BE179" s="12">
        <v>0</v>
      </c>
      <c r="BF179" s="12">
        <v>0</v>
      </c>
      <c r="BG179" s="12">
        <v>0</v>
      </c>
      <c r="BH179" s="12">
        <v>0</v>
      </c>
      <c r="BI179" s="12">
        <v>0</v>
      </c>
      <c r="BJ179" s="12">
        <v>0</v>
      </c>
      <c r="BK179" s="12">
        <v>0</v>
      </c>
      <c r="BL179" s="12">
        <v>0</v>
      </c>
      <c r="BM179" s="12">
        <v>0</v>
      </c>
      <c r="BN179" s="12">
        <v>0</v>
      </c>
      <c r="BO179" s="12">
        <v>0</v>
      </c>
      <c r="BP179" s="12">
        <v>0</v>
      </c>
      <c r="BQ179" s="12">
        <v>0</v>
      </c>
      <c r="BR179" s="12">
        <v>0</v>
      </c>
      <c r="BS179" s="12">
        <v>0</v>
      </c>
      <c r="BT179" s="12">
        <v>0</v>
      </c>
      <c r="BU179" s="12">
        <v>0</v>
      </c>
      <c r="BV179" s="12">
        <v>0</v>
      </c>
      <c r="BW179" s="12">
        <v>0</v>
      </c>
      <c r="BX179" s="12">
        <v>0</v>
      </c>
      <c r="BY179" s="12">
        <v>0</v>
      </c>
      <c r="BZ179" s="12">
        <v>0</v>
      </c>
      <c r="CA179" s="12">
        <v>0</v>
      </c>
      <c r="CB179" s="12">
        <v>0</v>
      </c>
      <c r="CC179" s="12">
        <v>0</v>
      </c>
      <c r="CD179" s="12">
        <v>0</v>
      </c>
      <c r="CE179" s="12">
        <v>0</v>
      </c>
      <c r="CF179" s="12">
        <v>0</v>
      </c>
      <c r="CG179" s="12">
        <v>0</v>
      </c>
      <c r="CH179" s="12">
        <v>0</v>
      </c>
      <c r="CI179" s="12">
        <v>0</v>
      </c>
      <c r="CJ179" s="12">
        <v>0</v>
      </c>
      <c r="CK179" s="12">
        <v>0</v>
      </c>
      <c r="CL179" s="12">
        <v>0</v>
      </c>
      <c r="CM179" s="12">
        <v>0</v>
      </c>
      <c r="CN179" s="12">
        <v>1</v>
      </c>
      <c r="CO179" s="12">
        <v>0</v>
      </c>
      <c r="CP179" s="12">
        <v>0</v>
      </c>
      <c r="CQ179" s="12">
        <v>0</v>
      </c>
      <c r="CR179" s="12">
        <v>0</v>
      </c>
      <c r="CS179" s="12">
        <v>0</v>
      </c>
      <c r="CT179" s="12">
        <v>0</v>
      </c>
      <c r="CU179" s="12">
        <v>0</v>
      </c>
      <c r="CV179" s="12">
        <v>0</v>
      </c>
      <c r="CW179" s="12">
        <v>0</v>
      </c>
      <c r="CX179" s="12">
        <v>0</v>
      </c>
      <c r="CY179" s="12">
        <v>0</v>
      </c>
      <c r="CZ179" s="12">
        <v>0</v>
      </c>
      <c r="DA179" s="12">
        <v>0</v>
      </c>
      <c r="DB179" s="12">
        <v>0</v>
      </c>
      <c r="DC179" s="12">
        <v>0</v>
      </c>
      <c r="DD179" s="12">
        <v>0</v>
      </c>
      <c r="DE179" s="12">
        <v>0</v>
      </c>
      <c r="DF179" s="12">
        <v>0</v>
      </c>
      <c r="DG179" s="12">
        <v>0</v>
      </c>
      <c r="DH179" s="12">
        <v>0</v>
      </c>
      <c r="DI179" s="12">
        <v>0</v>
      </c>
      <c r="DJ179" s="12">
        <v>0</v>
      </c>
      <c r="DK179" s="12">
        <v>0</v>
      </c>
      <c r="DL179" s="12">
        <v>0</v>
      </c>
      <c r="DM179" s="12">
        <v>0</v>
      </c>
      <c r="DN179" s="12">
        <v>0</v>
      </c>
      <c r="DO179" s="12">
        <v>0</v>
      </c>
      <c r="DP179" s="12">
        <v>0</v>
      </c>
      <c r="DQ179" s="12">
        <v>0</v>
      </c>
      <c r="DR179" s="12">
        <v>0</v>
      </c>
      <c r="DS179" s="12">
        <v>0</v>
      </c>
      <c r="DT179" s="12">
        <v>0</v>
      </c>
      <c r="DU179" s="12">
        <v>0</v>
      </c>
      <c r="DV179" s="12">
        <v>0</v>
      </c>
      <c r="DW179" s="12">
        <v>0</v>
      </c>
      <c r="DX179" s="12">
        <v>0</v>
      </c>
      <c r="DY179" s="12">
        <v>0</v>
      </c>
      <c r="DZ179" s="12">
        <v>0</v>
      </c>
      <c r="EA179" s="12">
        <v>0</v>
      </c>
      <c r="EB179" s="12">
        <v>0</v>
      </c>
      <c r="EC179" s="12">
        <v>0</v>
      </c>
      <c r="ED179" s="12">
        <v>1</v>
      </c>
      <c r="EE179" s="12">
        <v>1</v>
      </c>
      <c r="EF179" s="12">
        <v>2</v>
      </c>
      <c r="EG179" s="12">
        <v>0</v>
      </c>
      <c r="EH179" s="12">
        <v>0</v>
      </c>
      <c r="EI179" s="12">
        <v>0</v>
      </c>
      <c r="EJ179" s="12">
        <v>0</v>
      </c>
      <c r="EK179" s="12">
        <v>0</v>
      </c>
      <c r="EL179" s="12">
        <v>0</v>
      </c>
      <c r="EM179" s="12">
        <v>0</v>
      </c>
      <c r="EN179" s="12">
        <v>0</v>
      </c>
      <c r="EO179" s="12">
        <v>0</v>
      </c>
      <c r="EP179" s="12" t="str">
        <f t="shared" si="41"/>
        <v>🔴 Sin venta</v>
      </c>
      <c r="EQ179" s="23">
        <f t="shared" si="35"/>
        <v>0.16666666666666666</v>
      </c>
      <c r="ER179" s="19">
        <f t="shared" si="34"/>
        <v>1705.36</v>
      </c>
      <c r="ES179" s="12">
        <f t="shared" si="33"/>
        <v>4</v>
      </c>
      <c r="ET179" s="23">
        <f t="shared" si="44"/>
        <v>0</v>
      </c>
      <c r="EU179" s="23">
        <f t="shared" si="45"/>
        <v>0</v>
      </c>
      <c r="EV179" s="23">
        <f t="shared" si="46"/>
        <v>0.27</v>
      </c>
      <c r="EW179" s="23"/>
      <c r="EX179" s="12">
        <v>0</v>
      </c>
      <c r="EY179" s="19" cm="1">
        <f t="array" ref="EY179:FC179">VLOOKUP(_xlfn.SINGLE(B:B),'[1]Price List'!$B:$N,{8,4,5,6,7},0)</f>
        <v>426.34</v>
      </c>
      <c r="EZ179" s="9" t="str">
        <v>Speck Presidio Perfect Clear Impact Geometry Case with MagSafe for iPhone 14 Pro -</v>
      </c>
      <c r="FA179" s="12" t="str">
        <v>Cases iPhone</v>
      </c>
      <c r="FB179" s="12" t="str">
        <v>iPhone 14</v>
      </c>
      <c r="FC179" s="12" t="str">
        <v xml:space="preserve">iPhone 14 Pro </v>
      </c>
      <c r="FD179" s="23" t="str">
        <f>_xlfn.XLOOKUP(B:B,'[1]Price List'!$B:$B,'[1]Price List'!$A:$A)</f>
        <v>Speck</v>
      </c>
    </row>
    <row r="180" spans="1:160" s="9" customFormat="1" x14ac:dyDescent="0.2">
      <c r="A180" s="23" t="s">
        <v>599</v>
      </c>
      <c r="B180" s="23">
        <v>840168523221</v>
      </c>
      <c r="C180" s="9" t="s">
        <v>190</v>
      </c>
      <c r="D180" s="9" t="s">
        <v>644</v>
      </c>
      <c r="E180" s="9" t="s">
        <v>316</v>
      </c>
      <c r="F180" s="9" t="s">
        <v>315</v>
      </c>
      <c r="G180" s="9" t="s">
        <v>315</v>
      </c>
      <c r="H180" s="12" t="s">
        <v>191</v>
      </c>
      <c r="I180" s="11">
        <v>1099</v>
      </c>
      <c r="J180" s="11">
        <v>426.34</v>
      </c>
      <c r="K180" s="62">
        <v>0</v>
      </c>
      <c r="L180" s="12">
        <v>0</v>
      </c>
      <c r="M180" s="13" t="s">
        <v>467</v>
      </c>
      <c r="N180" s="13" t="s">
        <v>656</v>
      </c>
      <c r="O180" s="27" t="s">
        <v>169</v>
      </c>
      <c r="P180" s="12">
        <v>4</v>
      </c>
      <c r="Q180" s="12">
        <v>6</v>
      </c>
      <c r="R180" s="12">
        <v>6</v>
      </c>
      <c r="S180" s="12">
        <v>5</v>
      </c>
      <c r="T180" s="12">
        <v>4</v>
      </c>
      <c r="U180" s="12">
        <v>2</v>
      </c>
      <c r="V180" s="12">
        <v>2</v>
      </c>
      <c r="W180" s="12">
        <v>1</v>
      </c>
      <c r="X180" s="12">
        <v>2</v>
      </c>
      <c r="Y180" s="12">
        <v>5</v>
      </c>
      <c r="Z180" s="12">
        <v>3</v>
      </c>
      <c r="AA180" s="12">
        <v>1</v>
      </c>
      <c r="AB180" s="12">
        <v>2</v>
      </c>
      <c r="AC180" s="12">
        <v>0</v>
      </c>
      <c r="AD180" s="12">
        <v>1</v>
      </c>
      <c r="AE180" s="12">
        <v>1</v>
      </c>
      <c r="AF180" s="12">
        <v>0</v>
      </c>
      <c r="AG180" s="12">
        <v>0</v>
      </c>
      <c r="AH180" s="12">
        <v>1</v>
      </c>
      <c r="AI180" s="12">
        <v>0</v>
      </c>
      <c r="AJ180" s="12">
        <v>0</v>
      </c>
      <c r="AK180" s="12">
        <v>1</v>
      </c>
      <c r="AL180" s="12">
        <v>0</v>
      </c>
      <c r="AM180" s="12">
        <v>0</v>
      </c>
      <c r="AN180" s="12">
        <v>0</v>
      </c>
      <c r="AO180" s="12">
        <v>0</v>
      </c>
      <c r="AP180" s="12">
        <v>0</v>
      </c>
      <c r="AQ180" s="12">
        <v>1</v>
      </c>
      <c r="AR180" s="12">
        <v>0</v>
      </c>
      <c r="AS180" s="12">
        <v>0</v>
      </c>
      <c r="AT180" s="12">
        <v>0</v>
      </c>
      <c r="AU180" s="12">
        <v>0</v>
      </c>
      <c r="AV180" s="12">
        <v>0</v>
      </c>
      <c r="AW180" s="12">
        <v>0</v>
      </c>
      <c r="AX180" s="12">
        <v>0</v>
      </c>
      <c r="AY180" s="12">
        <v>0</v>
      </c>
      <c r="AZ180" s="12">
        <v>0</v>
      </c>
      <c r="BA180" s="12">
        <v>0</v>
      </c>
      <c r="BB180" s="12">
        <v>0</v>
      </c>
      <c r="BC180" s="12">
        <v>0</v>
      </c>
      <c r="BD180" s="12">
        <v>0</v>
      </c>
      <c r="BE180" s="12">
        <v>0</v>
      </c>
      <c r="BF180" s="12">
        <v>0</v>
      </c>
      <c r="BG180" s="12">
        <v>0</v>
      </c>
      <c r="BH180" s="12">
        <v>0</v>
      </c>
      <c r="BI180" s="12">
        <v>0</v>
      </c>
      <c r="BJ180" s="12">
        <v>0</v>
      </c>
      <c r="BK180" s="12">
        <v>0</v>
      </c>
      <c r="BL180" s="12">
        <v>0</v>
      </c>
      <c r="BM180" s="12">
        <v>0</v>
      </c>
      <c r="BN180" s="12">
        <v>0</v>
      </c>
      <c r="BO180" s="12">
        <v>0</v>
      </c>
      <c r="BP180" s="12">
        <v>0</v>
      </c>
      <c r="BQ180" s="12">
        <v>0</v>
      </c>
      <c r="BR180" s="12">
        <v>0</v>
      </c>
      <c r="BS180" s="12">
        <v>0</v>
      </c>
      <c r="BT180" s="12">
        <v>0</v>
      </c>
      <c r="BU180" s="12">
        <v>0</v>
      </c>
      <c r="BV180" s="12">
        <v>0</v>
      </c>
      <c r="BW180" s="12">
        <v>0</v>
      </c>
      <c r="BX180" s="12">
        <v>0</v>
      </c>
      <c r="BY180" s="12">
        <v>0</v>
      </c>
      <c r="BZ180" s="12">
        <v>0</v>
      </c>
      <c r="CA180" s="12">
        <v>0</v>
      </c>
      <c r="CB180" s="12">
        <v>0</v>
      </c>
      <c r="CC180" s="12">
        <v>0</v>
      </c>
      <c r="CD180" s="12">
        <v>0</v>
      </c>
      <c r="CE180" s="12">
        <v>0</v>
      </c>
      <c r="CF180" s="12">
        <v>0</v>
      </c>
      <c r="CG180" s="12">
        <v>0</v>
      </c>
      <c r="CH180" s="12">
        <v>0</v>
      </c>
      <c r="CI180" s="12">
        <v>0</v>
      </c>
      <c r="CJ180" s="12">
        <v>0</v>
      </c>
      <c r="CK180" s="12">
        <v>0</v>
      </c>
      <c r="CL180" s="12">
        <v>0</v>
      </c>
      <c r="CM180" s="12">
        <v>0</v>
      </c>
      <c r="CN180" s="12">
        <v>0</v>
      </c>
      <c r="CO180" s="12">
        <v>0</v>
      </c>
      <c r="CP180" s="12">
        <v>0</v>
      </c>
      <c r="CQ180" s="12">
        <v>0</v>
      </c>
      <c r="CR180" s="12">
        <v>0</v>
      </c>
      <c r="CS180" s="12">
        <v>0</v>
      </c>
      <c r="CT180" s="12">
        <v>0</v>
      </c>
      <c r="CU180" s="12">
        <v>0</v>
      </c>
      <c r="CV180" s="12">
        <v>0</v>
      </c>
      <c r="CW180" s="12">
        <v>0</v>
      </c>
      <c r="CX180" s="12">
        <v>0</v>
      </c>
      <c r="CY180" s="12">
        <v>0</v>
      </c>
      <c r="CZ180" s="12">
        <v>0</v>
      </c>
      <c r="DA180" s="12">
        <v>0</v>
      </c>
      <c r="DB180" s="12">
        <v>0</v>
      </c>
      <c r="DC180" s="12">
        <v>0</v>
      </c>
      <c r="DD180" s="12">
        <v>0</v>
      </c>
      <c r="DE180" s="12">
        <v>0</v>
      </c>
      <c r="DF180" s="12">
        <v>0</v>
      </c>
      <c r="DG180" s="12">
        <v>0</v>
      </c>
      <c r="DH180" s="12">
        <v>0</v>
      </c>
      <c r="DI180" s="12">
        <v>0</v>
      </c>
      <c r="DJ180" s="12">
        <v>0</v>
      </c>
      <c r="DK180" s="12">
        <v>0</v>
      </c>
      <c r="DL180" s="12">
        <v>0</v>
      </c>
      <c r="DM180" s="12">
        <v>0</v>
      </c>
      <c r="DN180" s="12">
        <v>0</v>
      </c>
      <c r="DO180" s="12">
        <v>0</v>
      </c>
      <c r="DP180" s="12">
        <v>0</v>
      </c>
      <c r="DQ180" s="12">
        <v>0</v>
      </c>
      <c r="DR180" s="12">
        <v>0</v>
      </c>
      <c r="DS180" s="12">
        <v>0</v>
      </c>
      <c r="DT180" s="12">
        <v>0</v>
      </c>
      <c r="DU180" s="12">
        <v>0</v>
      </c>
      <c r="DV180" s="12">
        <v>0</v>
      </c>
      <c r="DW180" s="12">
        <v>0</v>
      </c>
      <c r="DX180" s="12">
        <v>0</v>
      </c>
      <c r="DY180" s="12">
        <v>0</v>
      </c>
      <c r="DZ180" s="12">
        <v>0</v>
      </c>
      <c r="EA180" s="12">
        <v>0</v>
      </c>
      <c r="EB180" s="12">
        <v>0</v>
      </c>
      <c r="EC180" s="12">
        <v>0</v>
      </c>
      <c r="ED180" s="12">
        <v>0</v>
      </c>
      <c r="EE180" s="12">
        <v>0</v>
      </c>
      <c r="EF180" s="12">
        <v>0</v>
      </c>
      <c r="EG180" s="12">
        <v>0</v>
      </c>
      <c r="EH180" s="12">
        <v>0</v>
      </c>
      <c r="EI180" s="12">
        <v>0</v>
      </c>
      <c r="EJ180" s="12">
        <v>0</v>
      </c>
      <c r="EK180" s="12">
        <v>0</v>
      </c>
      <c r="EL180" s="12">
        <v>0</v>
      </c>
      <c r="EM180" s="12">
        <v>0</v>
      </c>
      <c r="EN180" s="12">
        <v>0</v>
      </c>
      <c r="EO180" s="12">
        <v>0</v>
      </c>
      <c r="EP180" s="12" t="str">
        <f t="shared" si="41"/>
        <v>🔴 Sin venta</v>
      </c>
      <c r="EQ180" s="23">
        <f t="shared" si="35"/>
        <v>0</v>
      </c>
      <c r="ER180" s="19">
        <f t="shared" si="34"/>
        <v>0</v>
      </c>
      <c r="ES180" s="12">
        <f t="shared" si="33"/>
        <v>0</v>
      </c>
      <c r="ET180" s="23">
        <f t="shared" si="44"/>
        <v>0</v>
      </c>
      <c r="EU180" s="23">
        <f t="shared" si="45"/>
        <v>0</v>
      </c>
      <c r="EV180" s="23">
        <f t="shared" si="46"/>
        <v>0</v>
      </c>
      <c r="EW180" s="23"/>
      <c r="EX180" s="12">
        <v>0</v>
      </c>
      <c r="EY180" s="19" cm="1">
        <f t="array" ref="EY180:FC180">VLOOKUP(_xlfn.SINGLE(B:B),'[1]Price List'!$B:$N,{8,4,5,6,7},0)</f>
        <v>426.34</v>
      </c>
      <c r="EZ180" s="9" t="str">
        <v>Speck Presidio Perfect Clear Impact Geometry Case with MagSafe for iPhone 14 Pro M</v>
      </c>
      <c r="FA180" s="12" t="str">
        <v>Cases iPhone</v>
      </c>
      <c r="FB180" s="12" t="str">
        <v>iPhone 14</v>
      </c>
      <c r="FC180" s="12" t="str">
        <v>iPhone 14 Pro Max</v>
      </c>
      <c r="FD180" s="23" t="str">
        <f>_xlfn.XLOOKUP(B:B,'[1]Price List'!$B:$B,'[1]Price List'!$A:$A)</f>
        <v>Speck</v>
      </c>
    </row>
    <row r="181" spans="1:160" s="9" customFormat="1" x14ac:dyDescent="0.2">
      <c r="A181" s="23" t="s">
        <v>599</v>
      </c>
      <c r="B181" s="23">
        <v>840168523313</v>
      </c>
      <c r="C181" s="9" t="s">
        <v>196</v>
      </c>
      <c r="D181" s="9" t="e">
        <v>#N/A</v>
      </c>
      <c r="E181" s="9" t="e">
        <v>#N/A</v>
      </c>
      <c r="F181" s="9" t="e">
        <v>#N/A</v>
      </c>
      <c r="G181" s="9" t="s">
        <v>315</v>
      </c>
      <c r="H181" s="12" t="s">
        <v>197</v>
      </c>
      <c r="I181" s="11">
        <v>1099</v>
      </c>
      <c r="J181" s="11">
        <v>426.34</v>
      </c>
      <c r="K181" s="62">
        <v>0</v>
      </c>
      <c r="L181" s="12">
        <v>0</v>
      </c>
      <c r="M181" s="13" t="s">
        <v>467</v>
      </c>
      <c r="N181" s="13" t="s">
        <v>656</v>
      </c>
      <c r="O181" s="27" t="s">
        <v>169</v>
      </c>
      <c r="P181" s="12">
        <v>19</v>
      </c>
      <c r="Q181" s="12">
        <v>5</v>
      </c>
      <c r="R181" s="12">
        <v>4</v>
      </c>
      <c r="S181" s="12">
        <v>5</v>
      </c>
      <c r="T181" s="12">
        <v>5</v>
      </c>
      <c r="U181" s="12">
        <v>4</v>
      </c>
      <c r="V181" s="12">
        <v>5</v>
      </c>
      <c r="W181" s="12">
        <v>10</v>
      </c>
      <c r="X181" s="12">
        <v>8</v>
      </c>
      <c r="Y181" s="12">
        <v>10</v>
      </c>
      <c r="Z181" s="12">
        <v>7</v>
      </c>
      <c r="AA181" s="12">
        <v>12</v>
      </c>
      <c r="AB181" s="12">
        <v>4</v>
      </c>
      <c r="AC181" s="12">
        <v>4</v>
      </c>
      <c r="AD181" s="12">
        <v>3</v>
      </c>
      <c r="AE181" s="12">
        <v>2</v>
      </c>
      <c r="AF181" s="12">
        <v>0</v>
      </c>
      <c r="AG181" s="12">
        <v>0</v>
      </c>
      <c r="AH181" s="12">
        <v>0</v>
      </c>
      <c r="AI181" s="12">
        <v>0</v>
      </c>
      <c r="AJ181" s="12">
        <v>1</v>
      </c>
      <c r="AK181" s="12">
        <v>0</v>
      </c>
      <c r="AL181" s="12">
        <v>0</v>
      </c>
      <c r="AM181" s="12">
        <v>0</v>
      </c>
      <c r="AN181" s="12">
        <v>0</v>
      </c>
      <c r="AO181" s="12">
        <v>0</v>
      </c>
      <c r="AP181" s="12">
        <v>0</v>
      </c>
      <c r="AQ181" s="12">
        <v>0</v>
      </c>
      <c r="AR181" s="12">
        <v>0</v>
      </c>
      <c r="AS181" s="12">
        <v>1</v>
      </c>
      <c r="AT181" s="12">
        <v>0</v>
      </c>
      <c r="AU181" s="12">
        <v>0</v>
      </c>
      <c r="AV181" s="12">
        <v>1</v>
      </c>
      <c r="AW181" s="12">
        <v>2</v>
      </c>
      <c r="AX181" s="12">
        <v>0</v>
      </c>
      <c r="AY181" s="12">
        <v>0</v>
      </c>
      <c r="AZ181" s="12">
        <v>0</v>
      </c>
      <c r="BA181" s="12">
        <v>0</v>
      </c>
      <c r="BB181" s="12">
        <v>0</v>
      </c>
      <c r="BC181" s="12">
        <v>0</v>
      </c>
      <c r="BD181" s="12">
        <v>0</v>
      </c>
      <c r="BE181" s="12">
        <v>0</v>
      </c>
      <c r="BF181" s="12">
        <v>0</v>
      </c>
      <c r="BG181" s="12">
        <v>0</v>
      </c>
      <c r="BH181" s="12">
        <v>0</v>
      </c>
      <c r="BI181" s="12">
        <v>0</v>
      </c>
      <c r="BJ181" s="12">
        <v>0</v>
      </c>
      <c r="BK181" s="12">
        <v>0</v>
      </c>
      <c r="BL181" s="12">
        <v>0</v>
      </c>
      <c r="BM181" s="12">
        <v>0</v>
      </c>
      <c r="BN181" s="12">
        <v>0</v>
      </c>
      <c r="BO181" s="12">
        <v>0</v>
      </c>
      <c r="BP181" s="12">
        <v>0</v>
      </c>
      <c r="BQ181" s="12">
        <v>0</v>
      </c>
      <c r="BR181" s="12">
        <v>0</v>
      </c>
      <c r="BS181" s="12">
        <v>0</v>
      </c>
      <c r="BT181" s="12">
        <v>0</v>
      </c>
      <c r="BU181" s="12">
        <v>0</v>
      </c>
      <c r="BV181" s="12">
        <v>0</v>
      </c>
      <c r="BW181" s="12">
        <v>0</v>
      </c>
      <c r="BX181" s="12">
        <v>0</v>
      </c>
      <c r="BY181" s="12">
        <v>0</v>
      </c>
      <c r="BZ181" s="12">
        <v>0</v>
      </c>
      <c r="CA181" s="12">
        <v>0</v>
      </c>
      <c r="CB181" s="12">
        <v>0</v>
      </c>
      <c r="CC181" s="12">
        <v>0</v>
      </c>
      <c r="CD181" s="12">
        <v>0</v>
      </c>
      <c r="CE181" s="12">
        <v>0</v>
      </c>
      <c r="CF181" s="12">
        <v>0</v>
      </c>
      <c r="CG181" s="12">
        <v>0</v>
      </c>
      <c r="CH181" s="12">
        <v>0</v>
      </c>
      <c r="CI181" s="12">
        <v>0</v>
      </c>
      <c r="CJ181" s="12">
        <v>0</v>
      </c>
      <c r="CK181" s="12">
        <v>0</v>
      </c>
      <c r="CL181" s="12">
        <v>0</v>
      </c>
      <c r="CM181" s="12">
        <v>0</v>
      </c>
      <c r="CN181" s="12">
        <v>0</v>
      </c>
      <c r="CO181" s="12">
        <v>0</v>
      </c>
      <c r="CP181" s="12">
        <v>0</v>
      </c>
      <c r="CQ181" s="12">
        <v>0</v>
      </c>
      <c r="CR181" s="12">
        <v>0</v>
      </c>
      <c r="CS181" s="12">
        <v>0</v>
      </c>
      <c r="CT181" s="12">
        <v>0</v>
      </c>
      <c r="CU181" s="12">
        <v>0</v>
      </c>
      <c r="CV181" s="12">
        <v>0</v>
      </c>
      <c r="CW181" s="12">
        <v>0</v>
      </c>
      <c r="CX181" s="12">
        <v>0</v>
      </c>
      <c r="CY181" s="12">
        <v>0</v>
      </c>
      <c r="CZ181" s="12">
        <v>0</v>
      </c>
      <c r="DA181" s="12">
        <v>0</v>
      </c>
      <c r="DB181" s="12">
        <v>0</v>
      </c>
      <c r="DC181" s="12">
        <v>0</v>
      </c>
      <c r="DD181" s="12">
        <v>0</v>
      </c>
      <c r="DE181" s="12">
        <v>0</v>
      </c>
      <c r="DF181" s="12">
        <v>0</v>
      </c>
      <c r="DG181" s="12">
        <v>0</v>
      </c>
      <c r="DH181" s="12">
        <v>0</v>
      </c>
      <c r="DI181" s="12">
        <v>0</v>
      </c>
      <c r="DJ181" s="12">
        <v>0</v>
      </c>
      <c r="DK181" s="12">
        <v>0</v>
      </c>
      <c r="DL181" s="12">
        <v>0</v>
      </c>
      <c r="DM181" s="12">
        <v>0</v>
      </c>
      <c r="DN181" s="12">
        <v>0</v>
      </c>
      <c r="DO181" s="12">
        <v>0</v>
      </c>
      <c r="DP181" s="12">
        <v>0</v>
      </c>
      <c r="DQ181" s="12">
        <v>0</v>
      </c>
      <c r="DR181" s="12">
        <v>0</v>
      </c>
      <c r="DS181" s="12">
        <v>0</v>
      </c>
      <c r="DT181" s="12">
        <v>0</v>
      </c>
      <c r="DU181" s="12">
        <v>0</v>
      </c>
      <c r="DV181" s="12">
        <v>0</v>
      </c>
      <c r="DW181" s="12">
        <v>0</v>
      </c>
      <c r="DX181" s="12">
        <v>0</v>
      </c>
      <c r="DY181" s="12">
        <v>0</v>
      </c>
      <c r="DZ181" s="12">
        <v>0</v>
      </c>
      <c r="EA181" s="12">
        <v>0</v>
      </c>
      <c r="EB181" s="12">
        <v>0</v>
      </c>
      <c r="EC181" s="12">
        <v>0</v>
      </c>
      <c r="ED181" s="12">
        <v>0</v>
      </c>
      <c r="EE181" s="12">
        <v>0</v>
      </c>
      <c r="EF181" s="12">
        <v>0</v>
      </c>
      <c r="EG181" s="12">
        <v>0</v>
      </c>
      <c r="EH181" s="12">
        <v>0</v>
      </c>
      <c r="EI181" s="12">
        <v>0</v>
      </c>
      <c r="EJ181" s="12">
        <v>0</v>
      </c>
      <c r="EK181" s="12">
        <v>0</v>
      </c>
      <c r="EL181" s="12">
        <v>0</v>
      </c>
      <c r="EM181" s="12">
        <v>0</v>
      </c>
      <c r="EN181" s="12">
        <v>0</v>
      </c>
      <c r="EO181" s="12">
        <v>0</v>
      </c>
      <c r="EP181" s="12" t="str">
        <f t="shared" si="41"/>
        <v>🔴 Sin venta</v>
      </c>
      <c r="EQ181" s="23">
        <f t="shared" si="35"/>
        <v>0</v>
      </c>
      <c r="ER181" s="19">
        <f t="shared" si="34"/>
        <v>0</v>
      </c>
      <c r="ES181" s="12">
        <f t="shared" si="33"/>
        <v>0</v>
      </c>
      <c r="ET181" s="23">
        <f t="shared" si="44"/>
        <v>0</v>
      </c>
      <c r="EU181" s="23">
        <f t="shared" si="45"/>
        <v>0</v>
      </c>
      <c r="EV181" s="23">
        <f t="shared" si="46"/>
        <v>0</v>
      </c>
      <c r="EW181" s="23"/>
      <c r="EX181" s="12">
        <v>0</v>
      </c>
      <c r="EY181" s="19" cm="1">
        <f t="array" ref="EY181:FC181">VLOOKUP(_xlfn.SINGLE(B:B),'[1]Price List'!$B:$N,{8,4,5,6,7},0)</f>
        <v>426.34</v>
      </c>
      <c r="EZ181" s="9" t="str">
        <v>Speck Presidio Perfect Mist Case with MagSafe for iPhone 14 Pro Max - Obsidian/Obs</v>
      </c>
      <c r="FA181" s="12" t="str">
        <v>Cases iPhone</v>
      </c>
      <c r="FB181" s="12" t="str">
        <v>iPhone 14</v>
      </c>
      <c r="FC181" s="12" t="str">
        <v>iPhone 14 Pro Max</v>
      </c>
      <c r="FD181" s="23" t="str">
        <f>_xlfn.XLOOKUP(B:B,'[1]Price List'!$B:$B,'[1]Price List'!$A:$A)</f>
        <v>Speck</v>
      </c>
    </row>
    <row r="182" spans="1:160" s="9" customFormat="1" x14ac:dyDescent="0.2">
      <c r="A182" s="23" t="s">
        <v>599</v>
      </c>
      <c r="B182" s="23">
        <v>840168525249</v>
      </c>
      <c r="C182" s="9" t="s">
        <v>222</v>
      </c>
      <c r="D182" s="9" t="e">
        <v>#N/A</v>
      </c>
      <c r="E182" s="9" t="e">
        <v>#N/A</v>
      </c>
      <c r="F182" s="9" t="e">
        <v>#N/A</v>
      </c>
      <c r="G182" s="9" t="s">
        <v>689</v>
      </c>
      <c r="H182" s="12" t="s">
        <v>223</v>
      </c>
      <c r="I182" s="11">
        <v>1099</v>
      </c>
      <c r="J182" s="11">
        <v>426.34</v>
      </c>
      <c r="K182" s="62">
        <v>0</v>
      </c>
      <c r="L182" s="12">
        <v>0</v>
      </c>
      <c r="M182" s="13" t="s">
        <v>467</v>
      </c>
      <c r="N182" s="13" t="s">
        <v>656</v>
      </c>
      <c r="O182" s="27" t="s">
        <v>169</v>
      </c>
      <c r="P182" s="12">
        <v>13</v>
      </c>
      <c r="Q182" s="12">
        <v>5</v>
      </c>
      <c r="R182" s="12">
        <v>12</v>
      </c>
      <c r="S182" s="12">
        <v>8</v>
      </c>
      <c r="T182" s="12">
        <v>4</v>
      </c>
      <c r="U182" s="12">
        <v>5</v>
      </c>
      <c r="V182" s="12">
        <v>6</v>
      </c>
      <c r="W182" s="12">
        <v>6</v>
      </c>
      <c r="X182" s="12">
        <v>8</v>
      </c>
      <c r="Y182" s="12">
        <v>6</v>
      </c>
      <c r="Z182" s="12">
        <v>4</v>
      </c>
      <c r="AA182" s="12">
        <v>6</v>
      </c>
      <c r="AB182" s="12">
        <v>8</v>
      </c>
      <c r="AC182" s="12">
        <v>4</v>
      </c>
      <c r="AD182" s="12">
        <v>3</v>
      </c>
      <c r="AE182" s="12">
        <v>4</v>
      </c>
      <c r="AF182" s="12">
        <v>2</v>
      </c>
      <c r="AG182" s="12">
        <v>2</v>
      </c>
      <c r="AH182" s="12">
        <v>0</v>
      </c>
      <c r="AI182" s="12">
        <v>1</v>
      </c>
      <c r="AJ182" s="12">
        <v>2</v>
      </c>
      <c r="AK182" s="12">
        <v>2</v>
      </c>
      <c r="AL182" s="12">
        <v>0</v>
      </c>
      <c r="AM182" s="12">
        <v>1</v>
      </c>
      <c r="AN182" s="12">
        <v>1</v>
      </c>
      <c r="AO182" s="12">
        <v>0</v>
      </c>
      <c r="AP182" s="12">
        <v>0</v>
      </c>
      <c r="AQ182" s="12">
        <v>1</v>
      </c>
      <c r="AR182" s="12">
        <v>0</v>
      </c>
      <c r="AS182" s="12">
        <v>2</v>
      </c>
      <c r="AT182" s="12">
        <v>0</v>
      </c>
      <c r="AU182" s="12">
        <v>1</v>
      </c>
      <c r="AV182" s="12">
        <v>0</v>
      </c>
      <c r="AW182" s="12">
        <v>1</v>
      </c>
      <c r="AX182" s="12">
        <v>0</v>
      </c>
      <c r="AY182" s="12">
        <v>1</v>
      </c>
      <c r="AZ182" s="12">
        <v>2</v>
      </c>
      <c r="BA182" s="12">
        <v>0</v>
      </c>
      <c r="BB182" s="12">
        <v>0</v>
      </c>
      <c r="BC182" s="12">
        <v>0</v>
      </c>
      <c r="BD182" s="12">
        <v>1</v>
      </c>
      <c r="BE182" s="12">
        <v>0</v>
      </c>
      <c r="BF182" s="12">
        <v>0</v>
      </c>
      <c r="BG182" s="12">
        <v>0</v>
      </c>
      <c r="BH182" s="12">
        <v>0</v>
      </c>
      <c r="BI182" s="12">
        <v>0</v>
      </c>
      <c r="BJ182" s="12">
        <v>0</v>
      </c>
      <c r="BK182" s="12">
        <v>0</v>
      </c>
      <c r="BL182" s="12">
        <v>0</v>
      </c>
      <c r="BM182" s="12">
        <v>0</v>
      </c>
      <c r="BN182" s="12">
        <v>0</v>
      </c>
      <c r="BO182" s="12">
        <v>0</v>
      </c>
      <c r="BP182" s="12">
        <v>0</v>
      </c>
      <c r="BQ182" s="12">
        <v>0</v>
      </c>
      <c r="BR182" s="12">
        <v>0</v>
      </c>
      <c r="BS182" s="12">
        <v>0</v>
      </c>
      <c r="BT182" s="12">
        <v>0</v>
      </c>
      <c r="BU182" s="12">
        <v>0</v>
      </c>
      <c r="BV182" s="12">
        <v>0</v>
      </c>
      <c r="BW182" s="12">
        <v>0</v>
      </c>
      <c r="BX182" s="12">
        <v>0</v>
      </c>
      <c r="BY182" s="12">
        <v>0</v>
      </c>
      <c r="BZ182" s="12">
        <v>0</v>
      </c>
      <c r="CA182" s="12">
        <v>0</v>
      </c>
      <c r="CB182" s="12">
        <v>0</v>
      </c>
      <c r="CC182" s="12">
        <v>0</v>
      </c>
      <c r="CD182" s="12">
        <v>0</v>
      </c>
      <c r="CE182" s="12">
        <v>0</v>
      </c>
      <c r="CF182" s="12">
        <v>0</v>
      </c>
      <c r="CG182" s="12">
        <v>0</v>
      </c>
      <c r="CH182" s="12">
        <v>0</v>
      </c>
      <c r="CI182" s="12">
        <v>0</v>
      </c>
      <c r="CJ182" s="12">
        <v>0</v>
      </c>
      <c r="CK182" s="12">
        <v>0</v>
      </c>
      <c r="CL182" s="12">
        <v>0</v>
      </c>
      <c r="CM182" s="12">
        <v>0</v>
      </c>
      <c r="CN182" s="12">
        <v>0</v>
      </c>
      <c r="CO182" s="12">
        <v>0</v>
      </c>
      <c r="CP182" s="12">
        <v>0</v>
      </c>
      <c r="CQ182" s="12">
        <v>0</v>
      </c>
      <c r="CR182" s="12">
        <v>0</v>
      </c>
      <c r="CS182" s="12">
        <v>0</v>
      </c>
      <c r="CT182" s="12">
        <v>0</v>
      </c>
      <c r="CU182" s="12">
        <v>0</v>
      </c>
      <c r="CV182" s="12">
        <v>0</v>
      </c>
      <c r="CW182" s="12">
        <v>0</v>
      </c>
      <c r="CX182" s="12">
        <v>0</v>
      </c>
      <c r="CY182" s="12">
        <v>0</v>
      </c>
      <c r="CZ182" s="12">
        <v>0</v>
      </c>
      <c r="DA182" s="12">
        <v>0</v>
      </c>
      <c r="DB182" s="12">
        <v>0</v>
      </c>
      <c r="DC182" s="12">
        <v>0</v>
      </c>
      <c r="DD182" s="12">
        <v>0</v>
      </c>
      <c r="DE182" s="12">
        <v>0</v>
      </c>
      <c r="DF182" s="12">
        <v>0</v>
      </c>
      <c r="DG182" s="12">
        <v>0</v>
      </c>
      <c r="DH182" s="12">
        <v>0</v>
      </c>
      <c r="DI182" s="12">
        <v>0</v>
      </c>
      <c r="DJ182" s="12">
        <v>0</v>
      </c>
      <c r="DK182" s="12">
        <v>0</v>
      </c>
      <c r="DL182" s="12">
        <v>0</v>
      </c>
      <c r="DM182" s="12">
        <v>0</v>
      </c>
      <c r="DN182" s="12">
        <v>0</v>
      </c>
      <c r="DO182" s="12">
        <v>0</v>
      </c>
      <c r="DP182" s="12">
        <v>0</v>
      </c>
      <c r="DQ182" s="12">
        <v>0</v>
      </c>
      <c r="DR182" s="12">
        <v>0</v>
      </c>
      <c r="DS182" s="12">
        <v>0</v>
      </c>
      <c r="DT182" s="12">
        <v>0</v>
      </c>
      <c r="DU182" s="12">
        <v>0</v>
      </c>
      <c r="DV182" s="12">
        <v>0</v>
      </c>
      <c r="DW182" s="12">
        <v>0</v>
      </c>
      <c r="DX182" s="12">
        <v>0</v>
      </c>
      <c r="DY182" s="12">
        <v>0</v>
      </c>
      <c r="DZ182" s="12">
        <v>0</v>
      </c>
      <c r="EA182" s="12">
        <v>0</v>
      </c>
      <c r="EB182" s="12">
        <v>0</v>
      </c>
      <c r="EC182" s="12">
        <v>0</v>
      </c>
      <c r="ED182" s="12">
        <v>0</v>
      </c>
      <c r="EE182" s="12">
        <v>0</v>
      </c>
      <c r="EF182" s="12">
        <v>0</v>
      </c>
      <c r="EG182" s="12">
        <v>0</v>
      </c>
      <c r="EH182" s="12">
        <v>0</v>
      </c>
      <c r="EI182" s="12">
        <v>0</v>
      </c>
      <c r="EJ182" s="12">
        <v>0</v>
      </c>
      <c r="EK182" s="12">
        <v>0</v>
      </c>
      <c r="EL182" s="12">
        <v>0</v>
      </c>
      <c r="EM182" s="12">
        <v>0</v>
      </c>
      <c r="EN182" s="12">
        <v>0</v>
      </c>
      <c r="EO182" s="12">
        <v>0</v>
      </c>
      <c r="EP182" s="12" t="str">
        <f t="shared" si="41"/>
        <v>🔴 Sin venta</v>
      </c>
      <c r="EQ182" s="23">
        <f t="shared" si="35"/>
        <v>0</v>
      </c>
      <c r="ER182" s="19">
        <f t="shared" si="34"/>
        <v>0</v>
      </c>
      <c r="ES182" s="12">
        <f t="shared" si="33"/>
        <v>0</v>
      </c>
      <c r="ET182" s="23">
        <f t="shared" si="44"/>
        <v>0</v>
      </c>
      <c r="EU182" s="23">
        <f t="shared" si="45"/>
        <v>0</v>
      </c>
      <c r="EV182" s="23">
        <f t="shared" si="46"/>
        <v>0</v>
      </c>
      <c r="EW182" s="23"/>
      <c r="EX182" s="12">
        <v>0</v>
      </c>
      <c r="EY182" s="19" cm="1">
        <f t="array" ref="EY182:FC182">VLOOKUP(_xlfn.SINGLE(B:B),'[1]Price List'!$B:$N,{8,4,5,6,7},0)</f>
        <v>426.34</v>
      </c>
      <c r="EZ182" s="9" t="str">
        <v>Speck Presidio Perfect Clear Impact Geometry Case with MagSafe for iPhone 14 Pro -</v>
      </c>
      <c r="FA182" s="12" t="str">
        <v>Cases iPhone</v>
      </c>
      <c r="FB182" s="12" t="str">
        <v>iPhone 14</v>
      </c>
      <c r="FC182" s="12" t="str">
        <v xml:space="preserve">iPhone 14 Pro </v>
      </c>
      <c r="FD182" s="23" t="str">
        <f>_xlfn.XLOOKUP(B:B,'[1]Price List'!$B:$B,'[1]Price List'!$A:$A)</f>
        <v>Speck</v>
      </c>
    </row>
    <row r="183" spans="1:160" s="9" customFormat="1" x14ac:dyDescent="0.2">
      <c r="A183" s="23" t="s">
        <v>599</v>
      </c>
      <c r="B183" s="23">
        <v>840168522309</v>
      </c>
      <c r="C183" s="9" t="s">
        <v>180</v>
      </c>
      <c r="D183" s="9" t="e">
        <v>#N/A</v>
      </c>
      <c r="E183" s="9" t="e">
        <v>#N/A</v>
      </c>
      <c r="F183" s="9" t="e">
        <v>#N/A</v>
      </c>
      <c r="G183" s="9" t="s">
        <v>690</v>
      </c>
      <c r="H183" s="12" t="s">
        <v>181</v>
      </c>
      <c r="I183" s="11">
        <v>1099</v>
      </c>
      <c r="J183" s="11">
        <v>426.34</v>
      </c>
      <c r="K183" s="62">
        <v>0</v>
      </c>
      <c r="L183" s="12">
        <v>0</v>
      </c>
      <c r="M183" s="13" t="s">
        <v>467</v>
      </c>
      <c r="N183" s="13" t="s">
        <v>656</v>
      </c>
      <c r="O183" s="27" t="s">
        <v>169</v>
      </c>
      <c r="P183" s="12">
        <v>4</v>
      </c>
      <c r="Q183" s="12">
        <v>5</v>
      </c>
      <c r="R183" s="12">
        <v>8</v>
      </c>
      <c r="S183" s="12">
        <v>7</v>
      </c>
      <c r="T183" s="12">
        <v>3</v>
      </c>
      <c r="U183" s="12">
        <v>7</v>
      </c>
      <c r="V183" s="12">
        <v>13</v>
      </c>
      <c r="W183" s="12">
        <v>2</v>
      </c>
      <c r="X183" s="12">
        <v>5</v>
      </c>
      <c r="Y183" s="12">
        <v>3</v>
      </c>
      <c r="Z183" s="12">
        <v>4</v>
      </c>
      <c r="AA183" s="12">
        <v>4</v>
      </c>
      <c r="AB183" s="12">
        <v>4</v>
      </c>
      <c r="AC183" s="12">
        <v>2</v>
      </c>
      <c r="AD183" s="12">
        <v>2</v>
      </c>
      <c r="AE183" s="12">
        <v>2</v>
      </c>
      <c r="AF183" s="12">
        <v>1</v>
      </c>
      <c r="AG183" s="12">
        <v>0</v>
      </c>
      <c r="AH183" s="12">
        <v>0</v>
      </c>
      <c r="AI183" s="12">
        <v>3</v>
      </c>
      <c r="AJ183" s="12">
        <v>0</v>
      </c>
      <c r="AK183" s="12">
        <v>0</v>
      </c>
      <c r="AL183" s="12">
        <v>0</v>
      </c>
      <c r="AM183" s="12">
        <v>0</v>
      </c>
      <c r="AN183" s="12">
        <v>0</v>
      </c>
      <c r="AO183" s="12">
        <v>1</v>
      </c>
      <c r="AP183" s="12">
        <v>0</v>
      </c>
      <c r="AQ183" s="12">
        <v>0</v>
      </c>
      <c r="AR183" s="12">
        <v>0</v>
      </c>
      <c r="AS183" s="12">
        <v>0</v>
      </c>
      <c r="AT183" s="12">
        <v>1</v>
      </c>
      <c r="AU183" s="12">
        <v>0</v>
      </c>
      <c r="AV183" s="12">
        <v>0</v>
      </c>
      <c r="AW183" s="12">
        <v>0</v>
      </c>
      <c r="AX183" s="12">
        <v>0</v>
      </c>
      <c r="AY183" s="12">
        <v>0</v>
      </c>
      <c r="AZ183" s="12">
        <v>1</v>
      </c>
      <c r="BA183" s="12">
        <v>1</v>
      </c>
      <c r="BB183" s="12">
        <v>1</v>
      </c>
      <c r="BC183" s="12">
        <v>0</v>
      </c>
      <c r="BD183" s="12">
        <v>1</v>
      </c>
      <c r="BE183" s="12">
        <v>1</v>
      </c>
      <c r="BF183" s="12">
        <v>0</v>
      </c>
      <c r="BG183" s="12">
        <v>0</v>
      </c>
      <c r="BH183" s="12">
        <v>0</v>
      </c>
      <c r="BI183" s="12">
        <v>0</v>
      </c>
      <c r="BJ183" s="12">
        <v>0</v>
      </c>
      <c r="BK183" s="12">
        <v>0</v>
      </c>
      <c r="BL183" s="12">
        <v>0</v>
      </c>
      <c r="BM183" s="12">
        <v>0</v>
      </c>
      <c r="BN183" s="12">
        <v>0</v>
      </c>
      <c r="BO183" s="12">
        <v>0</v>
      </c>
      <c r="BP183" s="12">
        <v>1</v>
      </c>
      <c r="BQ183" s="12">
        <v>0</v>
      </c>
      <c r="BR183" s="12">
        <v>0</v>
      </c>
      <c r="BS183" s="12">
        <v>0</v>
      </c>
      <c r="BT183" s="12">
        <v>0</v>
      </c>
      <c r="BU183" s="12">
        <v>1</v>
      </c>
      <c r="BV183" s="12">
        <v>0</v>
      </c>
      <c r="BW183" s="12">
        <v>0</v>
      </c>
      <c r="BX183" s="12">
        <v>0</v>
      </c>
      <c r="BY183" s="12">
        <v>2</v>
      </c>
      <c r="BZ183" s="12">
        <v>0</v>
      </c>
      <c r="CA183" s="12">
        <v>0</v>
      </c>
      <c r="CB183" s="12">
        <v>0</v>
      </c>
      <c r="CC183" s="12">
        <v>1</v>
      </c>
      <c r="CD183" s="12">
        <v>0</v>
      </c>
      <c r="CE183" s="12">
        <v>0</v>
      </c>
      <c r="CF183" s="12">
        <v>0</v>
      </c>
      <c r="CG183" s="12">
        <v>0</v>
      </c>
      <c r="CH183" s="12">
        <v>1</v>
      </c>
      <c r="CI183" s="12">
        <v>0</v>
      </c>
      <c r="CJ183" s="12">
        <v>0</v>
      </c>
      <c r="CK183" s="12">
        <v>0</v>
      </c>
      <c r="CL183" s="12">
        <v>0</v>
      </c>
      <c r="CM183" s="12">
        <v>0</v>
      </c>
      <c r="CN183" s="12">
        <v>0</v>
      </c>
      <c r="CO183" s="12">
        <v>1</v>
      </c>
      <c r="CP183" s="12">
        <v>0</v>
      </c>
      <c r="CQ183" s="12">
        <v>0</v>
      </c>
      <c r="CR183" s="12">
        <v>0</v>
      </c>
      <c r="CS183" s="12">
        <v>0</v>
      </c>
      <c r="CT183" s="12">
        <v>0</v>
      </c>
      <c r="CU183" s="12">
        <v>0</v>
      </c>
      <c r="CV183" s="12">
        <v>0</v>
      </c>
      <c r="CW183" s="12">
        <v>0</v>
      </c>
      <c r="CX183" s="12">
        <v>0</v>
      </c>
      <c r="CY183" s="12">
        <v>0</v>
      </c>
      <c r="CZ183" s="12">
        <v>0</v>
      </c>
      <c r="DA183" s="12">
        <v>0</v>
      </c>
      <c r="DB183" s="12">
        <v>0</v>
      </c>
      <c r="DC183" s="12">
        <v>0</v>
      </c>
      <c r="DD183" s="12">
        <v>0</v>
      </c>
      <c r="DE183" s="12">
        <v>0</v>
      </c>
      <c r="DF183" s="12">
        <v>0</v>
      </c>
      <c r="DG183" s="12">
        <v>0</v>
      </c>
      <c r="DH183" s="12">
        <v>0</v>
      </c>
      <c r="DI183" s="12">
        <v>1</v>
      </c>
      <c r="DJ183" s="12">
        <v>0</v>
      </c>
      <c r="DK183" s="12">
        <v>0</v>
      </c>
      <c r="DL183" s="12">
        <v>0</v>
      </c>
      <c r="DM183" s="12">
        <v>0</v>
      </c>
      <c r="DN183" s="12">
        <v>0</v>
      </c>
      <c r="DO183" s="12">
        <v>0</v>
      </c>
      <c r="DP183" s="12">
        <v>0</v>
      </c>
      <c r="DQ183" s="12">
        <v>0</v>
      </c>
      <c r="DR183" s="12">
        <v>0</v>
      </c>
      <c r="DS183" s="12">
        <v>0</v>
      </c>
      <c r="DT183" s="12">
        <v>0</v>
      </c>
      <c r="DU183" s="12">
        <v>0</v>
      </c>
      <c r="DV183" s="12">
        <v>0</v>
      </c>
      <c r="DW183" s="12">
        <v>0</v>
      </c>
      <c r="DX183" s="12">
        <v>0</v>
      </c>
      <c r="DY183" s="12">
        <v>0</v>
      </c>
      <c r="DZ183" s="12">
        <v>0</v>
      </c>
      <c r="EA183" s="12">
        <v>0</v>
      </c>
      <c r="EB183" s="12">
        <v>0</v>
      </c>
      <c r="EC183" s="12">
        <v>0</v>
      </c>
      <c r="ED183" s="12">
        <v>0</v>
      </c>
      <c r="EE183" s="12">
        <v>0</v>
      </c>
      <c r="EF183" s="12">
        <v>0</v>
      </c>
      <c r="EG183" s="12">
        <v>0</v>
      </c>
      <c r="EH183" s="12">
        <v>0</v>
      </c>
      <c r="EI183" s="12">
        <v>0</v>
      </c>
      <c r="EJ183" s="12">
        <v>0</v>
      </c>
      <c r="EK183" s="12">
        <v>0</v>
      </c>
      <c r="EL183" s="12">
        <v>0</v>
      </c>
      <c r="EM183" s="12">
        <v>0</v>
      </c>
      <c r="EN183" s="12">
        <v>0</v>
      </c>
      <c r="EO183" s="12">
        <v>0</v>
      </c>
      <c r="EP183" s="12" t="str">
        <f t="shared" si="41"/>
        <v>🔴 Sin venta</v>
      </c>
      <c r="EQ183" s="23">
        <f t="shared" si="35"/>
        <v>0</v>
      </c>
      <c r="ER183" s="19">
        <f t="shared" si="34"/>
        <v>0</v>
      </c>
      <c r="ES183" s="12">
        <f t="shared" si="33"/>
        <v>0</v>
      </c>
      <c r="ET183" s="23">
        <f t="shared" si="44"/>
        <v>0</v>
      </c>
      <c r="EU183" s="23">
        <f t="shared" si="45"/>
        <v>0.5</v>
      </c>
      <c r="EV183" s="23">
        <f t="shared" si="46"/>
        <v>0</v>
      </c>
      <c r="EW183" s="23"/>
      <c r="EX183" s="12">
        <v>0</v>
      </c>
      <c r="EY183" s="19" cm="1">
        <f t="array" ref="EY183:FC183">VLOOKUP(_xlfn.SINGLE(B:B),'[1]Price List'!$B:$N,{8,4,5,6,7},0)</f>
        <v>426.34</v>
      </c>
      <c r="EZ183" s="9" t="str">
        <v>Speck Presidio Perfect Mist Case with MagSafe for iPhone 13/14 - Obsidian/Obsidian</v>
      </c>
      <c r="FA183" s="12" t="str">
        <v>Cases iPhone</v>
      </c>
      <c r="FB183" s="12" t="str">
        <v>iPhone 14</v>
      </c>
      <c r="FC183" s="12" t="str">
        <v>iPhone 13/14</v>
      </c>
      <c r="FD183" s="23" t="str">
        <f>_xlfn.XLOOKUP(B:B,'[1]Price List'!$B:$B,'[1]Price List'!$A:$A)</f>
        <v>Speck</v>
      </c>
    </row>
    <row r="184" spans="1:160" s="9" customFormat="1" x14ac:dyDescent="0.2">
      <c r="A184" s="23" t="s">
        <v>599</v>
      </c>
      <c r="B184" s="23">
        <v>840168523016</v>
      </c>
      <c r="C184" s="9" t="s">
        <v>188</v>
      </c>
      <c r="D184" s="9" t="s">
        <v>644</v>
      </c>
      <c r="E184" s="9" t="s">
        <v>316</v>
      </c>
      <c r="F184" s="9" t="s">
        <v>315</v>
      </c>
      <c r="G184" s="9" t="s">
        <v>315</v>
      </c>
      <c r="H184" s="12" t="s">
        <v>189</v>
      </c>
      <c r="I184" s="12">
        <v>899</v>
      </c>
      <c r="J184" s="11">
        <v>348.75</v>
      </c>
      <c r="K184" s="62">
        <v>0</v>
      </c>
      <c r="L184" s="12">
        <v>0</v>
      </c>
      <c r="M184" s="13" t="s">
        <v>467</v>
      </c>
      <c r="N184" s="13" t="s">
        <v>656</v>
      </c>
      <c r="O184" s="27" t="s">
        <v>169</v>
      </c>
      <c r="P184" s="12">
        <v>9</v>
      </c>
      <c r="Q184" s="12">
        <v>4</v>
      </c>
      <c r="R184" s="12">
        <v>8</v>
      </c>
      <c r="S184" s="12">
        <v>5</v>
      </c>
      <c r="T184" s="12">
        <v>6</v>
      </c>
      <c r="U184" s="12">
        <v>2</v>
      </c>
      <c r="V184" s="12">
        <v>10</v>
      </c>
      <c r="W184" s="12">
        <v>18</v>
      </c>
      <c r="X184" s="12">
        <v>12</v>
      </c>
      <c r="Y184" s="12">
        <v>18</v>
      </c>
      <c r="Z184" s="12">
        <v>29</v>
      </c>
      <c r="AA184" s="12">
        <v>15</v>
      </c>
      <c r="AB184" s="12">
        <v>19</v>
      </c>
      <c r="AC184" s="12">
        <v>12</v>
      </c>
      <c r="AD184" s="12">
        <v>7</v>
      </c>
      <c r="AE184" s="12">
        <v>6</v>
      </c>
      <c r="AF184" s="12">
        <v>6</v>
      </c>
      <c r="AG184" s="12">
        <v>7</v>
      </c>
      <c r="AH184" s="12">
        <v>9</v>
      </c>
      <c r="AI184" s="12">
        <v>4</v>
      </c>
      <c r="AJ184" s="12">
        <v>4</v>
      </c>
      <c r="AK184" s="12">
        <v>5</v>
      </c>
      <c r="AL184" s="12">
        <v>7</v>
      </c>
      <c r="AM184" s="12">
        <v>3</v>
      </c>
      <c r="AN184" s="12">
        <v>3</v>
      </c>
      <c r="AO184" s="12">
        <v>2</v>
      </c>
      <c r="AP184" s="12">
        <v>1</v>
      </c>
      <c r="AQ184" s="12">
        <v>2</v>
      </c>
      <c r="AR184" s="12">
        <v>1</v>
      </c>
      <c r="AS184" s="12">
        <v>2</v>
      </c>
      <c r="AT184" s="12">
        <v>3</v>
      </c>
      <c r="AU184" s="12">
        <v>2</v>
      </c>
      <c r="AV184" s="12">
        <v>3</v>
      </c>
      <c r="AW184" s="12">
        <v>1</v>
      </c>
      <c r="AX184" s="12">
        <v>2</v>
      </c>
      <c r="AY184" s="12">
        <v>0</v>
      </c>
      <c r="AZ184" s="12">
        <v>3</v>
      </c>
      <c r="BA184" s="12">
        <v>2</v>
      </c>
      <c r="BB184" s="12">
        <v>1</v>
      </c>
      <c r="BC184" s="12">
        <v>0</v>
      </c>
      <c r="BD184" s="12">
        <v>0</v>
      </c>
      <c r="BE184" s="12">
        <v>0</v>
      </c>
      <c r="BF184" s="12">
        <v>0</v>
      </c>
      <c r="BG184" s="12">
        <v>0</v>
      </c>
      <c r="BH184" s="12">
        <v>0</v>
      </c>
      <c r="BI184" s="12">
        <v>0</v>
      </c>
      <c r="BJ184" s="12">
        <v>0</v>
      </c>
      <c r="BK184" s="12">
        <v>0</v>
      </c>
      <c r="BL184" s="12">
        <v>0</v>
      </c>
      <c r="BM184" s="12">
        <v>0</v>
      </c>
      <c r="BN184" s="12">
        <v>0</v>
      </c>
      <c r="BO184" s="12">
        <v>0</v>
      </c>
      <c r="BP184" s="12">
        <v>0</v>
      </c>
      <c r="BQ184" s="12">
        <v>0</v>
      </c>
      <c r="BR184" s="12">
        <v>0</v>
      </c>
      <c r="BS184" s="12">
        <v>0</v>
      </c>
      <c r="BT184" s="12">
        <v>0</v>
      </c>
      <c r="BU184" s="12">
        <v>0</v>
      </c>
      <c r="BV184" s="12">
        <v>0</v>
      </c>
      <c r="BW184" s="12">
        <v>0</v>
      </c>
      <c r="BX184" s="12">
        <v>0</v>
      </c>
      <c r="BY184" s="12">
        <v>0</v>
      </c>
      <c r="BZ184" s="12">
        <v>0</v>
      </c>
      <c r="CA184" s="12">
        <v>0</v>
      </c>
      <c r="CB184" s="12">
        <v>0</v>
      </c>
      <c r="CC184" s="12">
        <v>0</v>
      </c>
      <c r="CD184" s="12">
        <v>0</v>
      </c>
      <c r="CE184" s="12">
        <v>0</v>
      </c>
      <c r="CF184" s="12">
        <v>0</v>
      </c>
      <c r="CG184" s="12">
        <v>0</v>
      </c>
      <c r="CH184" s="12">
        <v>0</v>
      </c>
      <c r="CI184" s="12">
        <v>0</v>
      </c>
      <c r="CJ184" s="12">
        <v>0</v>
      </c>
      <c r="CK184" s="12">
        <v>0</v>
      </c>
      <c r="CL184" s="12">
        <v>0</v>
      </c>
      <c r="CM184" s="12">
        <v>0</v>
      </c>
      <c r="CN184" s="12">
        <v>0</v>
      </c>
      <c r="CO184" s="12">
        <v>0</v>
      </c>
      <c r="CP184" s="12">
        <v>0</v>
      </c>
      <c r="CQ184" s="12">
        <v>0</v>
      </c>
      <c r="CR184" s="12">
        <v>0</v>
      </c>
      <c r="CS184" s="12">
        <v>0</v>
      </c>
      <c r="CT184" s="12">
        <v>0</v>
      </c>
      <c r="CU184" s="12">
        <v>0</v>
      </c>
      <c r="CV184" s="12">
        <v>0</v>
      </c>
      <c r="CW184" s="12">
        <v>0</v>
      </c>
      <c r="CX184" s="12">
        <v>0</v>
      </c>
      <c r="CY184" s="12">
        <v>0</v>
      </c>
      <c r="CZ184" s="12">
        <v>0</v>
      </c>
      <c r="DA184" s="12">
        <v>0</v>
      </c>
      <c r="DB184" s="12">
        <v>0</v>
      </c>
      <c r="DC184" s="12">
        <v>0</v>
      </c>
      <c r="DD184" s="12">
        <v>0</v>
      </c>
      <c r="DE184" s="12">
        <v>0</v>
      </c>
      <c r="DF184" s="12">
        <v>0</v>
      </c>
      <c r="DG184" s="12">
        <v>0</v>
      </c>
      <c r="DH184" s="12">
        <v>0</v>
      </c>
      <c r="DI184" s="12">
        <v>0</v>
      </c>
      <c r="DJ184" s="12">
        <v>0</v>
      </c>
      <c r="DK184" s="12">
        <v>0</v>
      </c>
      <c r="DL184" s="12">
        <v>0</v>
      </c>
      <c r="DM184" s="12">
        <v>0</v>
      </c>
      <c r="DN184" s="12">
        <v>0</v>
      </c>
      <c r="DO184" s="12">
        <v>0</v>
      </c>
      <c r="DP184" s="12">
        <v>0</v>
      </c>
      <c r="DQ184" s="12">
        <v>0</v>
      </c>
      <c r="DR184" s="12">
        <v>0</v>
      </c>
      <c r="DS184" s="12">
        <v>0</v>
      </c>
      <c r="DT184" s="12">
        <v>0</v>
      </c>
      <c r="DU184" s="12">
        <v>0</v>
      </c>
      <c r="DV184" s="12">
        <v>0</v>
      </c>
      <c r="DW184" s="12">
        <v>0</v>
      </c>
      <c r="DX184" s="12">
        <v>0</v>
      </c>
      <c r="DY184" s="12">
        <v>0</v>
      </c>
      <c r="DZ184" s="12">
        <v>0</v>
      </c>
      <c r="EA184" s="12">
        <v>0</v>
      </c>
      <c r="EB184" s="12">
        <v>0</v>
      </c>
      <c r="EC184" s="12">
        <v>0</v>
      </c>
      <c r="ED184" s="12">
        <v>0</v>
      </c>
      <c r="EE184" s="12">
        <v>0</v>
      </c>
      <c r="EF184" s="12">
        <v>0</v>
      </c>
      <c r="EG184" s="12">
        <v>0</v>
      </c>
      <c r="EH184" s="12">
        <v>0</v>
      </c>
      <c r="EI184" s="12">
        <v>0</v>
      </c>
      <c r="EJ184" s="12">
        <v>0</v>
      </c>
      <c r="EK184" s="12">
        <v>0</v>
      </c>
      <c r="EL184" s="12">
        <v>0</v>
      </c>
      <c r="EM184" s="12">
        <v>0</v>
      </c>
      <c r="EN184" s="12">
        <v>0</v>
      </c>
      <c r="EO184" s="12">
        <v>0</v>
      </c>
      <c r="EP184" s="12" t="str">
        <f t="shared" si="41"/>
        <v>🔴 Sin venta</v>
      </c>
      <c r="EQ184" s="23">
        <f t="shared" si="35"/>
        <v>0</v>
      </c>
      <c r="ER184" s="19">
        <f t="shared" si="34"/>
        <v>0</v>
      </c>
      <c r="ES184" s="12">
        <f t="shared" si="33"/>
        <v>0</v>
      </c>
      <c r="ET184" s="23">
        <f t="shared" si="44"/>
        <v>0</v>
      </c>
      <c r="EU184" s="23">
        <f t="shared" si="45"/>
        <v>0</v>
      </c>
      <c r="EV184" s="23">
        <f t="shared" si="46"/>
        <v>0</v>
      </c>
      <c r="EW184" s="23"/>
      <c r="EX184" s="12">
        <v>0</v>
      </c>
      <c r="EY184" s="19" cm="1">
        <f t="array" ref="EY184:FC184">VLOOKUP(_xlfn.SINGLE(B:B),'[1]Price List'!$B:$N,{8,4,5,6,7},0)</f>
        <v>348.75</v>
      </c>
      <c r="EZ184" s="9" t="str">
        <v>Speck Presidio Perfect Clear Case for iPhone 14 Pro Max - Clear</v>
      </c>
      <c r="FA184" s="12" t="str">
        <v>Cases iPhone</v>
      </c>
      <c r="FB184" s="12" t="str">
        <v>iPhone 14</v>
      </c>
      <c r="FC184" s="12" t="str">
        <v>iPhone 14 Pro Max</v>
      </c>
      <c r="FD184" s="23" t="str">
        <f>_xlfn.XLOOKUP(B:B,'[1]Price List'!$B:$B,'[1]Price List'!$A:$A)</f>
        <v>Speck</v>
      </c>
    </row>
    <row r="185" spans="1:160" s="9" customFormat="1" x14ac:dyDescent="0.2">
      <c r="A185" s="23" t="s">
        <v>599</v>
      </c>
      <c r="B185" s="23">
        <v>840168524846</v>
      </c>
      <c r="C185" s="9" t="s">
        <v>216</v>
      </c>
      <c r="D185" s="9" t="s">
        <v>644</v>
      </c>
      <c r="E185" s="9" t="s">
        <v>316</v>
      </c>
      <c r="F185" s="9" t="s">
        <v>632</v>
      </c>
      <c r="G185" s="9" t="s">
        <v>314</v>
      </c>
      <c r="H185" s="12" t="s">
        <v>217</v>
      </c>
      <c r="I185" s="12">
        <v>899</v>
      </c>
      <c r="J185" s="11">
        <v>348.75</v>
      </c>
      <c r="K185" s="62">
        <v>0</v>
      </c>
      <c r="L185" s="12">
        <v>0</v>
      </c>
      <c r="M185" s="13" t="s">
        <v>467</v>
      </c>
      <c r="N185" s="13" t="s">
        <v>656</v>
      </c>
      <c r="O185" s="27" t="s">
        <v>169</v>
      </c>
      <c r="P185" s="12">
        <v>7</v>
      </c>
      <c r="Q185" s="12">
        <v>4</v>
      </c>
      <c r="R185" s="12">
        <v>11</v>
      </c>
      <c r="S185" s="12">
        <v>5</v>
      </c>
      <c r="T185" s="12">
        <v>4</v>
      </c>
      <c r="U185" s="12">
        <v>3</v>
      </c>
      <c r="V185" s="12">
        <v>6</v>
      </c>
      <c r="W185" s="12">
        <v>5</v>
      </c>
      <c r="X185" s="12">
        <v>4</v>
      </c>
      <c r="Y185" s="12">
        <v>4</v>
      </c>
      <c r="Z185" s="12">
        <v>3</v>
      </c>
      <c r="AA185" s="12">
        <v>9</v>
      </c>
      <c r="AB185" s="12">
        <v>2</v>
      </c>
      <c r="AC185" s="12">
        <v>4</v>
      </c>
      <c r="AD185" s="12">
        <v>2</v>
      </c>
      <c r="AE185" s="12">
        <v>4</v>
      </c>
      <c r="AF185" s="12">
        <v>5</v>
      </c>
      <c r="AG185" s="12">
        <v>2</v>
      </c>
      <c r="AH185" s="12">
        <v>3</v>
      </c>
      <c r="AI185" s="12">
        <v>3</v>
      </c>
      <c r="AJ185" s="12">
        <v>1</v>
      </c>
      <c r="AK185" s="12">
        <v>0</v>
      </c>
      <c r="AL185" s="12">
        <v>1</v>
      </c>
      <c r="AM185" s="12">
        <v>1</v>
      </c>
      <c r="AN185" s="12">
        <v>2</v>
      </c>
      <c r="AO185" s="12">
        <v>0</v>
      </c>
      <c r="AP185" s="12">
        <v>0</v>
      </c>
      <c r="AQ185" s="12">
        <v>0</v>
      </c>
      <c r="AR185" s="12">
        <v>2</v>
      </c>
      <c r="AS185" s="12">
        <v>1</v>
      </c>
      <c r="AT185" s="12">
        <v>0</v>
      </c>
      <c r="AU185" s="12">
        <v>0</v>
      </c>
      <c r="AV185" s="12">
        <v>0</v>
      </c>
      <c r="AW185" s="12">
        <v>2</v>
      </c>
      <c r="AX185" s="12">
        <v>3</v>
      </c>
      <c r="AY185" s="12">
        <v>0</v>
      </c>
      <c r="AZ185" s="12">
        <v>1</v>
      </c>
      <c r="BA185" s="12">
        <v>2</v>
      </c>
      <c r="BB185" s="12">
        <v>0</v>
      </c>
      <c r="BC185" s="12">
        <v>1</v>
      </c>
      <c r="BD185" s="12">
        <v>0</v>
      </c>
      <c r="BE185" s="12">
        <v>0</v>
      </c>
      <c r="BF185" s="12">
        <v>0</v>
      </c>
      <c r="BG185" s="12">
        <v>0</v>
      </c>
      <c r="BH185" s="12">
        <v>0</v>
      </c>
      <c r="BI185" s="12">
        <v>0</v>
      </c>
      <c r="BJ185" s="12">
        <v>0</v>
      </c>
      <c r="BK185" s="12">
        <v>0</v>
      </c>
      <c r="BL185" s="12">
        <v>0</v>
      </c>
      <c r="BM185" s="12">
        <v>0</v>
      </c>
      <c r="BN185" s="12">
        <v>0</v>
      </c>
      <c r="BO185" s="12">
        <v>0</v>
      </c>
      <c r="BP185" s="12">
        <v>0</v>
      </c>
      <c r="BQ185" s="12">
        <v>0</v>
      </c>
      <c r="BR185" s="12">
        <v>0</v>
      </c>
      <c r="BS185" s="12">
        <v>0</v>
      </c>
      <c r="BT185" s="12">
        <v>0</v>
      </c>
      <c r="BU185" s="12">
        <v>0</v>
      </c>
      <c r="BV185" s="12">
        <v>0</v>
      </c>
      <c r="BW185" s="12">
        <v>0</v>
      </c>
      <c r="BX185" s="12">
        <v>0</v>
      </c>
      <c r="BY185" s="12">
        <v>0</v>
      </c>
      <c r="BZ185" s="12">
        <v>0</v>
      </c>
      <c r="CA185" s="12">
        <v>0</v>
      </c>
      <c r="CB185" s="12">
        <v>0</v>
      </c>
      <c r="CC185" s="12">
        <v>0</v>
      </c>
      <c r="CD185" s="12">
        <v>0</v>
      </c>
      <c r="CE185" s="12">
        <v>0</v>
      </c>
      <c r="CF185" s="12">
        <v>0</v>
      </c>
      <c r="CG185" s="12">
        <v>0</v>
      </c>
      <c r="CH185" s="12">
        <v>0</v>
      </c>
      <c r="CI185" s="12">
        <v>0</v>
      </c>
      <c r="CJ185" s="12">
        <v>0</v>
      </c>
      <c r="CK185" s="12">
        <v>0</v>
      </c>
      <c r="CL185" s="12">
        <v>0</v>
      </c>
      <c r="CM185" s="12">
        <v>0</v>
      </c>
      <c r="CN185" s="12">
        <v>0</v>
      </c>
      <c r="CO185" s="12">
        <v>0</v>
      </c>
      <c r="CP185" s="12">
        <v>0</v>
      </c>
      <c r="CQ185" s="12">
        <v>0</v>
      </c>
      <c r="CR185" s="12">
        <v>0</v>
      </c>
      <c r="CS185" s="12">
        <v>0</v>
      </c>
      <c r="CT185" s="12">
        <v>0</v>
      </c>
      <c r="CU185" s="12">
        <v>0</v>
      </c>
      <c r="CV185" s="12">
        <v>0</v>
      </c>
      <c r="CW185" s="12">
        <v>0</v>
      </c>
      <c r="CX185" s="12">
        <v>0</v>
      </c>
      <c r="CY185" s="12">
        <v>0</v>
      </c>
      <c r="CZ185" s="12">
        <v>0</v>
      </c>
      <c r="DA185" s="12">
        <v>0</v>
      </c>
      <c r="DB185" s="12">
        <v>0</v>
      </c>
      <c r="DC185" s="12">
        <v>0</v>
      </c>
      <c r="DD185" s="12">
        <v>0</v>
      </c>
      <c r="DE185" s="12">
        <v>0</v>
      </c>
      <c r="DF185" s="12">
        <v>0</v>
      </c>
      <c r="DG185" s="12">
        <v>0</v>
      </c>
      <c r="DH185" s="12">
        <v>0</v>
      </c>
      <c r="DI185" s="12">
        <v>0</v>
      </c>
      <c r="DJ185" s="12">
        <v>0</v>
      </c>
      <c r="DK185" s="12">
        <v>0</v>
      </c>
      <c r="DL185" s="12">
        <v>0</v>
      </c>
      <c r="DM185" s="12">
        <v>0</v>
      </c>
      <c r="DN185" s="12">
        <v>0</v>
      </c>
      <c r="DO185" s="12">
        <v>0</v>
      </c>
      <c r="DP185" s="12">
        <v>0</v>
      </c>
      <c r="DQ185" s="12">
        <v>0</v>
      </c>
      <c r="DR185" s="12">
        <v>0</v>
      </c>
      <c r="DS185" s="12">
        <v>0</v>
      </c>
      <c r="DT185" s="12">
        <v>0</v>
      </c>
      <c r="DU185" s="12">
        <v>0</v>
      </c>
      <c r="DV185" s="12">
        <v>0</v>
      </c>
      <c r="DW185" s="12">
        <v>0</v>
      </c>
      <c r="DX185" s="12">
        <v>0</v>
      </c>
      <c r="DY185" s="12">
        <v>0</v>
      </c>
      <c r="DZ185" s="12">
        <v>0</v>
      </c>
      <c r="EA185" s="12">
        <v>0</v>
      </c>
      <c r="EB185" s="12">
        <v>0</v>
      </c>
      <c r="EC185" s="12">
        <v>0</v>
      </c>
      <c r="ED185" s="12">
        <v>0</v>
      </c>
      <c r="EE185" s="12">
        <v>0</v>
      </c>
      <c r="EF185" s="12">
        <v>0</v>
      </c>
      <c r="EG185" s="12">
        <v>0</v>
      </c>
      <c r="EH185" s="12">
        <v>0</v>
      </c>
      <c r="EI185" s="12">
        <v>0</v>
      </c>
      <c r="EJ185" s="12">
        <v>0</v>
      </c>
      <c r="EK185" s="12">
        <v>0</v>
      </c>
      <c r="EL185" s="12">
        <v>0</v>
      </c>
      <c r="EM185" s="12">
        <v>0</v>
      </c>
      <c r="EN185" s="12">
        <v>0</v>
      </c>
      <c r="EO185" s="12">
        <v>0</v>
      </c>
      <c r="EP185" s="12" t="str">
        <f t="shared" si="41"/>
        <v>🔴 Sin venta</v>
      </c>
      <c r="EQ185" s="23">
        <f t="shared" si="35"/>
        <v>0</v>
      </c>
      <c r="ER185" s="19">
        <f t="shared" si="34"/>
        <v>0</v>
      </c>
      <c r="ES185" s="12">
        <f t="shared" si="33"/>
        <v>0</v>
      </c>
      <c r="ET185" s="23">
        <f t="shared" si="44"/>
        <v>0</v>
      </c>
      <c r="EU185" s="23">
        <f t="shared" si="45"/>
        <v>0</v>
      </c>
      <c r="EV185" s="23">
        <f t="shared" si="46"/>
        <v>0</v>
      </c>
      <c r="EW185" s="23"/>
      <c r="EX185" s="12">
        <v>0</v>
      </c>
      <c r="EY185" s="19" cm="1">
        <f t="array" ref="EY185:FC185">VLOOKUP(_xlfn.SINGLE(B:B),'[1]Price List'!$B:$N,{8,4,5,6,7},0)</f>
        <v>348.75</v>
      </c>
      <c r="EZ185" s="9" t="str">
        <v>Speck Presidio2 Pro Case for iPhone 14 Pro - Charcoal/Cool Bronze</v>
      </c>
      <c r="FA185" s="12" t="str">
        <v>Cases iPhone</v>
      </c>
      <c r="FB185" s="12" t="str">
        <v>iPhone 14</v>
      </c>
      <c r="FC185" s="12" t="str">
        <v>iPhone 14 Pro</v>
      </c>
      <c r="FD185" s="23" t="str">
        <f>_xlfn.XLOOKUP(B:B,'[1]Price List'!$B:$B,'[1]Price List'!$A:$A)</f>
        <v>Speck</v>
      </c>
    </row>
    <row r="186" spans="1:160" s="9" customFormat="1" x14ac:dyDescent="0.2">
      <c r="A186" s="23" t="s">
        <v>599</v>
      </c>
      <c r="B186" s="23">
        <v>840168525263</v>
      </c>
      <c r="C186" s="9" t="s">
        <v>226</v>
      </c>
      <c r="D186" s="9" t="e">
        <v>#N/A</v>
      </c>
      <c r="E186" s="9" t="e">
        <v>#N/A</v>
      </c>
      <c r="F186" s="9" t="e">
        <v>#N/A</v>
      </c>
      <c r="G186" s="9" t="s">
        <v>689</v>
      </c>
      <c r="H186" s="12" t="s">
        <v>227</v>
      </c>
      <c r="I186" s="11">
        <v>1099</v>
      </c>
      <c r="J186" s="11">
        <v>426.34</v>
      </c>
      <c r="K186" s="62">
        <v>0</v>
      </c>
      <c r="L186" s="12">
        <v>0</v>
      </c>
      <c r="M186" s="13" t="s">
        <v>467</v>
      </c>
      <c r="N186" s="13" t="s">
        <v>656</v>
      </c>
      <c r="O186" s="27" t="s">
        <v>169</v>
      </c>
      <c r="P186" s="12">
        <v>2</v>
      </c>
      <c r="Q186" s="12">
        <v>4</v>
      </c>
      <c r="R186" s="12">
        <v>2</v>
      </c>
      <c r="S186" s="12">
        <v>4</v>
      </c>
      <c r="T186" s="12">
        <v>3</v>
      </c>
      <c r="U186" s="12">
        <v>4</v>
      </c>
      <c r="V186" s="12">
        <v>3</v>
      </c>
      <c r="W186" s="12">
        <v>4</v>
      </c>
      <c r="X186" s="12">
        <v>4</v>
      </c>
      <c r="Y186" s="12">
        <v>2</v>
      </c>
      <c r="Z186" s="12">
        <v>1</v>
      </c>
      <c r="AA186" s="12">
        <v>4</v>
      </c>
      <c r="AB186" s="12">
        <v>2</v>
      </c>
      <c r="AC186" s="12">
        <v>4</v>
      </c>
      <c r="AD186" s="12">
        <v>3</v>
      </c>
      <c r="AE186" s="12">
        <v>3</v>
      </c>
      <c r="AF186" s="12">
        <v>0</v>
      </c>
      <c r="AG186" s="12">
        <v>0</v>
      </c>
      <c r="AH186" s="12">
        <v>2</v>
      </c>
      <c r="AI186" s="12">
        <v>3</v>
      </c>
      <c r="AJ186" s="12">
        <v>0</v>
      </c>
      <c r="AK186" s="12">
        <v>0</v>
      </c>
      <c r="AL186" s="12">
        <v>1</v>
      </c>
      <c r="AM186" s="12">
        <v>3</v>
      </c>
      <c r="AN186" s="12">
        <v>1</v>
      </c>
      <c r="AO186" s="12">
        <v>1</v>
      </c>
      <c r="AP186" s="12">
        <v>0</v>
      </c>
      <c r="AQ186" s="12">
        <v>0</v>
      </c>
      <c r="AR186" s="12">
        <v>0</v>
      </c>
      <c r="AS186" s="12">
        <v>1</v>
      </c>
      <c r="AT186" s="12">
        <v>1</v>
      </c>
      <c r="AU186" s="12">
        <v>1</v>
      </c>
      <c r="AV186" s="12">
        <v>0</v>
      </c>
      <c r="AW186" s="12">
        <v>1</v>
      </c>
      <c r="AX186" s="12">
        <v>0</v>
      </c>
      <c r="AY186" s="12">
        <v>0</v>
      </c>
      <c r="AZ186" s="12">
        <v>1</v>
      </c>
      <c r="BA186" s="12">
        <v>2</v>
      </c>
      <c r="BB186" s="12">
        <v>2</v>
      </c>
      <c r="BC186" s="12">
        <v>2</v>
      </c>
      <c r="BD186" s="12">
        <v>1</v>
      </c>
      <c r="BE186" s="12">
        <v>0</v>
      </c>
      <c r="BF186" s="12">
        <v>2</v>
      </c>
      <c r="BG186" s="12">
        <v>0</v>
      </c>
      <c r="BH186" s="12">
        <v>0</v>
      </c>
      <c r="BI186" s="12">
        <v>0</v>
      </c>
      <c r="BJ186" s="12">
        <v>1</v>
      </c>
      <c r="BK186" s="12">
        <v>0</v>
      </c>
      <c r="BL186" s="12">
        <v>0</v>
      </c>
      <c r="BM186" s="12">
        <v>0</v>
      </c>
      <c r="BN186" s="12">
        <v>0</v>
      </c>
      <c r="BO186" s="12">
        <v>0</v>
      </c>
      <c r="BP186" s="12">
        <v>0</v>
      </c>
      <c r="BQ186" s="12">
        <v>0</v>
      </c>
      <c r="BR186" s="12">
        <v>0</v>
      </c>
      <c r="BS186" s="12">
        <v>0</v>
      </c>
      <c r="BT186" s="12">
        <v>0</v>
      </c>
      <c r="BU186" s="12">
        <v>0</v>
      </c>
      <c r="BV186" s="12">
        <v>0</v>
      </c>
      <c r="BW186" s="12">
        <v>0</v>
      </c>
      <c r="BX186" s="12">
        <v>0</v>
      </c>
      <c r="BY186" s="12">
        <v>0</v>
      </c>
      <c r="BZ186" s="12">
        <v>0</v>
      </c>
      <c r="CA186" s="12">
        <v>0</v>
      </c>
      <c r="CB186" s="12">
        <v>0</v>
      </c>
      <c r="CC186" s="12">
        <v>0</v>
      </c>
      <c r="CD186" s="12">
        <v>0</v>
      </c>
      <c r="CE186" s="12">
        <v>0</v>
      </c>
      <c r="CF186" s="12">
        <v>0</v>
      </c>
      <c r="CG186" s="12">
        <v>0</v>
      </c>
      <c r="CH186" s="12">
        <v>0</v>
      </c>
      <c r="CI186" s="12">
        <v>0</v>
      </c>
      <c r="CJ186" s="12">
        <v>0</v>
      </c>
      <c r="CK186" s="12">
        <v>0</v>
      </c>
      <c r="CL186" s="12">
        <v>0</v>
      </c>
      <c r="CM186" s="12">
        <v>0</v>
      </c>
      <c r="CN186" s="12">
        <v>0</v>
      </c>
      <c r="CO186" s="12">
        <v>0</v>
      </c>
      <c r="CP186" s="12">
        <v>0</v>
      </c>
      <c r="CQ186" s="12">
        <v>0</v>
      </c>
      <c r="CR186" s="12">
        <v>0</v>
      </c>
      <c r="CS186" s="12">
        <v>0</v>
      </c>
      <c r="CT186" s="12">
        <v>0</v>
      </c>
      <c r="CU186" s="12">
        <v>0</v>
      </c>
      <c r="CV186" s="12">
        <v>0</v>
      </c>
      <c r="CW186" s="12">
        <v>0</v>
      </c>
      <c r="CX186" s="12">
        <v>0</v>
      </c>
      <c r="CY186" s="12">
        <v>0</v>
      </c>
      <c r="CZ186" s="12">
        <v>0</v>
      </c>
      <c r="DA186" s="12">
        <v>0</v>
      </c>
      <c r="DB186" s="12">
        <v>0</v>
      </c>
      <c r="DC186" s="12">
        <v>0</v>
      </c>
      <c r="DD186" s="12">
        <v>0</v>
      </c>
      <c r="DE186" s="12">
        <v>0</v>
      </c>
      <c r="DF186" s="12">
        <v>0</v>
      </c>
      <c r="DG186" s="12">
        <v>0</v>
      </c>
      <c r="DH186" s="12">
        <v>0</v>
      </c>
      <c r="DI186" s="12">
        <v>0</v>
      </c>
      <c r="DJ186" s="12">
        <v>0</v>
      </c>
      <c r="DK186" s="12">
        <v>0</v>
      </c>
      <c r="DL186" s="12">
        <v>0</v>
      </c>
      <c r="DM186" s="12">
        <v>0</v>
      </c>
      <c r="DN186" s="12">
        <v>0</v>
      </c>
      <c r="DO186" s="12">
        <v>0</v>
      </c>
      <c r="DP186" s="12">
        <v>0</v>
      </c>
      <c r="DQ186" s="12">
        <v>0</v>
      </c>
      <c r="DR186" s="12">
        <v>0</v>
      </c>
      <c r="DS186" s="12">
        <v>0</v>
      </c>
      <c r="DT186" s="12">
        <v>0</v>
      </c>
      <c r="DU186" s="12">
        <v>0</v>
      </c>
      <c r="DV186" s="12">
        <v>0</v>
      </c>
      <c r="DW186" s="12">
        <v>0</v>
      </c>
      <c r="DX186" s="12">
        <v>0</v>
      </c>
      <c r="DY186" s="12">
        <v>0</v>
      </c>
      <c r="DZ186" s="12">
        <v>0</v>
      </c>
      <c r="EA186" s="12">
        <v>0</v>
      </c>
      <c r="EB186" s="12">
        <v>0</v>
      </c>
      <c r="EC186" s="12">
        <v>0</v>
      </c>
      <c r="ED186" s="12">
        <v>0</v>
      </c>
      <c r="EE186" s="12">
        <v>0</v>
      </c>
      <c r="EF186" s="12">
        <v>0</v>
      </c>
      <c r="EG186" s="12">
        <v>0</v>
      </c>
      <c r="EH186" s="12">
        <v>0</v>
      </c>
      <c r="EI186" s="12">
        <v>0</v>
      </c>
      <c r="EJ186" s="12">
        <v>0</v>
      </c>
      <c r="EK186" s="12">
        <v>0</v>
      </c>
      <c r="EL186" s="12">
        <v>0</v>
      </c>
      <c r="EM186" s="12">
        <v>0</v>
      </c>
      <c r="EN186" s="12">
        <v>0</v>
      </c>
      <c r="EO186" s="12">
        <v>0</v>
      </c>
      <c r="EP186" s="12" t="str">
        <f t="shared" si="41"/>
        <v>🔴 Sin venta</v>
      </c>
      <c r="EQ186" s="23">
        <f t="shared" si="35"/>
        <v>0</v>
      </c>
      <c r="ER186" s="19">
        <f t="shared" si="34"/>
        <v>0</v>
      </c>
      <c r="ES186" s="12">
        <f t="shared" si="33"/>
        <v>0</v>
      </c>
      <c r="ET186" s="23">
        <f t="shared" si="44"/>
        <v>0</v>
      </c>
      <c r="EU186" s="23">
        <f t="shared" si="45"/>
        <v>0</v>
      </c>
      <c r="EV186" s="23">
        <f t="shared" si="46"/>
        <v>0</v>
      </c>
      <c r="EW186" s="23"/>
      <c r="EX186" s="12">
        <v>0</v>
      </c>
      <c r="EY186" s="19" cm="1">
        <f t="array" ref="EY186:FC186">VLOOKUP(_xlfn.SINGLE(B:B),'[1]Price List'!$B:$N,{8,4,5,6,7},0)</f>
        <v>426.34</v>
      </c>
      <c r="EZ186" s="9" t="str">
        <v>Speck Presidio Perfect Clear Impact Geometry Case with MagSafe for iPhone 14 Pro -</v>
      </c>
      <c r="FA186" s="12" t="str">
        <v>Cases iPhone</v>
      </c>
      <c r="FB186" s="12" t="str">
        <v>iPhone 14</v>
      </c>
      <c r="FC186" s="12" t="str">
        <v xml:space="preserve">iPhone 14 Pro </v>
      </c>
      <c r="FD186" s="23" t="str">
        <f>_xlfn.XLOOKUP(B:B,'[1]Price List'!$B:$B,'[1]Price List'!$A:$A)</f>
        <v>Speck</v>
      </c>
    </row>
    <row r="187" spans="1:160" s="9" customFormat="1" x14ac:dyDescent="0.2">
      <c r="A187" s="23" t="s">
        <v>599</v>
      </c>
      <c r="B187" s="23">
        <v>848709086174</v>
      </c>
      <c r="C187" s="9" t="s">
        <v>62</v>
      </c>
      <c r="D187" s="9" t="e">
        <v>#N/A</v>
      </c>
      <c r="E187" s="9" t="e">
        <v>#N/A</v>
      </c>
      <c r="F187" s="9" t="e">
        <v>#N/A</v>
      </c>
      <c r="G187" s="9" t="s">
        <v>309</v>
      </c>
      <c r="H187" s="12" t="s">
        <v>63</v>
      </c>
      <c r="I187" s="12">
        <v>999</v>
      </c>
      <c r="J187" s="11">
        <v>516.72</v>
      </c>
      <c r="K187" s="62">
        <v>0</v>
      </c>
      <c r="L187" s="12">
        <v>0</v>
      </c>
      <c r="M187" s="13" t="s">
        <v>467</v>
      </c>
      <c r="N187" s="13" t="s">
        <v>656</v>
      </c>
      <c r="O187" s="27">
        <v>44289</v>
      </c>
      <c r="P187" s="12">
        <v>2</v>
      </c>
      <c r="Q187" s="12">
        <v>4</v>
      </c>
      <c r="R187" s="12">
        <v>1</v>
      </c>
      <c r="S187" s="12">
        <v>2</v>
      </c>
      <c r="T187" s="12">
        <v>0</v>
      </c>
      <c r="U187" s="12">
        <v>2</v>
      </c>
      <c r="V187" s="12">
        <v>3</v>
      </c>
      <c r="W187" s="12">
        <v>2</v>
      </c>
      <c r="X187" s="12">
        <v>3</v>
      </c>
      <c r="Y187" s="12">
        <v>1</v>
      </c>
      <c r="Z187" s="12">
        <v>2</v>
      </c>
      <c r="AA187" s="12">
        <v>3</v>
      </c>
      <c r="AB187" s="12">
        <v>2</v>
      </c>
      <c r="AC187" s="12">
        <v>3</v>
      </c>
      <c r="AD187" s="12">
        <v>1</v>
      </c>
      <c r="AE187" s="12">
        <v>0</v>
      </c>
      <c r="AF187" s="12">
        <v>1</v>
      </c>
      <c r="AG187" s="12">
        <v>2</v>
      </c>
      <c r="AH187" s="12">
        <v>2</v>
      </c>
      <c r="AI187" s="12">
        <v>3</v>
      </c>
      <c r="AJ187" s="12">
        <v>2</v>
      </c>
      <c r="AK187" s="12">
        <v>1</v>
      </c>
      <c r="AL187" s="12">
        <v>0</v>
      </c>
      <c r="AM187" s="12">
        <v>0</v>
      </c>
      <c r="AN187" s="12">
        <v>2</v>
      </c>
      <c r="AO187" s="12">
        <v>0</v>
      </c>
      <c r="AP187" s="12">
        <v>1</v>
      </c>
      <c r="AQ187" s="12">
        <v>0</v>
      </c>
      <c r="AR187" s="12">
        <v>0</v>
      </c>
      <c r="AS187" s="12">
        <v>1</v>
      </c>
      <c r="AT187" s="12">
        <v>0</v>
      </c>
      <c r="AU187" s="12">
        <v>0</v>
      </c>
      <c r="AV187" s="12">
        <v>0</v>
      </c>
      <c r="AW187" s="12">
        <v>0</v>
      </c>
      <c r="AX187" s="12">
        <v>2</v>
      </c>
      <c r="AY187" s="12">
        <v>0</v>
      </c>
      <c r="AZ187" s="12">
        <v>0</v>
      </c>
      <c r="BA187" s="12">
        <v>0</v>
      </c>
      <c r="BB187" s="12">
        <v>2</v>
      </c>
      <c r="BC187" s="12">
        <v>0</v>
      </c>
      <c r="BD187" s="12">
        <v>0</v>
      </c>
      <c r="BE187" s="12">
        <v>0</v>
      </c>
      <c r="BF187" s="12">
        <v>0</v>
      </c>
      <c r="BG187" s="12">
        <v>0</v>
      </c>
      <c r="BH187" s="12">
        <v>0</v>
      </c>
      <c r="BI187" s="12">
        <v>0</v>
      </c>
      <c r="BJ187" s="12">
        <v>0</v>
      </c>
      <c r="BK187" s="12">
        <v>0</v>
      </c>
      <c r="BL187" s="12">
        <v>0</v>
      </c>
      <c r="BM187" s="12">
        <v>0</v>
      </c>
      <c r="BN187" s="12">
        <v>1</v>
      </c>
      <c r="BO187" s="12">
        <v>0</v>
      </c>
      <c r="BP187" s="12">
        <v>0</v>
      </c>
      <c r="BQ187" s="12">
        <v>0</v>
      </c>
      <c r="BR187" s="12">
        <v>0</v>
      </c>
      <c r="BS187" s="12">
        <v>0</v>
      </c>
      <c r="BT187" s="12">
        <v>0</v>
      </c>
      <c r="BU187" s="12">
        <v>0</v>
      </c>
      <c r="BV187" s="12">
        <v>0</v>
      </c>
      <c r="BW187" s="12">
        <v>0</v>
      </c>
      <c r="BX187" s="12">
        <v>0</v>
      </c>
      <c r="BY187" s="12">
        <v>0</v>
      </c>
      <c r="BZ187" s="12">
        <v>0</v>
      </c>
      <c r="CA187" s="12">
        <v>0</v>
      </c>
      <c r="CB187" s="12">
        <v>0</v>
      </c>
      <c r="CC187" s="12">
        <v>0</v>
      </c>
      <c r="CD187" s="12">
        <v>0</v>
      </c>
      <c r="CE187" s="12">
        <v>0</v>
      </c>
      <c r="CF187" s="12">
        <v>0</v>
      </c>
      <c r="CG187" s="12">
        <v>0</v>
      </c>
      <c r="CH187" s="12">
        <v>0</v>
      </c>
      <c r="CI187" s="12">
        <v>0</v>
      </c>
      <c r="CJ187" s="12">
        <v>0</v>
      </c>
      <c r="CK187" s="12">
        <v>0</v>
      </c>
      <c r="CL187" s="12">
        <v>0</v>
      </c>
      <c r="CM187" s="12">
        <v>0</v>
      </c>
      <c r="CN187" s="12">
        <v>0</v>
      </c>
      <c r="CO187" s="12">
        <v>0</v>
      </c>
      <c r="CP187" s="12">
        <v>0</v>
      </c>
      <c r="CQ187" s="12">
        <v>0</v>
      </c>
      <c r="CR187" s="12">
        <v>0</v>
      </c>
      <c r="CS187" s="12">
        <v>0</v>
      </c>
      <c r="CT187" s="12">
        <v>0</v>
      </c>
      <c r="CU187" s="12">
        <v>0</v>
      </c>
      <c r="CV187" s="12">
        <v>0</v>
      </c>
      <c r="CW187" s="12">
        <v>0</v>
      </c>
      <c r="CX187" s="12">
        <v>0</v>
      </c>
      <c r="CY187" s="12">
        <v>0</v>
      </c>
      <c r="CZ187" s="12">
        <v>0</v>
      </c>
      <c r="DA187" s="12">
        <v>0</v>
      </c>
      <c r="DB187" s="12">
        <v>0</v>
      </c>
      <c r="DC187" s="12">
        <v>0</v>
      </c>
      <c r="DD187" s="12">
        <v>0</v>
      </c>
      <c r="DE187" s="12">
        <v>0</v>
      </c>
      <c r="DF187" s="12">
        <v>0</v>
      </c>
      <c r="DG187" s="12">
        <v>0</v>
      </c>
      <c r="DH187" s="12">
        <v>0</v>
      </c>
      <c r="DI187" s="12">
        <v>0</v>
      </c>
      <c r="DJ187" s="12">
        <v>0</v>
      </c>
      <c r="DK187" s="12">
        <v>0</v>
      </c>
      <c r="DL187" s="12">
        <v>0</v>
      </c>
      <c r="DM187" s="12">
        <v>0</v>
      </c>
      <c r="DN187" s="12">
        <v>0</v>
      </c>
      <c r="DO187" s="12">
        <v>0</v>
      </c>
      <c r="DP187" s="12">
        <v>0</v>
      </c>
      <c r="DQ187" s="12">
        <v>0</v>
      </c>
      <c r="DR187" s="12">
        <v>0</v>
      </c>
      <c r="DS187" s="12">
        <v>0</v>
      </c>
      <c r="DT187" s="12">
        <v>0</v>
      </c>
      <c r="DU187" s="12">
        <v>0</v>
      </c>
      <c r="DV187" s="12">
        <v>0</v>
      </c>
      <c r="DW187" s="12">
        <v>0</v>
      </c>
      <c r="DX187" s="12">
        <v>0</v>
      </c>
      <c r="DY187" s="12">
        <v>0</v>
      </c>
      <c r="DZ187" s="12">
        <v>0</v>
      </c>
      <c r="EA187" s="12">
        <v>0</v>
      </c>
      <c r="EB187" s="12">
        <v>0</v>
      </c>
      <c r="EC187" s="12">
        <v>0</v>
      </c>
      <c r="ED187" s="12">
        <v>0</v>
      </c>
      <c r="EE187" s="12">
        <v>0</v>
      </c>
      <c r="EF187" s="12">
        <v>0</v>
      </c>
      <c r="EG187" s="12">
        <v>0</v>
      </c>
      <c r="EH187" s="12">
        <v>0</v>
      </c>
      <c r="EI187" s="12">
        <v>0</v>
      </c>
      <c r="EJ187" s="12">
        <v>0</v>
      </c>
      <c r="EK187" s="12">
        <v>0</v>
      </c>
      <c r="EL187" s="12">
        <v>0</v>
      </c>
      <c r="EM187" s="12">
        <v>0</v>
      </c>
      <c r="EN187" s="12">
        <v>0</v>
      </c>
      <c r="EO187" s="12">
        <v>0</v>
      </c>
      <c r="EP187" s="12" t="str">
        <f t="shared" si="41"/>
        <v>🔴 Sin venta</v>
      </c>
      <c r="EQ187" s="23">
        <f t="shared" si="35"/>
        <v>0</v>
      </c>
      <c r="ER187" s="19">
        <f t="shared" si="34"/>
        <v>0</v>
      </c>
      <c r="ES187" s="12">
        <f t="shared" si="33"/>
        <v>0</v>
      </c>
      <c r="ET187" s="23">
        <f t="shared" si="44"/>
        <v>0</v>
      </c>
      <c r="EU187" s="23">
        <f t="shared" si="45"/>
        <v>0</v>
      </c>
      <c r="EV187" s="23">
        <f t="shared" si="46"/>
        <v>0</v>
      </c>
      <c r="EW187" s="23"/>
      <c r="EX187" s="12">
        <v>0</v>
      </c>
      <c r="EY187" s="19" cm="1">
        <f t="array" ref="EY187:FC187">VLOOKUP(_xlfn.SINGLE(B:B),'[1]Price List'!$B:$N,{8,4,5,6,7},0)</f>
        <v>516.72</v>
      </c>
      <c r="EZ187" s="9" t="str">
        <v>Speck Presidio Perfect Clear Case for Iphone 11- Clear</v>
      </c>
      <c r="FA187" s="12" t="str">
        <v>Cases iPhone</v>
      </c>
      <c r="FB187" s="12" t="str">
        <v>iPhone 11</v>
      </c>
      <c r="FC187" s="12" t="str">
        <v>iPhone 11</v>
      </c>
      <c r="FD187" s="23" t="str">
        <f>_xlfn.XLOOKUP(B:B,'[1]Price List'!$B:$B,'[1]Price List'!$A:$A)</f>
        <v>Speck</v>
      </c>
    </row>
    <row r="188" spans="1:160" s="9" customFormat="1" x14ac:dyDescent="0.2">
      <c r="A188" s="23" t="s">
        <v>599</v>
      </c>
      <c r="B188" s="23">
        <v>840168523238</v>
      </c>
      <c r="C188" s="9" t="s">
        <v>192</v>
      </c>
      <c r="D188" s="9" t="e">
        <v>#N/A</v>
      </c>
      <c r="E188" s="9" t="e">
        <v>#N/A</v>
      </c>
      <c r="F188" s="9" t="e">
        <v>#N/A</v>
      </c>
      <c r="G188" s="9" t="s">
        <v>315</v>
      </c>
      <c r="H188" s="12" t="s">
        <v>193</v>
      </c>
      <c r="I188" s="11">
        <v>1099</v>
      </c>
      <c r="J188" s="11">
        <v>426.34</v>
      </c>
      <c r="K188" s="62">
        <v>0</v>
      </c>
      <c r="L188" s="12">
        <v>0</v>
      </c>
      <c r="M188" s="13" t="s">
        <v>467</v>
      </c>
      <c r="N188" s="13" t="s">
        <v>656</v>
      </c>
      <c r="O188" s="27" t="s">
        <v>169</v>
      </c>
      <c r="P188" s="12">
        <v>11</v>
      </c>
      <c r="Q188" s="12">
        <v>3</v>
      </c>
      <c r="R188" s="12">
        <v>3</v>
      </c>
      <c r="S188" s="12">
        <v>6</v>
      </c>
      <c r="T188" s="12">
        <v>1</v>
      </c>
      <c r="U188" s="12">
        <v>7</v>
      </c>
      <c r="V188" s="12">
        <v>13</v>
      </c>
      <c r="W188" s="12">
        <v>8</v>
      </c>
      <c r="X188" s="12">
        <v>6</v>
      </c>
      <c r="Y188" s="12">
        <v>6</v>
      </c>
      <c r="Z188" s="12">
        <v>4</v>
      </c>
      <c r="AA188" s="12">
        <v>5</v>
      </c>
      <c r="AB188" s="12">
        <v>6</v>
      </c>
      <c r="AC188" s="12">
        <v>3</v>
      </c>
      <c r="AD188" s="12">
        <v>3</v>
      </c>
      <c r="AE188" s="12">
        <v>1</v>
      </c>
      <c r="AF188" s="12">
        <v>0</v>
      </c>
      <c r="AG188" s="12">
        <v>0</v>
      </c>
      <c r="AH188" s="12">
        <v>4</v>
      </c>
      <c r="AI188" s="12">
        <v>1</v>
      </c>
      <c r="AJ188" s="12">
        <v>2</v>
      </c>
      <c r="AK188" s="12">
        <v>0</v>
      </c>
      <c r="AL188" s="12">
        <v>0</v>
      </c>
      <c r="AM188" s="12">
        <v>1</v>
      </c>
      <c r="AN188" s="12">
        <v>1</v>
      </c>
      <c r="AO188" s="12">
        <v>3</v>
      </c>
      <c r="AP188" s="12">
        <v>1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2">
        <v>0</v>
      </c>
      <c r="AW188" s="12">
        <v>1</v>
      </c>
      <c r="AX188" s="12">
        <v>0</v>
      </c>
      <c r="AY188" s="12">
        <v>0</v>
      </c>
      <c r="AZ188" s="12">
        <v>1</v>
      </c>
      <c r="BA188" s="12">
        <v>0</v>
      </c>
      <c r="BB188" s="12">
        <v>0</v>
      </c>
      <c r="BC188" s="12">
        <v>0</v>
      </c>
      <c r="BD188" s="12">
        <v>0</v>
      </c>
      <c r="BE188" s="12">
        <v>0</v>
      </c>
      <c r="BF188" s="12">
        <v>0</v>
      </c>
      <c r="BG188" s="12">
        <v>0</v>
      </c>
      <c r="BH188" s="12">
        <v>0</v>
      </c>
      <c r="BI188" s="12">
        <v>0</v>
      </c>
      <c r="BJ188" s="12">
        <v>0</v>
      </c>
      <c r="BK188" s="12">
        <v>0</v>
      </c>
      <c r="BL188" s="12">
        <v>0</v>
      </c>
      <c r="BM188" s="12">
        <v>0</v>
      </c>
      <c r="BN188" s="12">
        <v>0</v>
      </c>
      <c r="BO188" s="12">
        <v>0</v>
      </c>
      <c r="BP188" s="12">
        <v>0</v>
      </c>
      <c r="BQ188" s="12">
        <v>0</v>
      </c>
      <c r="BR188" s="12">
        <v>0</v>
      </c>
      <c r="BS188" s="12">
        <v>0</v>
      </c>
      <c r="BT188" s="12">
        <v>0</v>
      </c>
      <c r="BU188" s="12">
        <v>0</v>
      </c>
      <c r="BV188" s="12">
        <v>0</v>
      </c>
      <c r="BW188" s="12">
        <v>0</v>
      </c>
      <c r="BX188" s="12">
        <v>0</v>
      </c>
      <c r="BY188" s="12">
        <v>0</v>
      </c>
      <c r="BZ188" s="12">
        <v>0</v>
      </c>
      <c r="CA188" s="12">
        <v>0</v>
      </c>
      <c r="CB188" s="12">
        <v>0</v>
      </c>
      <c r="CC188" s="12">
        <v>0</v>
      </c>
      <c r="CD188" s="12">
        <v>0</v>
      </c>
      <c r="CE188" s="12">
        <v>0</v>
      </c>
      <c r="CF188" s="12">
        <v>0</v>
      </c>
      <c r="CG188" s="12">
        <v>0</v>
      </c>
      <c r="CH188" s="12">
        <v>0</v>
      </c>
      <c r="CI188" s="12">
        <v>0</v>
      </c>
      <c r="CJ188" s="12">
        <v>0</v>
      </c>
      <c r="CK188" s="12">
        <v>0</v>
      </c>
      <c r="CL188" s="12">
        <v>0</v>
      </c>
      <c r="CM188" s="12">
        <v>0</v>
      </c>
      <c r="CN188" s="12">
        <v>0</v>
      </c>
      <c r="CO188" s="12">
        <v>0</v>
      </c>
      <c r="CP188" s="12">
        <v>0</v>
      </c>
      <c r="CQ188" s="12">
        <v>0</v>
      </c>
      <c r="CR188" s="12">
        <v>0</v>
      </c>
      <c r="CS188" s="12">
        <v>0</v>
      </c>
      <c r="CT188" s="12">
        <v>0</v>
      </c>
      <c r="CU188" s="12">
        <v>0</v>
      </c>
      <c r="CV188" s="12">
        <v>0</v>
      </c>
      <c r="CW188" s="12">
        <v>0</v>
      </c>
      <c r="CX188" s="12">
        <v>0</v>
      </c>
      <c r="CY188" s="12">
        <v>0</v>
      </c>
      <c r="CZ188" s="12">
        <v>0</v>
      </c>
      <c r="DA188" s="12">
        <v>0</v>
      </c>
      <c r="DB188" s="12">
        <v>0</v>
      </c>
      <c r="DC188" s="12">
        <v>0</v>
      </c>
      <c r="DD188" s="12">
        <v>0</v>
      </c>
      <c r="DE188" s="12">
        <v>0</v>
      </c>
      <c r="DF188" s="12">
        <v>0</v>
      </c>
      <c r="DG188" s="12">
        <v>0</v>
      </c>
      <c r="DH188" s="12">
        <v>0</v>
      </c>
      <c r="DI188" s="12">
        <v>0</v>
      </c>
      <c r="DJ188" s="12">
        <v>0</v>
      </c>
      <c r="DK188" s="12">
        <v>0</v>
      </c>
      <c r="DL188" s="12">
        <v>0</v>
      </c>
      <c r="DM188" s="12">
        <v>0</v>
      </c>
      <c r="DN188" s="12">
        <v>0</v>
      </c>
      <c r="DO188" s="12">
        <v>0</v>
      </c>
      <c r="DP188" s="12">
        <v>0</v>
      </c>
      <c r="DQ188" s="12">
        <v>0</v>
      </c>
      <c r="DR188" s="12">
        <v>0</v>
      </c>
      <c r="DS188" s="12">
        <v>0</v>
      </c>
      <c r="DT188" s="12">
        <v>0</v>
      </c>
      <c r="DU188" s="12">
        <v>0</v>
      </c>
      <c r="DV188" s="12">
        <v>0</v>
      </c>
      <c r="DW188" s="12">
        <v>0</v>
      </c>
      <c r="DX188" s="12">
        <v>0</v>
      </c>
      <c r="DY188" s="12">
        <v>0</v>
      </c>
      <c r="DZ188" s="12">
        <v>0</v>
      </c>
      <c r="EA188" s="12">
        <v>0</v>
      </c>
      <c r="EB188" s="12">
        <v>0</v>
      </c>
      <c r="EC188" s="12">
        <v>0</v>
      </c>
      <c r="ED188" s="12">
        <v>0</v>
      </c>
      <c r="EE188" s="12">
        <v>0</v>
      </c>
      <c r="EF188" s="12">
        <v>0</v>
      </c>
      <c r="EG188" s="12">
        <v>0</v>
      </c>
      <c r="EH188" s="12">
        <v>0</v>
      </c>
      <c r="EI188" s="12">
        <v>0</v>
      </c>
      <c r="EJ188" s="12">
        <v>0</v>
      </c>
      <c r="EK188" s="12">
        <v>0</v>
      </c>
      <c r="EL188" s="12">
        <v>0</v>
      </c>
      <c r="EM188" s="12">
        <v>0</v>
      </c>
      <c r="EN188" s="12">
        <v>0</v>
      </c>
      <c r="EO188" s="12">
        <v>0</v>
      </c>
      <c r="EP188" s="12" t="str">
        <f t="shared" si="41"/>
        <v>🔴 Sin venta</v>
      </c>
      <c r="EQ188" s="23">
        <f t="shared" si="35"/>
        <v>0</v>
      </c>
      <c r="ER188" s="19">
        <f t="shared" si="34"/>
        <v>0</v>
      </c>
      <c r="ES188" s="12">
        <f t="shared" si="33"/>
        <v>0</v>
      </c>
      <c r="ET188" s="23">
        <f t="shared" si="44"/>
        <v>0</v>
      </c>
      <c r="EU188" s="23">
        <f t="shared" si="45"/>
        <v>0</v>
      </c>
      <c r="EV188" s="23">
        <f t="shared" si="46"/>
        <v>0</v>
      </c>
      <c r="EW188" s="23"/>
      <c r="EX188" s="12">
        <v>0</v>
      </c>
      <c r="EY188" s="19" cm="1">
        <f t="array" ref="EY188:FC188">VLOOKUP(_xlfn.SINGLE(B:B),'[1]Price List'!$B:$N,{8,4,5,6,7},0)</f>
        <v>426.34</v>
      </c>
      <c r="EZ188" s="9" t="str">
        <v>Speck Presidio Perfect Clear Impact Geometry Case with MagSafe for iPhone 14 Pro M</v>
      </c>
      <c r="FA188" s="12" t="str">
        <v>Cases iPhone</v>
      </c>
      <c r="FB188" s="12" t="str">
        <v>iPhone 14</v>
      </c>
      <c r="FC188" s="12" t="str">
        <v>iPhone 14 Pro Max</v>
      </c>
      <c r="FD188" s="23" t="str">
        <f>_xlfn.XLOOKUP(B:B,'[1]Price List'!$B:$B,'[1]Price List'!$A:$A)</f>
        <v>Speck</v>
      </c>
    </row>
    <row r="189" spans="1:160" s="9" customFormat="1" x14ac:dyDescent="0.2">
      <c r="A189" s="23" t="s">
        <v>599</v>
      </c>
      <c r="B189" s="23">
        <v>840168522002</v>
      </c>
      <c r="C189" s="9" t="s">
        <v>172</v>
      </c>
      <c r="D189" s="9" t="s">
        <v>644</v>
      </c>
      <c r="E189" s="9" t="s">
        <v>316</v>
      </c>
      <c r="F189" s="9" t="s">
        <v>316</v>
      </c>
      <c r="G189" s="9" t="s">
        <v>316</v>
      </c>
      <c r="H189" s="12" t="s">
        <v>173</v>
      </c>
      <c r="I189" s="12">
        <v>899</v>
      </c>
      <c r="J189" s="11">
        <v>348.75</v>
      </c>
      <c r="K189" s="62">
        <v>0</v>
      </c>
      <c r="L189" s="12">
        <v>0</v>
      </c>
      <c r="M189" s="13" t="s">
        <v>467</v>
      </c>
      <c r="N189" s="13" t="s">
        <v>656</v>
      </c>
      <c r="O189" s="27" t="s">
        <v>169</v>
      </c>
      <c r="P189" s="12">
        <v>10</v>
      </c>
      <c r="Q189" s="12">
        <v>3</v>
      </c>
      <c r="R189" s="12">
        <v>11</v>
      </c>
      <c r="S189" s="12">
        <v>13</v>
      </c>
      <c r="T189" s="12">
        <v>8</v>
      </c>
      <c r="U189" s="12">
        <v>6</v>
      </c>
      <c r="V189" s="12">
        <v>43</v>
      </c>
      <c r="W189" s="12">
        <v>28</v>
      </c>
      <c r="X189" s="12">
        <v>19</v>
      </c>
      <c r="Y189" s="12">
        <v>8</v>
      </c>
      <c r="Z189" s="12">
        <v>13</v>
      </c>
      <c r="AA189" s="12">
        <v>13</v>
      </c>
      <c r="AB189" s="12">
        <v>13</v>
      </c>
      <c r="AC189" s="12">
        <v>7</v>
      </c>
      <c r="AD189" s="12">
        <v>4</v>
      </c>
      <c r="AE189" s="12">
        <v>0</v>
      </c>
      <c r="AF189" s="12">
        <v>5</v>
      </c>
      <c r="AG189" s="12">
        <v>3</v>
      </c>
      <c r="AH189" s="12">
        <v>2</v>
      </c>
      <c r="AI189" s="12">
        <v>2</v>
      </c>
      <c r="AJ189" s="12">
        <v>0</v>
      </c>
      <c r="AK189" s="12">
        <v>4</v>
      </c>
      <c r="AL189" s="12">
        <v>1</v>
      </c>
      <c r="AM189" s="12">
        <v>1</v>
      </c>
      <c r="AN189" s="12">
        <v>0</v>
      </c>
      <c r="AO189" s="12">
        <v>3</v>
      </c>
      <c r="AP189" s="12">
        <v>1</v>
      </c>
      <c r="AQ189" s="12">
        <v>2</v>
      </c>
      <c r="AR189" s="12">
        <v>2</v>
      </c>
      <c r="AS189" s="12">
        <v>2</v>
      </c>
      <c r="AT189" s="12">
        <v>0</v>
      </c>
      <c r="AU189" s="12">
        <v>0</v>
      </c>
      <c r="AV189" s="12">
        <v>1</v>
      </c>
      <c r="AW189" s="12">
        <v>0</v>
      </c>
      <c r="AX189" s="12">
        <v>0</v>
      </c>
      <c r="AY189" s="12">
        <v>2</v>
      </c>
      <c r="AZ189" s="12">
        <v>2</v>
      </c>
      <c r="BA189" s="12">
        <v>2</v>
      </c>
      <c r="BB189" s="12">
        <v>2</v>
      </c>
      <c r="BC189" s="12">
        <v>1</v>
      </c>
      <c r="BD189" s="12">
        <v>0</v>
      </c>
      <c r="BE189" s="12">
        <v>0</v>
      </c>
      <c r="BF189" s="12">
        <v>2</v>
      </c>
      <c r="BG189" s="12">
        <v>0</v>
      </c>
      <c r="BH189" s="12">
        <v>1</v>
      </c>
      <c r="BI189" s="12">
        <v>0</v>
      </c>
      <c r="BJ189" s="12">
        <v>0</v>
      </c>
      <c r="BK189" s="12">
        <v>4</v>
      </c>
      <c r="BL189" s="12">
        <v>0</v>
      </c>
      <c r="BM189" s="12">
        <v>0</v>
      </c>
      <c r="BN189" s="12">
        <v>1</v>
      </c>
      <c r="BO189" s="12">
        <v>1</v>
      </c>
      <c r="BP189" s="12">
        <v>0</v>
      </c>
      <c r="BQ189" s="12">
        <v>0</v>
      </c>
      <c r="BR189" s="12">
        <v>0</v>
      </c>
      <c r="BS189" s="12">
        <v>1</v>
      </c>
      <c r="BT189" s="12">
        <v>0</v>
      </c>
      <c r="BU189" s="12">
        <v>1</v>
      </c>
      <c r="BV189" s="12">
        <v>0</v>
      </c>
      <c r="BW189" s="12">
        <v>0</v>
      </c>
      <c r="BX189" s="12">
        <v>0</v>
      </c>
      <c r="BY189" s="12">
        <v>0</v>
      </c>
      <c r="BZ189" s="12">
        <v>1</v>
      </c>
      <c r="CA189" s="12">
        <v>0</v>
      </c>
      <c r="CB189" s="12">
        <v>0</v>
      </c>
      <c r="CC189" s="12">
        <v>0</v>
      </c>
      <c r="CD189" s="12">
        <v>0</v>
      </c>
      <c r="CE189" s="12">
        <v>0</v>
      </c>
      <c r="CF189" s="12">
        <v>0</v>
      </c>
      <c r="CG189" s="12">
        <v>2</v>
      </c>
      <c r="CH189" s="12">
        <v>1</v>
      </c>
      <c r="CI189" s="12">
        <v>0</v>
      </c>
      <c r="CJ189" s="12">
        <v>0</v>
      </c>
      <c r="CK189" s="12">
        <v>0</v>
      </c>
      <c r="CL189" s="12">
        <v>0</v>
      </c>
      <c r="CM189" s="12">
        <v>0</v>
      </c>
      <c r="CN189" s="12">
        <v>0</v>
      </c>
      <c r="CO189" s="12">
        <v>0</v>
      </c>
      <c r="CP189" s="12">
        <v>0</v>
      </c>
      <c r="CQ189" s="12">
        <v>0</v>
      </c>
      <c r="CR189" s="12">
        <v>0</v>
      </c>
      <c r="CS189" s="12">
        <v>0</v>
      </c>
      <c r="CT189" s="12">
        <v>0</v>
      </c>
      <c r="CU189" s="12">
        <v>0</v>
      </c>
      <c r="CV189" s="12">
        <v>0</v>
      </c>
      <c r="CW189" s="12">
        <v>0</v>
      </c>
      <c r="CX189" s="12">
        <v>0</v>
      </c>
      <c r="CY189" s="12">
        <v>0</v>
      </c>
      <c r="CZ189" s="12">
        <v>0</v>
      </c>
      <c r="DA189" s="12">
        <v>0</v>
      </c>
      <c r="DB189" s="12">
        <v>0</v>
      </c>
      <c r="DC189" s="12">
        <v>0</v>
      </c>
      <c r="DD189" s="12">
        <v>0</v>
      </c>
      <c r="DE189" s="12">
        <v>0</v>
      </c>
      <c r="DF189" s="12">
        <v>0</v>
      </c>
      <c r="DG189" s="12">
        <v>0</v>
      </c>
      <c r="DH189" s="12">
        <v>0</v>
      </c>
      <c r="DI189" s="12">
        <v>0</v>
      </c>
      <c r="DJ189" s="12">
        <v>0</v>
      </c>
      <c r="DK189" s="12">
        <v>0</v>
      </c>
      <c r="DL189" s="12">
        <v>0</v>
      </c>
      <c r="DM189" s="12">
        <v>0</v>
      </c>
      <c r="DN189" s="12">
        <v>0</v>
      </c>
      <c r="DO189" s="12">
        <v>0</v>
      </c>
      <c r="DP189" s="12">
        <v>0</v>
      </c>
      <c r="DQ189" s="12">
        <v>0</v>
      </c>
      <c r="DR189" s="12">
        <v>0</v>
      </c>
      <c r="DS189" s="12">
        <v>0</v>
      </c>
      <c r="DT189" s="12">
        <v>0</v>
      </c>
      <c r="DU189" s="12">
        <v>0</v>
      </c>
      <c r="DV189" s="12">
        <v>0</v>
      </c>
      <c r="DW189" s="12">
        <v>0</v>
      </c>
      <c r="DX189" s="12">
        <v>0</v>
      </c>
      <c r="DY189" s="12">
        <v>0</v>
      </c>
      <c r="DZ189" s="12">
        <v>0</v>
      </c>
      <c r="EA189" s="12">
        <v>0</v>
      </c>
      <c r="EB189" s="12">
        <v>0</v>
      </c>
      <c r="EC189" s="12">
        <v>0</v>
      </c>
      <c r="ED189" s="12">
        <v>0</v>
      </c>
      <c r="EE189" s="12">
        <v>0</v>
      </c>
      <c r="EF189" s="12">
        <v>0</v>
      </c>
      <c r="EG189" s="12">
        <v>0</v>
      </c>
      <c r="EH189" s="12">
        <v>0</v>
      </c>
      <c r="EI189" s="12">
        <v>0</v>
      </c>
      <c r="EJ189" s="12">
        <v>0</v>
      </c>
      <c r="EK189" s="12">
        <v>0</v>
      </c>
      <c r="EL189" s="12">
        <v>0</v>
      </c>
      <c r="EM189" s="12">
        <v>0</v>
      </c>
      <c r="EN189" s="12">
        <v>0</v>
      </c>
      <c r="EO189" s="12">
        <v>0</v>
      </c>
      <c r="EP189" s="12" t="str">
        <f t="shared" si="41"/>
        <v>🔴 Sin venta</v>
      </c>
      <c r="EQ189" s="23">
        <f t="shared" si="35"/>
        <v>0</v>
      </c>
      <c r="ER189" s="19">
        <f t="shared" si="34"/>
        <v>0</v>
      </c>
      <c r="ES189" s="12">
        <f t="shared" si="33"/>
        <v>0</v>
      </c>
      <c r="ET189" s="23">
        <f t="shared" si="44"/>
        <v>0</v>
      </c>
      <c r="EU189" s="23">
        <f t="shared" si="45"/>
        <v>0</v>
      </c>
      <c r="EV189" s="23">
        <f t="shared" si="46"/>
        <v>0</v>
      </c>
      <c r="EW189" s="23"/>
      <c r="EX189" s="12">
        <v>0</v>
      </c>
      <c r="EY189" s="19" cm="1">
        <f t="array" ref="EY189:FC189">VLOOKUP(_xlfn.SINGLE(B:B),'[1]Price List'!$B:$N,{8,4,5,6,7},0)</f>
        <v>348.75</v>
      </c>
      <c r="EZ189" s="9" t="str">
        <v>Speck Presidio Perfect Clear Case for iPhone 13/14 - Clear</v>
      </c>
      <c r="FA189" s="12" t="str">
        <v>Cases iPhone</v>
      </c>
      <c r="FB189" s="12" t="str">
        <v>iPhone 14</v>
      </c>
      <c r="FC189" s="12" t="str">
        <v>iPhone 14</v>
      </c>
      <c r="FD189" s="23" t="str">
        <f>_xlfn.XLOOKUP(B:B,'[1]Price List'!$B:$B,'[1]Price List'!$A:$A)</f>
        <v>Speck</v>
      </c>
    </row>
    <row r="190" spans="1:160" s="9" customFormat="1" x14ac:dyDescent="0.2">
      <c r="A190" s="23" t="s">
        <v>599</v>
      </c>
      <c r="B190" s="23">
        <v>840168521814</v>
      </c>
      <c r="C190" s="9" t="s">
        <v>167</v>
      </c>
      <c r="D190" s="9" t="e">
        <v>#N/A</v>
      </c>
      <c r="E190" s="9" t="e">
        <v>#N/A</v>
      </c>
      <c r="F190" s="9" t="e">
        <v>#N/A</v>
      </c>
      <c r="G190" s="9" t="s">
        <v>690</v>
      </c>
      <c r="H190" s="12" t="s">
        <v>168</v>
      </c>
      <c r="I190" s="12">
        <v>899</v>
      </c>
      <c r="J190" s="11">
        <v>348.75</v>
      </c>
      <c r="K190" s="62">
        <v>0</v>
      </c>
      <c r="L190" s="12">
        <v>0</v>
      </c>
      <c r="M190" s="13" t="s">
        <v>467</v>
      </c>
      <c r="N190" s="13" t="s">
        <v>656</v>
      </c>
      <c r="O190" s="27" t="s">
        <v>169</v>
      </c>
      <c r="P190" s="12">
        <v>8</v>
      </c>
      <c r="Q190" s="12">
        <v>3</v>
      </c>
      <c r="R190" s="12">
        <v>2</v>
      </c>
      <c r="S190" s="12">
        <v>3</v>
      </c>
      <c r="T190" s="12">
        <v>5</v>
      </c>
      <c r="U190" s="12">
        <v>5</v>
      </c>
      <c r="V190" s="12">
        <v>12</v>
      </c>
      <c r="W190" s="12">
        <v>14</v>
      </c>
      <c r="X190" s="12">
        <v>7</v>
      </c>
      <c r="Y190" s="12">
        <v>7</v>
      </c>
      <c r="Z190" s="12">
        <v>3</v>
      </c>
      <c r="AA190" s="12">
        <v>12</v>
      </c>
      <c r="AB190" s="12">
        <v>6</v>
      </c>
      <c r="AC190" s="12">
        <v>6</v>
      </c>
      <c r="AD190" s="12">
        <v>1</v>
      </c>
      <c r="AE190" s="12">
        <v>2</v>
      </c>
      <c r="AF190" s="12">
        <v>1</v>
      </c>
      <c r="AG190" s="12">
        <v>5</v>
      </c>
      <c r="AH190" s="12">
        <v>1</v>
      </c>
      <c r="AI190" s="12">
        <v>0</v>
      </c>
      <c r="AJ190" s="12">
        <v>1</v>
      </c>
      <c r="AK190" s="12">
        <v>1</v>
      </c>
      <c r="AL190" s="12">
        <v>1</v>
      </c>
      <c r="AM190" s="12">
        <v>0</v>
      </c>
      <c r="AN190" s="12">
        <v>0</v>
      </c>
      <c r="AO190" s="12">
        <v>1</v>
      </c>
      <c r="AP190" s="12">
        <v>1</v>
      </c>
      <c r="AQ190" s="12">
        <v>0</v>
      </c>
      <c r="AR190" s="12">
        <v>1</v>
      </c>
      <c r="AS190" s="12">
        <v>1</v>
      </c>
      <c r="AT190" s="12">
        <v>0</v>
      </c>
      <c r="AU190" s="12">
        <v>2</v>
      </c>
      <c r="AV190" s="12">
        <v>0</v>
      </c>
      <c r="AW190" s="12">
        <v>1</v>
      </c>
      <c r="AX190" s="12">
        <v>1</v>
      </c>
      <c r="AY190" s="12">
        <v>1</v>
      </c>
      <c r="AZ190" s="12">
        <v>0</v>
      </c>
      <c r="BA190" s="12">
        <v>1</v>
      </c>
      <c r="BB190" s="12">
        <v>0</v>
      </c>
      <c r="BC190" s="12">
        <v>0</v>
      </c>
      <c r="BD190" s="12">
        <v>0</v>
      </c>
      <c r="BE190" s="12">
        <v>2</v>
      </c>
      <c r="BF190" s="12">
        <v>0</v>
      </c>
      <c r="BG190" s="12">
        <v>0</v>
      </c>
      <c r="BH190" s="12">
        <v>0</v>
      </c>
      <c r="BI190" s="12">
        <v>0</v>
      </c>
      <c r="BJ190" s="12">
        <v>2</v>
      </c>
      <c r="BK190" s="12">
        <v>0</v>
      </c>
      <c r="BL190" s="12">
        <v>1</v>
      </c>
      <c r="BM190" s="12">
        <v>1</v>
      </c>
      <c r="BN190" s="12">
        <v>0</v>
      </c>
      <c r="BO190" s="12">
        <v>0</v>
      </c>
      <c r="BP190" s="12">
        <v>1</v>
      </c>
      <c r="BQ190" s="12">
        <v>0</v>
      </c>
      <c r="BR190" s="12">
        <v>0</v>
      </c>
      <c r="BS190" s="12">
        <v>0</v>
      </c>
      <c r="BT190" s="12">
        <v>0</v>
      </c>
      <c r="BU190" s="12">
        <v>1</v>
      </c>
      <c r="BV190" s="12">
        <v>0</v>
      </c>
      <c r="BW190" s="12">
        <v>0</v>
      </c>
      <c r="BX190" s="12">
        <v>0</v>
      </c>
      <c r="BY190" s="12">
        <v>1</v>
      </c>
      <c r="BZ190" s="12">
        <v>0</v>
      </c>
      <c r="CA190" s="12">
        <v>0</v>
      </c>
      <c r="CB190" s="12">
        <v>0</v>
      </c>
      <c r="CC190" s="12">
        <v>0</v>
      </c>
      <c r="CD190" s="12">
        <v>0</v>
      </c>
      <c r="CE190" s="12">
        <v>0</v>
      </c>
      <c r="CF190" s="12">
        <v>0</v>
      </c>
      <c r="CG190" s="12">
        <v>0</v>
      </c>
      <c r="CH190" s="12">
        <v>1</v>
      </c>
      <c r="CI190" s="12">
        <v>0</v>
      </c>
      <c r="CJ190" s="12">
        <v>0</v>
      </c>
      <c r="CK190" s="12">
        <v>0</v>
      </c>
      <c r="CL190" s="12">
        <v>0</v>
      </c>
      <c r="CM190" s="12">
        <v>0</v>
      </c>
      <c r="CN190" s="12">
        <v>0</v>
      </c>
      <c r="CO190" s="12">
        <v>0</v>
      </c>
      <c r="CP190" s="12">
        <v>0</v>
      </c>
      <c r="CQ190" s="12">
        <v>0</v>
      </c>
      <c r="CR190" s="12">
        <v>0</v>
      </c>
      <c r="CS190" s="12">
        <v>0</v>
      </c>
      <c r="CT190" s="12">
        <v>0</v>
      </c>
      <c r="CU190" s="12">
        <v>0</v>
      </c>
      <c r="CV190" s="12">
        <v>1</v>
      </c>
      <c r="CW190" s="12">
        <v>0</v>
      </c>
      <c r="CX190" s="12">
        <v>0</v>
      </c>
      <c r="CY190" s="12">
        <v>0</v>
      </c>
      <c r="CZ190" s="12">
        <v>0</v>
      </c>
      <c r="DA190" s="12">
        <v>0</v>
      </c>
      <c r="DB190" s="12">
        <v>1</v>
      </c>
      <c r="DC190" s="12">
        <v>0</v>
      </c>
      <c r="DD190" s="12">
        <v>0</v>
      </c>
      <c r="DE190" s="12">
        <v>1</v>
      </c>
      <c r="DF190" s="12">
        <v>0</v>
      </c>
      <c r="DG190" s="12">
        <v>0</v>
      </c>
      <c r="DH190" s="12">
        <v>0</v>
      </c>
      <c r="DI190" s="12">
        <v>0</v>
      </c>
      <c r="DJ190" s="12">
        <v>0</v>
      </c>
      <c r="DK190" s="12">
        <v>1</v>
      </c>
      <c r="DL190" s="12">
        <v>0</v>
      </c>
      <c r="DM190" s="12">
        <v>0</v>
      </c>
      <c r="DN190" s="12">
        <v>0</v>
      </c>
      <c r="DO190" s="12">
        <v>1</v>
      </c>
      <c r="DP190" s="12">
        <v>0</v>
      </c>
      <c r="DQ190" s="12">
        <v>0</v>
      </c>
      <c r="DR190" s="12">
        <v>0</v>
      </c>
      <c r="DS190" s="12">
        <v>0</v>
      </c>
      <c r="DT190" s="12">
        <v>0</v>
      </c>
      <c r="DU190" s="12">
        <v>0</v>
      </c>
      <c r="DV190" s="12">
        <v>0</v>
      </c>
      <c r="DW190" s="12">
        <v>0</v>
      </c>
      <c r="DX190" s="12">
        <v>0</v>
      </c>
      <c r="DY190" s="12">
        <v>0</v>
      </c>
      <c r="DZ190" s="12">
        <v>0</v>
      </c>
      <c r="EA190" s="12">
        <v>0</v>
      </c>
      <c r="EB190" s="12">
        <v>0</v>
      </c>
      <c r="EC190" s="12">
        <v>0</v>
      </c>
      <c r="ED190" s="12">
        <v>0</v>
      </c>
      <c r="EE190" s="12">
        <v>0</v>
      </c>
      <c r="EF190" s="12">
        <v>0</v>
      </c>
      <c r="EG190" s="12">
        <v>0</v>
      </c>
      <c r="EH190" s="12">
        <v>0</v>
      </c>
      <c r="EI190" s="12">
        <v>0</v>
      </c>
      <c r="EJ190" s="12">
        <v>0</v>
      </c>
      <c r="EK190" s="12">
        <v>0</v>
      </c>
      <c r="EL190" s="12">
        <v>0</v>
      </c>
      <c r="EM190" s="12">
        <v>0</v>
      </c>
      <c r="EN190" s="12">
        <v>0</v>
      </c>
      <c r="EO190" s="12">
        <v>0</v>
      </c>
      <c r="EP190" s="12" t="str">
        <f t="shared" si="41"/>
        <v>🔴 Sin venta</v>
      </c>
      <c r="EQ190" s="23">
        <f t="shared" si="35"/>
        <v>0</v>
      </c>
      <c r="ER190" s="19">
        <f t="shared" si="34"/>
        <v>0</v>
      </c>
      <c r="ES190" s="12">
        <f t="shared" si="33"/>
        <v>0</v>
      </c>
      <c r="ET190" s="23">
        <f t="shared" si="44"/>
        <v>1</v>
      </c>
      <c r="EU190" s="23">
        <f t="shared" si="45"/>
        <v>1</v>
      </c>
      <c r="EV190" s="23">
        <f t="shared" si="46"/>
        <v>0</v>
      </c>
      <c r="EW190" s="23"/>
      <c r="EX190" s="12">
        <v>0</v>
      </c>
      <c r="EY190" s="19" cm="1">
        <f t="array" ref="EY190:FC190">VLOOKUP(_xlfn.SINGLE(B:B),'[1]Price List'!$B:$N,{8,4,5,6,7},0)</f>
        <v>348.75</v>
      </c>
      <c r="EZ190" s="9" t="str">
        <v>Speck Presidio2 Pro Case for iPhone 13/14 - Charcoal/Cool Bronze</v>
      </c>
      <c r="FA190" s="12" t="str">
        <v>Cases iPhone</v>
      </c>
      <c r="FB190" s="12" t="str">
        <v>iPhone 14</v>
      </c>
      <c r="FC190" s="12" t="str">
        <v>iPhone 13/14</v>
      </c>
      <c r="FD190" s="23" t="str">
        <f>_xlfn.XLOOKUP(B:B,'[1]Price List'!$B:$B,'[1]Price List'!$A:$A)</f>
        <v>Speck</v>
      </c>
    </row>
    <row r="191" spans="1:160" s="9" customFormat="1" x14ac:dyDescent="0.2">
      <c r="A191" s="23" t="s">
        <v>599</v>
      </c>
      <c r="B191" s="23">
        <v>840168507719</v>
      </c>
      <c r="C191" s="9" t="s">
        <v>136</v>
      </c>
      <c r="D191" s="9" t="e">
        <v>#N/A</v>
      </c>
      <c r="E191" s="9" t="e">
        <v>#N/A</v>
      </c>
      <c r="F191" s="9" t="e">
        <v>#N/A</v>
      </c>
      <c r="G191" s="9" t="s">
        <v>674</v>
      </c>
      <c r="H191" s="12" t="s">
        <v>137</v>
      </c>
      <c r="I191" s="12">
        <v>999</v>
      </c>
      <c r="J191" s="11">
        <v>430.61</v>
      </c>
      <c r="K191" s="62">
        <v>0</v>
      </c>
      <c r="L191" s="12">
        <v>0</v>
      </c>
      <c r="M191" s="13" t="s">
        <v>467</v>
      </c>
      <c r="N191" s="13" t="s">
        <v>475</v>
      </c>
      <c r="O191" s="27">
        <v>44451</v>
      </c>
      <c r="P191" s="12">
        <v>1</v>
      </c>
      <c r="Q191" s="12">
        <v>3</v>
      </c>
      <c r="R191" s="12">
        <v>2</v>
      </c>
      <c r="S191" s="12">
        <v>0</v>
      </c>
      <c r="T191" s="12">
        <v>1</v>
      </c>
      <c r="U191" s="12">
        <v>1</v>
      </c>
      <c r="V191" s="12">
        <v>1</v>
      </c>
      <c r="W191" s="12">
        <v>0</v>
      </c>
      <c r="X191" s="12">
        <v>0</v>
      </c>
      <c r="Y191" s="12">
        <v>1</v>
      </c>
      <c r="Z191" s="12">
        <v>0</v>
      </c>
      <c r="AA191" s="12">
        <v>2</v>
      </c>
      <c r="AB191" s="12">
        <v>3</v>
      </c>
      <c r="AC191" s="12">
        <v>3</v>
      </c>
      <c r="AD191" s="12">
        <v>0</v>
      </c>
      <c r="AE191" s="12">
        <v>1</v>
      </c>
      <c r="AF191" s="12">
        <v>1</v>
      </c>
      <c r="AG191" s="12">
        <v>1</v>
      </c>
      <c r="AH191" s="12">
        <v>0</v>
      </c>
      <c r="AI191" s="12">
        <v>0</v>
      </c>
      <c r="AJ191" s="12">
        <v>1</v>
      </c>
      <c r="AK191" s="12">
        <v>0</v>
      </c>
      <c r="AL191" s="12">
        <v>1</v>
      </c>
      <c r="AM191" s="12">
        <v>1</v>
      </c>
      <c r="AN191" s="12">
        <v>1</v>
      </c>
      <c r="AO191" s="12">
        <v>0</v>
      </c>
      <c r="AP191" s="12">
        <v>0</v>
      </c>
      <c r="AQ191" s="12">
        <v>3</v>
      </c>
      <c r="AR191" s="12">
        <v>1</v>
      </c>
      <c r="AS191" s="12">
        <v>2</v>
      </c>
      <c r="AT191" s="12">
        <v>0</v>
      </c>
      <c r="AU191" s="12">
        <v>1</v>
      </c>
      <c r="AV191" s="12">
        <v>0</v>
      </c>
      <c r="AW191" s="12">
        <v>1</v>
      </c>
      <c r="AX191" s="12">
        <v>0</v>
      </c>
      <c r="AY191" s="12">
        <v>0</v>
      </c>
      <c r="AZ191" s="12">
        <v>0</v>
      </c>
      <c r="BA191" s="12">
        <v>1</v>
      </c>
      <c r="BB191" s="12">
        <v>0</v>
      </c>
      <c r="BC191" s="12">
        <v>0</v>
      </c>
      <c r="BD191" s="12">
        <v>0</v>
      </c>
      <c r="BE191" s="12">
        <v>1</v>
      </c>
      <c r="BF191" s="12">
        <v>0</v>
      </c>
      <c r="BG191" s="12">
        <v>1</v>
      </c>
      <c r="BH191" s="12">
        <v>1</v>
      </c>
      <c r="BI191" s="12">
        <v>1</v>
      </c>
      <c r="BJ191" s="12">
        <v>0</v>
      </c>
      <c r="BK191" s="12">
        <v>1</v>
      </c>
      <c r="BL191" s="12">
        <v>0</v>
      </c>
      <c r="BM191" s="12">
        <v>1</v>
      </c>
      <c r="BN191" s="12">
        <v>0</v>
      </c>
      <c r="BO191" s="12">
        <v>1</v>
      </c>
      <c r="BP191" s="12">
        <v>2</v>
      </c>
      <c r="BQ191" s="12">
        <v>0</v>
      </c>
      <c r="BR191" s="12">
        <v>1</v>
      </c>
      <c r="BS191" s="12">
        <v>0</v>
      </c>
      <c r="BT191" s="12">
        <v>0</v>
      </c>
      <c r="BU191" s="12">
        <v>0</v>
      </c>
      <c r="BV191" s="12">
        <v>0</v>
      </c>
      <c r="BW191" s="12">
        <v>1</v>
      </c>
      <c r="BX191" s="12">
        <v>0</v>
      </c>
      <c r="BY191" s="12">
        <v>0</v>
      </c>
      <c r="BZ191" s="12">
        <v>0</v>
      </c>
      <c r="CA191" s="12">
        <v>0</v>
      </c>
      <c r="CB191" s="12">
        <v>0</v>
      </c>
      <c r="CC191" s="12">
        <v>0</v>
      </c>
      <c r="CD191" s="12">
        <v>0</v>
      </c>
      <c r="CE191" s="12">
        <v>0</v>
      </c>
      <c r="CF191" s="12">
        <v>0</v>
      </c>
      <c r="CG191" s="12">
        <v>1</v>
      </c>
      <c r="CH191" s="12">
        <v>0</v>
      </c>
      <c r="CI191" s="12">
        <v>0</v>
      </c>
      <c r="CJ191" s="12">
        <v>0</v>
      </c>
      <c r="CK191" s="12">
        <v>1</v>
      </c>
      <c r="CL191" s="12">
        <v>0</v>
      </c>
      <c r="CM191" s="12">
        <v>0</v>
      </c>
      <c r="CN191" s="12">
        <v>0</v>
      </c>
      <c r="CO191" s="12">
        <v>0</v>
      </c>
      <c r="CP191" s="12">
        <v>0</v>
      </c>
      <c r="CQ191" s="12">
        <v>0</v>
      </c>
      <c r="CR191" s="12">
        <v>0</v>
      </c>
      <c r="CS191" s="12">
        <v>0</v>
      </c>
      <c r="CT191" s="12">
        <v>0</v>
      </c>
      <c r="CU191" s="12">
        <v>0</v>
      </c>
      <c r="CV191" s="12">
        <v>0</v>
      </c>
      <c r="CW191" s="12">
        <v>0</v>
      </c>
      <c r="CX191" s="12">
        <v>1</v>
      </c>
      <c r="CY191" s="12">
        <v>0</v>
      </c>
      <c r="CZ191" s="12">
        <v>1</v>
      </c>
      <c r="DA191" s="12">
        <v>1</v>
      </c>
      <c r="DB191" s="12">
        <v>0</v>
      </c>
      <c r="DC191" s="12">
        <v>0</v>
      </c>
      <c r="DD191" s="12">
        <v>1</v>
      </c>
      <c r="DE191" s="12">
        <v>0</v>
      </c>
      <c r="DF191" s="12">
        <v>0</v>
      </c>
      <c r="DG191" s="12">
        <v>0</v>
      </c>
      <c r="DH191" s="12">
        <v>0</v>
      </c>
      <c r="DI191" s="12">
        <v>0</v>
      </c>
      <c r="DJ191" s="12">
        <v>1</v>
      </c>
      <c r="DK191" s="12">
        <v>0</v>
      </c>
      <c r="DL191" s="12">
        <v>0</v>
      </c>
      <c r="DM191" s="12">
        <v>0</v>
      </c>
      <c r="DN191" s="12">
        <v>1</v>
      </c>
      <c r="DO191" s="12">
        <v>0</v>
      </c>
      <c r="DP191" s="12">
        <v>1</v>
      </c>
      <c r="DQ191" s="12">
        <v>1</v>
      </c>
      <c r="DR191" s="12">
        <v>0</v>
      </c>
      <c r="DS191" s="12">
        <v>0</v>
      </c>
      <c r="DT191" s="12">
        <v>0</v>
      </c>
      <c r="DU191" s="12">
        <v>0</v>
      </c>
      <c r="DV191" s="12">
        <v>0</v>
      </c>
      <c r="DW191" s="12">
        <v>0</v>
      </c>
      <c r="DX191" s="12">
        <v>0</v>
      </c>
      <c r="DY191" s="12">
        <v>0</v>
      </c>
      <c r="DZ191" s="12">
        <v>0</v>
      </c>
      <c r="EA191" s="12">
        <v>0</v>
      </c>
      <c r="EB191" s="12">
        <v>0</v>
      </c>
      <c r="EC191" s="12">
        <v>1</v>
      </c>
      <c r="ED191" s="12">
        <v>1</v>
      </c>
      <c r="EE191" s="12">
        <v>0</v>
      </c>
      <c r="EF191" s="12">
        <v>0</v>
      </c>
      <c r="EG191" s="12">
        <v>0</v>
      </c>
      <c r="EH191" s="12">
        <v>0</v>
      </c>
      <c r="EI191" s="12">
        <v>1</v>
      </c>
      <c r="EJ191" s="12">
        <v>0</v>
      </c>
      <c r="EK191" s="12">
        <v>0</v>
      </c>
      <c r="EL191" s="12">
        <v>0</v>
      </c>
      <c r="EM191" s="12">
        <v>0</v>
      </c>
      <c r="EN191" s="12">
        <v>0</v>
      </c>
      <c r="EO191" s="12">
        <v>0</v>
      </c>
      <c r="EP191" s="12" t="str">
        <f t="shared" si="41"/>
        <v>🔴 Sin venta</v>
      </c>
      <c r="EQ191" s="23">
        <f t="shared" si="35"/>
        <v>0.20833333333333334</v>
      </c>
      <c r="ER191" s="19">
        <f t="shared" si="34"/>
        <v>2153.0500000000002</v>
      </c>
      <c r="ES191" s="12">
        <f t="shared" si="33"/>
        <v>5</v>
      </c>
      <c r="ET191" s="23">
        <f t="shared" si="44"/>
        <v>1.5</v>
      </c>
      <c r="EU191" s="23">
        <f t="shared" si="45"/>
        <v>1</v>
      </c>
      <c r="EV191" s="23">
        <f t="shared" si="46"/>
        <v>1.07</v>
      </c>
      <c r="EW191" s="23"/>
      <c r="EX191" s="12">
        <v>2</v>
      </c>
      <c r="EY191" s="19" cm="1">
        <f t="array" ref="EY191:FC191">VLOOKUP(_xlfn.SINGLE(B:B),'[1]Price List'!$B:$N,{8,4,5,6,7},0)</f>
        <v>430.61</v>
      </c>
      <c r="EZ191" s="9" t="str">
        <v>Speck Balance Folio with Microban for iPad mini 6 -  Green</v>
      </c>
      <c r="FA191" s="12" t="str">
        <v>Cases iPad</v>
      </c>
      <c r="FB191" s="12" t="str">
        <v>iPad</v>
      </c>
      <c r="FC191" s="12" t="str">
        <v>iPad mini 6</v>
      </c>
      <c r="FD191" s="23" t="str">
        <f>_xlfn.XLOOKUP(B:B,'[1]Price List'!$B:$B,'[1]Price List'!$A:$A)</f>
        <v>Speck</v>
      </c>
    </row>
    <row r="192" spans="1:160" s="9" customFormat="1" x14ac:dyDescent="0.2">
      <c r="A192" s="23" t="s">
        <v>599</v>
      </c>
      <c r="B192" s="23">
        <v>840168524242</v>
      </c>
      <c r="C192" s="9" t="s">
        <v>208</v>
      </c>
      <c r="D192" s="9" t="e">
        <v>#N/A</v>
      </c>
      <c r="E192" s="9" t="e">
        <v>#N/A</v>
      </c>
      <c r="F192" s="9" t="e">
        <v>#N/A</v>
      </c>
      <c r="G192" s="9" t="s">
        <v>633</v>
      </c>
      <c r="H192" s="12" t="s">
        <v>209</v>
      </c>
      <c r="I192" s="11">
        <v>1099</v>
      </c>
      <c r="J192" s="11">
        <v>568.45000000000005</v>
      </c>
      <c r="K192" s="62">
        <v>0</v>
      </c>
      <c r="L192" s="12">
        <v>879</v>
      </c>
      <c r="M192" s="13" t="s">
        <v>467</v>
      </c>
      <c r="N192" s="13" t="s">
        <v>656</v>
      </c>
      <c r="O192" s="27" t="s">
        <v>169</v>
      </c>
      <c r="P192" s="12">
        <v>0</v>
      </c>
      <c r="Q192" s="12">
        <v>2</v>
      </c>
      <c r="R192" s="12">
        <v>1</v>
      </c>
      <c r="S192" s="12">
        <v>1</v>
      </c>
      <c r="T192" s="12">
        <v>0</v>
      </c>
      <c r="U192" s="12">
        <v>0</v>
      </c>
      <c r="V192" s="12">
        <v>5</v>
      </c>
      <c r="W192" s="12">
        <v>2</v>
      </c>
      <c r="X192" s="12">
        <v>0</v>
      </c>
      <c r="Y192" s="12">
        <v>0</v>
      </c>
      <c r="Z192" s="12">
        <v>1</v>
      </c>
      <c r="AA192" s="12">
        <v>0</v>
      </c>
      <c r="AB192" s="12">
        <v>3</v>
      </c>
      <c r="AC192" s="12">
        <v>1</v>
      </c>
      <c r="AD192" s="12">
        <v>4</v>
      </c>
      <c r="AE192" s="12">
        <v>1</v>
      </c>
      <c r="AF192" s="12">
        <v>2</v>
      </c>
      <c r="AG192" s="12">
        <v>1</v>
      </c>
      <c r="AH192" s="12">
        <v>0</v>
      </c>
      <c r="AI192" s="12">
        <v>1</v>
      </c>
      <c r="AJ192" s="12">
        <v>2</v>
      </c>
      <c r="AK192" s="12">
        <v>1</v>
      </c>
      <c r="AL192" s="12">
        <v>0</v>
      </c>
      <c r="AM192" s="12">
        <v>0</v>
      </c>
      <c r="AN192" s="12">
        <v>1</v>
      </c>
      <c r="AO192" s="12">
        <v>2</v>
      </c>
      <c r="AP192" s="12">
        <v>0</v>
      </c>
      <c r="AQ192" s="12">
        <v>1</v>
      </c>
      <c r="AR192" s="12">
        <v>3</v>
      </c>
      <c r="AS192" s="12">
        <v>0</v>
      </c>
      <c r="AT192" s="12">
        <v>0</v>
      </c>
      <c r="AU192" s="12">
        <v>0</v>
      </c>
      <c r="AV192" s="12">
        <v>2</v>
      </c>
      <c r="AW192" s="12">
        <v>1</v>
      </c>
      <c r="AX192" s="12">
        <v>2</v>
      </c>
      <c r="AY192" s="12">
        <v>4</v>
      </c>
      <c r="AZ192" s="12">
        <v>4</v>
      </c>
      <c r="BA192" s="12">
        <v>3</v>
      </c>
      <c r="BB192" s="12">
        <v>6</v>
      </c>
      <c r="BC192" s="12">
        <v>2</v>
      </c>
      <c r="BD192" s="12">
        <v>3</v>
      </c>
      <c r="BE192" s="12">
        <v>3</v>
      </c>
      <c r="BF192" s="12">
        <v>0</v>
      </c>
      <c r="BG192" s="12">
        <v>0</v>
      </c>
      <c r="BH192" s="12">
        <v>1</v>
      </c>
      <c r="BI192" s="12">
        <v>0</v>
      </c>
      <c r="BJ192" s="12">
        <v>3</v>
      </c>
      <c r="BK192" s="12">
        <v>2</v>
      </c>
      <c r="BL192" s="12">
        <v>0</v>
      </c>
      <c r="BM192" s="12">
        <v>4</v>
      </c>
      <c r="BN192" s="12">
        <v>2</v>
      </c>
      <c r="BO192" s="12">
        <v>0</v>
      </c>
      <c r="BP192" s="12">
        <v>0</v>
      </c>
      <c r="BQ192" s="12">
        <v>1</v>
      </c>
      <c r="BR192" s="12">
        <v>1</v>
      </c>
      <c r="BS192" s="12">
        <v>1</v>
      </c>
      <c r="BT192" s="12">
        <v>1</v>
      </c>
      <c r="BU192" s="12">
        <v>1</v>
      </c>
      <c r="BV192" s="12">
        <v>2</v>
      </c>
      <c r="BW192" s="12">
        <v>0</v>
      </c>
      <c r="BX192" s="12">
        <v>0</v>
      </c>
      <c r="BY192" s="12">
        <v>1</v>
      </c>
      <c r="BZ192" s="12">
        <v>1</v>
      </c>
      <c r="CA192" s="12">
        <v>1</v>
      </c>
      <c r="CB192" s="12">
        <v>0</v>
      </c>
      <c r="CC192" s="12">
        <v>2</v>
      </c>
      <c r="CD192" s="12">
        <v>2</v>
      </c>
      <c r="CE192" s="12">
        <v>1</v>
      </c>
      <c r="CF192" s="12">
        <v>1</v>
      </c>
      <c r="CG192" s="12">
        <v>1</v>
      </c>
      <c r="CH192" s="12">
        <v>0</v>
      </c>
      <c r="CI192" s="12">
        <v>0</v>
      </c>
      <c r="CJ192" s="12">
        <v>0</v>
      </c>
      <c r="CK192" s="12">
        <v>1</v>
      </c>
      <c r="CL192" s="12">
        <v>0</v>
      </c>
      <c r="CM192" s="12">
        <v>0</v>
      </c>
      <c r="CN192" s="12">
        <v>0</v>
      </c>
      <c r="CO192" s="12">
        <v>0</v>
      </c>
      <c r="CP192" s="12">
        <v>0</v>
      </c>
      <c r="CQ192" s="12">
        <v>0</v>
      </c>
      <c r="CR192" s="12">
        <v>0</v>
      </c>
      <c r="CS192" s="12">
        <v>0</v>
      </c>
      <c r="CT192" s="12">
        <v>1</v>
      </c>
      <c r="CU192" s="12">
        <v>0</v>
      </c>
      <c r="CV192" s="12">
        <v>0</v>
      </c>
      <c r="CW192" s="12">
        <v>0</v>
      </c>
      <c r="CX192" s="12">
        <v>0</v>
      </c>
      <c r="CY192" s="12">
        <v>0</v>
      </c>
      <c r="CZ192" s="12">
        <v>0</v>
      </c>
      <c r="DA192" s="12">
        <v>1</v>
      </c>
      <c r="DB192" s="12">
        <v>1</v>
      </c>
      <c r="DC192" s="12">
        <v>0</v>
      </c>
      <c r="DD192" s="12">
        <v>0</v>
      </c>
      <c r="DE192" s="12">
        <v>0</v>
      </c>
      <c r="DF192" s="12">
        <v>0</v>
      </c>
      <c r="DG192" s="12">
        <v>0</v>
      </c>
      <c r="DH192" s="12">
        <v>0</v>
      </c>
      <c r="DI192" s="12">
        <v>0</v>
      </c>
      <c r="DJ192" s="12">
        <v>0</v>
      </c>
      <c r="DK192" s="12">
        <v>0</v>
      </c>
      <c r="DL192" s="12">
        <v>0</v>
      </c>
      <c r="DM192" s="12">
        <v>0</v>
      </c>
      <c r="DN192" s="12">
        <v>0</v>
      </c>
      <c r="DO192" s="12">
        <v>0</v>
      </c>
      <c r="DP192" s="12">
        <v>0</v>
      </c>
      <c r="DQ192" s="12">
        <v>0</v>
      </c>
      <c r="DR192" s="12">
        <v>0</v>
      </c>
      <c r="DS192" s="12">
        <v>0</v>
      </c>
      <c r="DT192" s="12">
        <v>0</v>
      </c>
      <c r="DU192" s="12">
        <v>1</v>
      </c>
      <c r="DV192" s="12">
        <v>0</v>
      </c>
      <c r="DW192" s="12">
        <v>0</v>
      </c>
      <c r="DX192" s="12">
        <v>0</v>
      </c>
      <c r="DY192" s="12">
        <v>0</v>
      </c>
      <c r="DZ192" s="12">
        <v>0</v>
      </c>
      <c r="EA192" s="12">
        <v>0</v>
      </c>
      <c r="EB192" s="12">
        <v>0</v>
      </c>
      <c r="EC192" s="12">
        <v>0</v>
      </c>
      <c r="ED192" s="12">
        <v>0</v>
      </c>
      <c r="EE192" s="12">
        <v>0</v>
      </c>
      <c r="EF192" s="12">
        <v>0</v>
      </c>
      <c r="EG192" s="12">
        <v>0</v>
      </c>
      <c r="EH192" s="12">
        <v>0</v>
      </c>
      <c r="EI192" s="12">
        <v>0</v>
      </c>
      <c r="EJ192" s="12">
        <v>0</v>
      </c>
      <c r="EK192" s="12">
        <v>0</v>
      </c>
      <c r="EL192" s="12">
        <v>0</v>
      </c>
      <c r="EM192" s="12">
        <v>0</v>
      </c>
      <c r="EN192" s="12">
        <v>0</v>
      </c>
      <c r="EO192" s="12">
        <v>0</v>
      </c>
      <c r="EP192" s="12" t="str">
        <f t="shared" si="41"/>
        <v>🔴 Sin venta</v>
      </c>
      <c r="EQ192" s="23">
        <f t="shared" si="35"/>
        <v>4.1666666666666664E-2</v>
      </c>
      <c r="ER192" s="19">
        <f t="shared" si="34"/>
        <v>568.45000000000005</v>
      </c>
      <c r="ES192" s="12">
        <f t="shared" si="33"/>
        <v>1</v>
      </c>
      <c r="ET192" s="23">
        <f t="shared" si="44"/>
        <v>1</v>
      </c>
      <c r="EU192" s="23">
        <f t="shared" si="45"/>
        <v>0</v>
      </c>
      <c r="EV192" s="23">
        <f t="shared" si="46"/>
        <v>0.27</v>
      </c>
      <c r="EW192" s="23"/>
      <c r="EX192" s="12">
        <v>13</v>
      </c>
      <c r="EY192" s="19" cm="1">
        <f t="array" ref="EY192:FC192">VLOOKUP(_xlfn.SINGLE(B:B),'[1]Price List'!$B:$N,{8,4,5,6,7},0)</f>
        <v>568.45000000000005</v>
      </c>
      <c r="EZ192" s="9" t="str">
        <v>Speck Presidio Perfect Clear Impact Geometry Case with MagSafe for iPhone 14 Plus</v>
      </c>
      <c r="FA192" s="12" t="str">
        <v>Cases iPhone</v>
      </c>
      <c r="FB192" s="12" t="str">
        <v>iPhone 14</v>
      </c>
      <c r="FC192" s="12" t="str">
        <v>iPhone 14 Plus</v>
      </c>
      <c r="FD192" s="23" t="str">
        <f>_xlfn.XLOOKUP(B:B,'[1]Price List'!$B:$B,'[1]Price List'!$A:$A)</f>
        <v>Speck</v>
      </c>
    </row>
    <row r="193" spans="1:160" s="9" customFormat="1" x14ac:dyDescent="0.2">
      <c r="A193" s="23" t="s">
        <v>599</v>
      </c>
      <c r="B193" s="23">
        <v>840168524334</v>
      </c>
      <c r="C193" s="9" t="s">
        <v>214</v>
      </c>
      <c r="D193" s="9" t="e">
        <v>#N/A</v>
      </c>
      <c r="E193" s="9" t="e">
        <v>#N/A</v>
      </c>
      <c r="F193" s="9" t="e">
        <v>#N/A</v>
      </c>
      <c r="G193" s="9" t="s">
        <v>633</v>
      </c>
      <c r="H193" s="12" t="s">
        <v>215</v>
      </c>
      <c r="I193" s="11">
        <v>1099</v>
      </c>
      <c r="J193" s="11">
        <v>568.45000000000005</v>
      </c>
      <c r="K193" s="62">
        <v>0</v>
      </c>
      <c r="L193" s="12">
        <v>879</v>
      </c>
      <c r="M193" s="13" t="s">
        <v>467</v>
      </c>
      <c r="N193" s="13" t="s">
        <v>656</v>
      </c>
      <c r="O193" s="27" t="s">
        <v>169</v>
      </c>
      <c r="P193" s="12">
        <v>0</v>
      </c>
      <c r="Q193" s="12">
        <v>2</v>
      </c>
      <c r="R193" s="12">
        <v>1</v>
      </c>
      <c r="S193" s="12">
        <v>0</v>
      </c>
      <c r="T193" s="12">
        <v>5</v>
      </c>
      <c r="U193" s="12">
        <v>1</v>
      </c>
      <c r="V193" s="12">
        <v>2</v>
      </c>
      <c r="W193" s="12">
        <v>2</v>
      </c>
      <c r="X193" s="12">
        <v>1</v>
      </c>
      <c r="Y193" s="12">
        <v>0</v>
      </c>
      <c r="Z193" s="12">
        <v>0</v>
      </c>
      <c r="AA193" s="12">
        <v>0</v>
      </c>
      <c r="AB193" s="12">
        <v>2</v>
      </c>
      <c r="AC193" s="12">
        <v>0</v>
      </c>
      <c r="AD193" s="12">
        <v>2</v>
      </c>
      <c r="AE193" s="12">
        <v>1</v>
      </c>
      <c r="AF193" s="12">
        <v>1</v>
      </c>
      <c r="AG193" s="12">
        <v>0</v>
      </c>
      <c r="AH193" s="12">
        <v>1</v>
      </c>
      <c r="AI193" s="12">
        <v>0</v>
      </c>
      <c r="AJ193" s="12">
        <v>0</v>
      </c>
      <c r="AK193" s="12">
        <v>1</v>
      </c>
      <c r="AL193" s="12">
        <v>2</v>
      </c>
      <c r="AM193" s="12">
        <v>1</v>
      </c>
      <c r="AN193" s="12">
        <v>0</v>
      </c>
      <c r="AO193" s="12">
        <v>0</v>
      </c>
      <c r="AP193" s="12">
        <v>0</v>
      </c>
      <c r="AQ193" s="12">
        <v>1</v>
      </c>
      <c r="AR193" s="12">
        <v>3</v>
      </c>
      <c r="AS193" s="12">
        <v>3</v>
      </c>
      <c r="AT193" s="12">
        <v>1</v>
      </c>
      <c r="AU193" s="12">
        <v>0</v>
      </c>
      <c r="AV193" s="12">
        <v>2</v>
      </c>
      <c r="AW193" s="12">
        <v>4</v>
      </c>
      <c r="AX193" s="12">
        <v>4</v>
      </c>
      <c r="AY193" s="12">
        <v>2</v>
      </c>
      <c r="AZ193" s="12">
        <v>5</v>
      </c>
      <c r="BA193" s="12">
        <v>3</v>
      </c>
      <c r="BB193" s="12">
        <v>7</v>
      </c>
      <c r="BC193" s="12">
        <v>6</v>
      </c>
      <c r="BD193" s="12">
        <v>3</v>
      </c>
      <c r="BE193" s="12">
        <v>0</v>
      </c>
      <c r="BF193" s="12">
        <v>1</v>
      </c>
      <c r="BG193" s="12">
        <v>0</v>
      </c>
      <c r="BH193" s="12">
        <v>0</v>
      </c>
      <c r="BI193" s="12">
        <v>0</v>
      </c>
      <c r="BJ193" s="12">
        <v>1</v>
      </c>
      <c r="BK193" s="12">
        <v>0</v>
      </c>
      <c r="BL193" s="12">
        <v>0</v>
      </c>
      <c r="BM193" s="12">
        <v>1</v>
      </c>
      <c r="BN193" s="12">
        <v>1</v>
      </c>
      <c r="BO193" s="12">
        <v>1</v>
      </c>
      <c r="BP193" s="12">
        <v>2</v>
      </c>
      <c r="BQ193" s="12">
        <v>3</v>
      </c>
      <c r="BR193" s="12">
        <v>0</v>
      </c>
      <c r="BS193" s="12">
        <v>0</v>
      </c>
      <c r="BT193" s="12">
        <v>0</v>
      </c>
      <c r="BU193" s="12">
        <v>2</v>
      </c>
      <c r="BV193" s="12">
        <v>1</v>
      </c>
      <c r="BW193" s="12">
        <v>0</v>
      </c>
      <c r="BX193" s="12">
        <v>0</v>
      </c>
      <c r="BY193" s="12">
        <v>0</v>
      </c>
      <c r="BZ193" s="12">
        <v>0</v>
      </c>
      <c r="CA193" s="12">
        <v>0</v>
      </c>
      <c r="CB193" s="12">
        <v>0</v>
      </c>
      <c r="CC193" s="12">
        <v>0</v>
      </c>
      <c r="CD193" s="12">
        <v>0</v>
      </c>
      <c r="CE193" s="12">
        <v>0</v>
      </c>
      <c r="CF193" s="12">
        <v>0</v>
      </c>
      <c r="CG193" s="12">
        <v>0</v>
      </c>
      <c r="CH193" s="12">
        <v>0</v>
      </c>
      <c r="CI193" s="12">
        <v>3</v>
      </c>
      <c r="CJ193" s="12">
        <v>0</v>
      </c>
      <c r="CK193" s="12">
        <v>0</v>
      </c>
      <c r="CL193" s="12">
        <v>0</v>
      </c>
      <c r="CM193" s="12">
        <v>0</v>
      </c>
      <c r="CN193" s="12">
        <v>0</v>
      </c>
      <c r="CO193" s="12">
        <v>0</v>
      </c>
      <c r="CP193" s="12">
        <v>0</v>
      </c>
      <c r="CQ193" s="12">
        <v>0</v>
      </c>
      <c r="CR193" s="12">
        <v>0</v>
      </c>
      <c r="CS193" s="12">
        <v>0</v>
      </c>
      <c r="CT193" s="12">
        <v>0</v>
      </c>
      <c r="CU193" s="12">
        <v>0</v>
      </c>
      <c r="CV193" s="12">
        <v>0</v>
      </c>
      <c r="CW193" s="12">
        <v>0</v>
      </c>
      <c r="CX193" s="12">
        <v>0</v>
      </c>
      <c r="CY193" s="12">
        <v>0</v>
      </c>
      <c r="CZ193" s="12">
        <v>1</v>
      </c>
      <c r="DA193" s="12">
        <v>1</v>
      </c>
      <c r="DB193" s="12">
        <v>1</v>
      </c>
      <c r="DC193" s="12">
        <v>0</v>
      </c>
      <c r="DD193" s="12">
        <v>0</v>
      </c>
      <c r="DE193" s="12">
        <v>0</v>
      </c>
      <c r="DF193" s="12">
        <v>0</v>
      </c>
      <c r="DG193" s="12">
        <v>0</v>
      </c>
      <c r="DH193" s="12">
        <v>0</v>
      </c>
      <c r="DI193" s="12">
        <v>0</v>
      </c>
      <c r="DJ193" s="12">
        <v>0</v>
      </c>
      <c r="DK193" s="12">
        <v>0</v>
      </c>
      <c r="DL193" s="12">
        <v>0</v>
      </c>
      <c r="DM193" s="12">
        <v>0</v>
      </c>
      <c r="DN193" s="12">
        <v>0</v>
      </c>
      <c r="DO193" s="12">
        <v>0</v>
      </c>
      <c r="DP193" s="12">
        <v>0</v>
      </c>
      <c r="DQ193" s="12">
        <v>0</v>
      </c>
      <c r="DR193" s="12">
        <v>0</v>
      </c>
      <c r="DS193" s="12">
        <v>0</v>
      </c>
      <c r="DT193" s="12">
        <v>0</v>
      </c>
      <c r="DU193" s="12">
        <v>0</v>
      </c>
      <c r="DV193" s="12">
        <v>0</v>
      </c>
      <c r="DW193" s="12">
        <v>0</v>
      </c>
      <c r="DX193" s="12">
        <v>0</v>
      </c>
      <c r="DY193" s="12">
        <v>0</v>
      </c>
      <c r="DZ193" s="12">
        <v>0</v>
      </c>
      <c r="EA193" s="12">
        <v>0</v>
      </c>
      <c r="EB193" s="12">
        <v>0</v>
      </c>
      <c r="EC193" s="12">
        <v>0</v>
      </c>
      <c r="ED193" s="12">
        <v>0</v>
      </c>
      <c r="EE193" s="12">
        <v>0</v>
      </c>
      <c r="EF193" s="12">
        <v>0</v>
      </c>
      <c r="EG193" s="12">
        <v>0</v>
      </c>
      <c r="EH193" s="12">
        <v>0</v>
      </c>
      <c r="EI193" s="12">
        <v>0</v>
      </c>
      <c r="EJ193" s="12">
        <v>0</v>
      </c>
      <c r="EK193" s="12">
        <v>0</v>
      </c>
      <c r="EL193" s="12">
        <v>0</v>
      </c>
      <c r="EM193" s="12">
        <v>0</v>
      </c>
      <c r="EN193" s="12">
        <v>0</v>
      </c>
      <c r="EO193" s="12">
        <v>0</v>
      </c>
      <c r="EP193" s="12" t="str">
        <f t="shared" si="41"/>
        <v>🔴 Sin venta</v>
      </c>
      <c r="EQ193" s="23">
        <f t="shared" si="35"/>
        <v>0</v>
      </c>
      <c r="ER193" s="19">
        <f t="shared" si="34"/>
        <v>0</v>
      </c>
      <c r="ES193" s="12">
        <f t="shared" si="33"/>
        <v>0</v>
      </c>
      <c r="ET193" s="23">
        <f t="shared" si="44"/>
        <v>1.5</v>
      </c>
      <c r="EU193" s="23">
        <f t="shared" si="45"/>
        <v>0</v>
      </c>
      <c r="EV193" s="23">
        <f t="shared" si="46"/>
        <v>0</v>
      </c>
      <c r="EW193" s="23"/>
      <c r="EX193" s="12">
        <v>8</v>
      </c>
      <c r="EY193" s="19" cm="1">
        <f t="array" ref="EY193:FC193">VLOOKUP(_xlfn.SINGLE(B:B),'[1]Price List'!$B:$N,{8,4,5,6,7},0)</f>
        <v>568.45000000000005</v>
      </c>
      <c r="EZ193" s="9" t="str">
        <v>Speck Presidio Perfect Mist Case with MagSafe for iPhone 14 Plus - Coastal Blue</v>
      </c>
      <c r="FA193" s="12" t="str">
        <v>Cases iPhone</v>
      </c>
      <c r="FB193" s="12" t="str">
        <v>iPhone 14</v>
      </c>
      <c r="FC193" s="12" t="str">
        <v>iPhone 14 Plus</v>
      </c>
      <c r="FD193" s="23" t="str">
        <f>_xlfn.XLOOKUP(B:B,'[1]Price List'!$B:$B,'[1]Price List'!$A:$A)</f>
        <v>Speck</v>
      </c>
    </row>
    <row r="194" spans="1:160" s="9" customFormat="1" x14ac:dyDescent="0.2">
      <c r="A194" s="23" t="s">
        <v>599</v>
      </c>
      <c r="B194" s="23">
        <v>848709097941</v>
      </c>
      <c r="C194" s="9" t="s">
        <v>117</v>
      </c>
      <c r="D194" s="9" t="e">
        <v>#N/A</v>
      </c>
      <c r="E194" s="9" t="e">
        <v>#N/A</v>
      </c>
      <c r="F194" s="9" t="e">
        <v>#N/A</v>
      </c>
      <c r="G194" s="9" t="s">
        <v>306</v>
      </c>
      <c r="H194" s="12" t="s">
        <v>118</v>
      </c>
      <c r="I194" s="11">
        <v>1349</v>
      </c>
      <c r="J194" s="11">
        <v>697.76</v>
      </c>
      <c r="K194" s="62">
        <v>0</v>
      </c>
      <c r="L194" s="12">
        <v>0</v>
      </c>
      <c r="M194" s="13" t="s">
        <v>467</v>
      </c>
      <c r="N194" s="13" t="s">
        <v>656</v>
      </c>
      <c r="O194" s="27" t="s">
        <v>96</v>
      </c>
      <c r="P194" s="12">
        <v>1</v>
      </c>
      <c r="Q194" s="12">
        <v>2</v>
      </c>
      <c r="R194" s="12">
        <v>1</v>
      </c>
      <c r="S194" s="12">
        <v>0</v>
      </c>
      <c r="T194" s="12">
        <v>0</v>
      </c>
      <c r="U194" s="12">
        <v>0</v>
      </c>
      <c r="V194" s="12">
        <v>2</v>
      </c>
      <c r="W194" s="12">
        <v>2</v>
      </c>
      <c r="X194" s="12">
        <v>1</v>
      </c>
      <c r="Y194" s="12">
        <v>0</v>
      </c>
      <c r="Z194" s="12">
        <v>0</v>
      </c>
      <c r="AA194" s="12">
        <v>1</v>
      </c>
      <c r="AB194" s="12">
        <v>0</v>
      </c>
      <c r="AC194" s="12">
        <v>2</v>
      </c>
      <c r="AD194" s="12">
        <v>3</v>
      </c>
      <c r="AE194" s="12">
        <v>1</v>
      </c>
      <c r="AF194" s="12">
        <v>1</v>
      </c>
      <c r="AG194" s="12">
        <v>1</v>
      </c>
      <c r="AH194" s="12">
        <v>1</v>
      </c>
      <c r="AI194" s="12">
        <v>1</v>
      </c>
      <c r="AJ194" s="12">
        <v>1</v>
      </c>
      <c r="AK194" s="12">
        <v>0</v>
      </c>
      <c r="AL194" s="12">
        <v>3</v>
      </c>
      <c r="AM194" s="12">
        <v>0</v>
      </c>
      <c r="AN194" s="12">
        <v>3</v>
      </c>
      <c r="AO194" s="12">
        <v>0</v>
      </c>
      <c r="AP194" s="12">
        <v>0</v>
      </c>
      <c r="AQ194" s="12">
        <v>0</v>
      </c>
      <c r="AR194" s="12">
        <v>1</v>
      </c>
      <c r="AS194" s="12">
        <v>1</v>
      </c>
      <c r="AT194" s="12">
        <v>1</v>
      </c>
      <c r="AU194" s="12">
        <v>1</v>
      </c>
      <c r="AV194" s="12">
        <v>0</v>
      </c>
      <c r="AW194" s="12">
        <v>1</v>
      </c>
      <c r="AX194" s="12">
        <v>4</v>
      </c>
      <c r="AY194" s="12">
        <v>1</v>
      </c>
      <c r="AZ194" s="12">
        <v>2</v>
      </c>
      <c r="BA194" s="12">
        <v>2</v>
      </c>
      <c r="BB194" s="12">
        <v>1</v>
      </c>
      <c r="BC194" s="12">
        <v>0</v>
      </c>
      <c r="BD194" s="12">
        <v>0</v>
      </c>
      <c r="BE194" s="12">
        <v>0</v>
      </c>
      <c r="BF194" s="12">
        <v>1</v>
      </c>
      <c r="BG194" s="12">
        <v>0</v>
      </c>
      <c r="BH194" s="12">
        <v>0</v>
      </c>
      <c r="BI194" s="12">
        <v>0</v>
      </c>
      <c r="BJ194" s="12">
        <v>0</v>
      </c>
      <c r="BK194" s="12">
        <v>0</v>
      </c>
      <c r="BL194" s="12">
        <v>0</v>
      </c>
      <c r="BM194" s="12">
        <v>0</v>
      </c>
      <c r="BN194" s="12">
        <v>0</v>
      </c>
      <c r="BO194" s="12">
        <v>0</v>
      </c>
      <c r="BP194" s="12">
        <v>0</v>
      </c>
      <c r="BQ194" s="12">
        <v>0</v>
      </c>
      <c r="BR194" s="12">
        <v>0</v>
      </c>
      <c r="BS194" s="12">
        <v>0</v>
      </c>
      <c r="BT194" s="12">
        <v>0</v>
      </c>
      <c r="BU194" s="12">
        <v>0</v>
      </c>
      <c r="BV194" s="12">
        <v>0</v>
      </c>
      <c r="BW194" s="12">
        <v>0</v>
      </c>
      <c r="BX194" s="12">
        <v>0</v>
      </c>
      <c r="BY194" s="12">
        <v>0</v>
      </c>
      <c r="BZ194" s="12">
        <v>0</v>
      </c>
      <c r="CA194" s="12">
        <v>0</v>
      </c>
      <c r="CB194" s="12">
        <v>0</v>
      </c>
      <c r="CC194" s="12">
        <v>0</v>
      </c>
      <c r="CD194" s="12">
        <v>1</v>
      </c>
      <c r="CE194" s="12">
        <v>0</v>
      </c>
      <c r="CF194" s="12">
        <v>0</v>
      </c>
      <c r="CG194" s="12">
        <v>0</v>
      </c>
      <c r="CH194" s="12">
        <v>1</v>
      </c>
      <c r="CI194" s="12">
        <v>0</v>
      </c>
      <c r="CJ194" s="12">
        <v>0</v>
      </c>
      <c r="CK194" s="12">
        <v>0</v>
      </c>
      <c r="CL194" s="12">
        <v>0</v>
      </c>
      <c r="CM194" s="12">
        <v>0</v>
      </c>
      <c r="CN194" s="12">
        <v>0</v>
      </c>
      <c r="CO194" s="12">
        <v>0</v>
      </c>
      <c r="CP194" s="12">
        <v>0</v>
      </c>
      <c r="CQ194" s="12">
        <v>0</v>
      </c>
      <c r="CR194" s="12">
        <v>0</v>
      </c>
      <c r="CS194" s="12">
        <v>0</v>
      </c>
      <c r="CT194" s="12">
        <v>1</v>
      </c>
      <c r="CU194" s="12">
        <v>1</v>
      </c>
      <c r="CV194" s="12">
        <v>1</v>
      </c>
      <c r="CW194" s="12">
        <v>0</v>
      </c>
      <c r="CX194" s="12">
        <v>0</v>
      </c>
      <c r="CY194" s="12">
        <v>0</v>
      </c>
      <c r="CZ194" s="12">
        <v>0</v>
      </c>
      <c r="DA194" s="12">
        <v>0</v>
      </c>
      <c r="DB194" s="12">
        <v>0</v>
      </c>
      <c r="DC194" s="12">
        <v>0</v>
      </c>
      <c r="DD194" s="12">
        <v>0</v>
      </c>
      <c r="DE194" s="12">
        <v>0</v>
      </c>
      <c r="DF194" s="12">
        <v>0</v>
      </c>
      <c r="DG194" s="12">
        <v>0</v>
      </c>
      <c r="DH194" s="12">
        <v>0</v>
      </c>
      <c r="DI194" s="12">
        <v>0</v>
      </c>
      <c r="DJ194" s="12">
        <v>0</v>
      </c>
      <c r="DK194" s="12">
        <v>0</v>
      </c>
      <c r="DL194" s="12">
        <v>0</v>
      </c>
      <c r="DM194" s="12">
        <v>0</v>
      </c>
      <c r="DN194" s="12">
        <v>0</v>
      </c>
      <c r="DO194" s="12">
        <v>0</v>
      </c>
      <c r="DP194" s="12">
        <v>1</v>
      </c>
      <c r="DQ194" s="12">
        <v>0</v>
      </c>
      <c r="DR194" s="12">
        <v>0</v>
      </c>
      <c r="DS194" s="12">
        <v>0</v>
      </c>
      <c r="DT194" s="12">
        <v>0</v>
      </c>
      <c r="DU194" s="12">
        <v>0</v>
      </c>
      <c r="DV194" s="12">
        <v>0</v>
      </c>
      <c r="DW194" s="12">
        <v>0</v>
      </c>
      <c r="DX194" s="12">
        <v>0</v>
      </c>
      <c r="DY194" s="12">
        <v>0</v>
      </c>
      <c r="DZ194" s="12">
        <v>0</v>
      </c>
      <c r="EA194" s="12">
        <v>0</v>
      </c>
      <c r="EB194" s="12">
        <v>0</v>
      </c>
      <c r="EC194" s="12">
        <v>0</v>
      </c>
      <c r="ED194" s="12">
        <v>0</v>
      </c>
      <c r="EE194" s="12">
        <v>0</v>
      </c>
      <c r="EF194" s="12">
        <v>0</v>
      </c>
      <c r="EG194" s="12">
        <v>0</v>
      </c>
      <c r="EH194" s="12">
        <v>0</v>
      </c>
      <c r="EI194" s="12">
        <v>0</v>
      </c>
      <c r="EJ194" s="12">
        <v>0</v>
      </c>
      <c r="EK194" s="12">
        <v>0</v>
      </c>
      <c r="EL194" s="12">
        <v>0</v>
      </c>
      <c r="EM194" s="12">
        <v>0</v>
      </c>
      <c r="EN194" s="12">
        <v>0</v>
      </c>
      <c r="EO194" s="12">
        <v>0</v>
      </c>
      <c r="EP194" s="12" t="str">
        <f t="shared" si="41"/>
        <v>🔴 Sin venta</v>
      </c>
      <c r="EQ194" s="23">
        <f t="shared" si="35"/>
        <v>4.1666666666666664E-2</v>
      </c>
      <c r="ER194" s="19">
        <f t="shared" si="34"/>
        <v>697.76</v>
      </c>
      <c r="ES194" s="12">
        <f t="shared" si="33"/>
        <v>1</v>
      </c>
      <c r="ET194" s="23">
        <f t="shared" si="44"/>
        <v>0</v>
      </c>
      <c r="EU194" s="23">
        <f t="shared" si="45"/>
        <v>0</v>
      </c>
      <c r="EV194" s="23">
        <f t="shared" si="46"/>
        <v>0.27</v>
      </c>
      <c r="EW194" s="23"/>
      <c r="EX194" s="12">
        <v>1</v>
      </c>
      <c r="EY194" s="19" cm="1">
        <f t="array" ref="EY194:FC194">VLOOKUP(_xlfn.SINGLE(B:B),'[1]Price List'!$B:$N,{8,4,5,6,7},0)</f>
        <v>697.76</v>
      </c>
      <c r="EZ194" s="9" t="str">
        <v>Speck Smartshell Case for Macbook Air 13" Retina M1 2020 - Swell Blue</v>
      </c>
      <c r="FA194" s="12" t="str">
        <v>Cases Macbook</v>
      </c>
      <c r="FB194" s="12" t="str">
        <v>Macbook</v>
      </c>
      <c r="FC194" s="12" t="str">
        <v>MacBook Air 13" M1 Cases</v>
      </c>
      <c r="FD194" s="23" t="str">
        <f>_xlfn.XLOOKUP(B:B,'[1]Price List'!$B:$B,'[1]Price List'!$A:$A)</f>
        <v>Speck</v>
      </c>
    </row>
    <row r="195" spans="1:160" s="9" customFormat="1" x14ac:dyDescent="0.2">
      <c r="A195" s="23" t="s">
        <v>599</v>
      </c>
      <c r="B195" s="23">
        <v>848709080660</v>
      </c>
      <c r="C195" s="9" t="s">
        <v>40</v>
      </c>
      <c r="D195" s="9" t="e">
        <v>#N/A</v>
      </c>
      <c r="E195" s="9" t="e">
        <v>#N/A</v>
      </c>
      <c r="F195" s="9" t="e">
        <v>#N/A</v>
      </c>
      <c r="G195" s="9" t="s">
        <v>686</v>
      </c>
      <c r="H195" s="12" t="s">
        <v>41</v>
      </c>
      <c r="I195" s="11">
        <v>1199</v>
      </c>
      <c r="J195" s="11">
        <v>516.80999999999995</v>
      </c>
      <c r="K195" s="62">
        <v>0</v>
      </c>
      <c r="L195" s="12">
        <v>0</v>
      </c>
      <c r="M195" s="13" t="s">
        <v>467</v>
      </c>
      <c r="N195" s="13" t="s">
        <v>656</v>
      </c>
      <c r="O195" s="27" t="s">
        <v>42</v>
      </c>
      <c r="P195" s="12">
        <v>3</v>
      </c>
      <c r="Q195" s="12">
        <v>2</v>
      </c>
      <c r="R195" s="12">
        <v>3</v>
      </c>
      <c r="S195" s="12">
        <v>0</v>
      </c>
      <c r="T195" s="12">
        <v>0</v>
      </c>
      <c r="U195" s="12">
        <v>1</v>
      </c>
      <c r="V195" s="12">
        <v>4</v>
      </c>
      <c r="W195" s="12">
        <v>2</v>
      </c>
      <c r="X195" s="12">
        <v>1</v>
      </c>
      <c r="Y195" s="12">
        <v>1</v>
      </c>
      <c r="Z195" s="12">
        <v>1</v>
      </c>
      <c r="AA195" s="12">
        <v>5</v>
      </c>
      <c r="AB195" s="12">
        <v>1</v>
      </c>
      <c r="AC195" s="12">
        <v>2</v>
      </c>
      <c r="AD195" s="12">
        <v>2</v>
      </c>
      <c r="AE195" s="12">
        <v>0</v>
      </c>
      <c r="AF195" s="12">
        <v>0</v>
      </c>
      <c r="AG195" s="12">
        <v>1</v>
      </c>
      <c r="AH195" s="12">
        <v>1</v>
      </c>
      <c r="AI195" s="12">
        <v>0</v>
      </c>
      <c r="AJ195" s="12">
        <v>0</v>
      </c>
      <c r="AK195" s="12">
        <v>2</v>
      </c>
      <c r="AL195" s="12">
        <v>0</v>
      </c>
      <c r="AM195" s="12">
        <v>0</v>
      </c>
      <c r="AN195" s="12">
        <v>0</v>
      </c>
      <c r="AO195" s="12">
        <v>0</v>
      </c>
      <c r="AP195" s="12">
        <v>0</v>
      </c>
      <c r="AQ195" s="12">
        <v>0</v>
      </c>
      <c r="AR195" s="12">
        <v>0</v>
      </c>
      <c r="AS195" s="12">
        <v>0</v>
      </c>
      <c r="AT195" s="12">
        <v>0</v>
      </c>
      <c r="AU195" s="12">
        <v>0</v>
      </c>
      <c r="AV195" s="12">
        <v>1</v>
      </c>
      <c r="AW195" s="12">
        <v>1</v>
      </c>
      <c r="AX195" s="12">
        <v>0</v>
      </c>
      <c r="AY195" s="12">
        <v>0</v>
      </c>
      <c r="AZ195" s="12">
        <v>0</v>
      </c>
      <c r="BA195" s="12">
        <v>0</v>
      </c>
      <c r="BB195" s="12">
        <v>0</v>
      </c>
      <c r="BC195" s="12">
        <v>0</v>
      </c>
      <c r="BD195" s="12">
        <v>0</v>
      </c>
      <c r="BE195" s="12">
        <v>0</v>
      </c>
      <c r="BF195" s="12">
        <v>0</v>
      </c>
      <c r="BG195" s="12">
        <v>0</v>
      </c>
      <c r="BH195" s="12">
        <v>0</v>
      </c>
      <c r="BI195" s="12">
        <v>0</v>
      </c>
      <c r="BJ195" s="12">
        <v>0</v>
      </c>
      <c r="BK195" s="12">
        <v>0</v>
      </c>
      <c r="BL195" s="12">
        <v>0</v>
      </c>
      <c r="BM195" s="12">
        <v>0</v>
      </c>
      <c r="BN195" s="12">
        <v>0</v>
      </c>
      <c r="BO195" s="12">
        <v>1</v>
      </c>
      <c r="BP195" s="12">
        <v>0</v>
      </c>
      <c r="BQ195" s="12">
        <v>1</v>
      </c>
      <c r="BR195" s="12">
        <v>0</v>
      </c>
      <c r="BS195" s="12">
        <v>0</v>
      </c>
      <c r="BT195" s="12">
        <v>0</v>
      </c>
      <c r="BU195" s="12">
        <v>0</v>
      </c>
      <c r="BV195" s="12">
        <v>0</v>
      </c>
      <c r="BW195" s="12">
        <v>0</v>
      </c>
      <c r="BX195" s="12">
        <v>0</v>
      </c>
      <c r="BY195" s="12">
        <v>0</v>
      </c>
      <c r="BZ195" s="12">
        <v>0</v>
      </c>
      <c r="CA195" s="12">
        <v>0</v>
      </c>
      <c r="CB195" s="12">
        <v>0</v>
      </c>
      <c r="CC195" s="12">
        <v>0</v>
      </c>
      <c r="CD195" s="12">
        <v>0</v>
      </c>
      <c r="CE195" s="12">
        <v>0</v>
      </c>
      <c r="CF195" s="12">
        <v>0</v>
      </c>
      <c r="CG195" s="12">
        <v>0</v>
      </c>
      <c r="CH195" s="12">
        <v>0</v>
      </c>
      <c r="CI195" s="12">
        <v>0</v>
      </c>
      <c r="CJ195" s="12">
        <v>0</v>
      </c>
      <c r="CK195" s="12">
        <v>0</v>
      </c>
      <c r="CL195" s="12">
        <v>0</v>
      </c>
      <c r="CM195" s="12">
        <v>0</v>
      </c>
      <c r="CN195" s="12">
        <v>0</v>
      </c>
      <c r="CO195" s="12">
        <v>0</v>
      </c>
      <c r="CP195" s="12">
        <v>0</v>
      </c>
      <c r="CQ195" s="12">
        <v>0</v>
      </c>
      <c r="CR195" s="12">
        <v>0</v>
      </c>
      <c r="CS195" s="12">
        <v>0</v>
      </c>
      <c r="CT195" s="12">
        <v>0</v>
      </c>
      <c r="CU195" s="12">
        <v>0</v>
      </c>
      <c r="CV195" s="12">
        <v>0</v>
      </c>
      <c r="CW195" s="12">
        <v>0</v>
      </c>
      <c r="CX195" s="12">
        <v>0</v>
      </c>
      <c r="CY195" s="12">
        <v>0</v>
      </c>
      <c r="CZ195" s="12">
        <v>0</v>
      </c>
      <c r="DA195" s="12">
        <v>0</v>
      </c>
      <c r="DB195" s="12">
        <v>0</v>
      </c>
      <c r="DC195" s="12">
        <v>0</v>
      </c>
      <c r="DD195" s="12">
        <v>0</v>
      </c>
      <c r="DE195" s="12">
        <v>0</v>
      </c>
      <c r="DF195" s="12">
        <v>0</v>
      </c>
      <c r="DG195" s="12">
        <v>0</v>
      </c>
      <c r="DH195" s="12">
        <v>0</v>
      </c>
      <c r="DI195" s="12">
        <v>0</v>
      </c>
      <c r="DJ195" s="12">
        <v>0</v>
      </c>
      <c r="DK195" s="12">
        <v>0</v>
      </c>
      <c r="DL195" s="12">
        <v>0</v>
      </c>
      <c r="DM195" s="12">
        <v>0</v>
      </c>
      <c r="DN195" s="12">
        <v>1</v>
      </c>
      <c r="DO195" s="12">
        <v>0</v>
      </c>
      <c r="DP195" s="12">
        <v>1</v>
      </c>
      <c r="DQ195" s="12">
        <v>0</v>
      </c>
      <c r="DR195" s="12">
        <v>-1</v>
      </c>
      <c r="DS195" s="12">
        <v>0</v>
      </c>
      <c r="DT195" s="12">
        <v>0</v>
      </c>
      <c r="DU195" s="12">
        <v>0</v>
      </c>
      <c r="DV195" s="12">
        <v>0</v>
      </c>
      <c r="DW195" s="12">
        <v>0</v>
      </c>
      <c r="DX195" s="12">
        <v>0</v>
      </c>
      <c r="DY195" s="12">
        <v>0</v>
      </c>
      <c r="DZ195" s="12">
        <v>0</v>
      </c>
      <c r="EA195" s="12">
        <v>0</v>
      </c>
      <c r="EB195" s="12">
        <v>0</v>
      </c>
      <c r="EC195" s="12">
        <v>0</v>
      </c>
      <c r="ED195" s="12">
        <v>0</v>
      </c>
      <c r="EE195" s="12">
        <v>0</v>
      </c>
      <c r="EF195" s="12">
        <v>0</v>
      </c>
      <c r="EG195" s="12">
        <v>1</v>
      </c>
      <c r="EH195" s="12">
        <v>0</v>
      </c>
      <c r="EI195" s="12">
        <v>0</v>
      </c>
      <c r="EJ195" s="12">
        <v>0</v>
      </c>
      <c r="EK195" s="12">
        <v>0</v>
      </c>
      <c r="EL195" s="12">
        <v>0</v>
      </c>
      <c r="EM195" s="12">
        <v>0</v>
      </c>
      <c r="EN195" s="12">
        <v>0</v>
      </c>
      <c r="EO195" s="12">
        <v>0</v>
      </c>
      <c r="EP195" s="12" t="str">
        <f t="shared" si="41"/>
        <v>🔴 Sin venta</v>
      </c>
      <c r="EQ195" s="23">
        <f t="shared" si="35"/>
        <v>4.1666666666666664E-2</v>
      </c>
      <c r="ER195" s="19">
        <f t="shared" si="34"/>
        <v>516.80999999999995</v>
      </c>
      <c r="ES195" s="12">
        <f t="shared" si="33"/>
        <v>1</v>
      </c>
      <c r="ET195" s="23">
        <f t="shared" si="44"/>
        <v>0</v>
      </c>
      <c r="EU195" s="23">
        <f t="shared" si="45"/>
        <v>0.5</v>
      </c>
      <c r="EV195" s="23">
        <f t="shared" si="46"/>
        <v>0</v>
      </c>
      <c r="EW195" s="23"/>
      <c r="EX195" s="12">
        <v>2</v>
      </c>
      <c r="EY195" s="19" cm="1">
        <f t="array" ref="EY195:FC195">VLOOKUP(_xlfn.SINGLE(B:B),'[1]Price List'!$B:$N,{8,4,5,6,7},0)</f>
        <v>516.80999999999995</v>
      </c>
      <c r="EZ195" s="9" t="str">
        <v>Speck Balance Folio Clear Case for iPad 10.2" 7/8/9 Gen - Marine Blue/Clear</v>
      </c>
      <c r="FA195" s="12" t="str">
        <v>Cases iPad</v>
      </c>
      <c r="FB195" s="12" t="str">
        <v>iPad</v>
      </c>
      <c r="FC195" s="12" t="str">
        <v>iPad 10.2"</v>
      </c>
      <c r="FD195" s="23" t="str">
        <f>_xlfn.XLOOKUP(B:B,'[1]Price List'!$B:$B,'[1]Price List'!$A:$A)</f>
        <v>Speck</v>
      </c>
    </row>
    <row r="196" spans="1:160" s="9" customFormat="1" x14ac:dyDescent="0.2">
      <c r="A196" s="23" t="s">
        <v>599</v>
      </c>
      <c r="B196" s="23">
        <v>848709095848</v>
      </c>
      <c r="C196" s="9" t="s">
        <v>92</v>
      </c>
      <c r="D196" s="9" t="e">
        <v>#N/A</v>
      </c>
      <c r="E196" s="9" t="e">
        <v>#N/A</v>
      </c>
      <c r="F196" s="9" t="e">
        <v>#N/A</v>
      </c>
      <c r="G196" s="9" t="s">
        <v>303</v>
      </c>
      <c r="H196" s="12" t="s">
        <v>93</v>
      </c>
      <c r="I196" s="11">
        <v>1349</v>
      </c>
      <c r="J196" s="11">
        <v>697.76</v>
      </c>
      <c r="K196" s="62">
        <v>0</v>
      </c>
      <c r="L196" s="12">
        <v>0</v>
      </c>
      <c r="M196" s="13" t="s">
        <v>467</v>
      </c>
      <c r="N196" s="13" t="s">
        <v>656</v>
      </c>
      <c r="O196" s="27">
        <v>43961</v>
      </c>
      <c r="P196" s="12">
        <v>2</v>
      </c>
      <c r="Q196" s="12">
        <v>2</v>
      </c>
      <c r="R196" s="12">
        <v>0</v>
      </c>
      <c r="S196" s="12">
        <v>1</v>
      </c>
      <c r="T196" s="12">
        <v>0</v>
      </c>
      <c r="U196" s="12">
        <v>0</v>
      </c>
      <c r="V196" s="12">
        <v>0</v>
      </c>
      <c r="W196" s="12">
        <v>1</v>
      </c>
      <c r="X196" s="12">
        <v>0</v>
      </c>
      <c r="Y196" s="12">
        <v>0</v>
      </c>
      <c r="Z196" s="12">
        <v>0</v>
      </c>
      <c r="AA196" s="12">
        <v>0</v>
      </c>
      <c r="AB196" s="12">
        <v>1</v>
      </c>
      <c r="AC196" s="12">
        <v>2</v>
      </c>
      <c r="AD196" s="12">
        <v>1</v>
      </c>
      <c r="AE196" s="12">
        <v>1</v>
      </c>
      <c r="AF196" s="12">
        <v>2</v>
      </c>
      <c r="AG196" s="12">
        <v>0</v>
      </c>
      <c r="AH196" s="12">
        <v>0</v>
      </c>
      <c r="AI196" s="12">
        <v>0</v>
      </c>
      <c r="AJ196" s="12">
        <v>0</v>
      </c>
      <c r="AK196" s="12">
        <v>0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1</v>
      </c>
      <c r="AS196" s="12">
        <v>0</v>
      </c>
      <c r="AT196" s="12">
        <v>0</v>
      </c>
      <c r="AU196" s="12">
        <v>1</v>
      </c>
      <c r="AV196" s="12">
        <v>1</v>
      </c>
      <c r="AW196" s="12">
        <v>0</v>
      </c>
      <c r="AX196" s="12">
        <v>0</v>
      </c>
      <c r="AY196" s="12">
        <v>1</v>
      </c>
      <c r="AZ196" s="12">
        <v>1</v>
      </c>
      <c r="BA196" s="12">
        <v>1</v>
      </c>
      <c r="BB196" s="12">
        <v>0</v>
      </c>
      <c r="BC196" s="12">
        <v>0</v>
      </c>
      <c r="BD196" s="12">
        <v>0</v>
      </c>
      <c r="BE196" s="12">
        <v>0</v>
      </c>
      <c r="BF196" s="12">
        <v>0</v>
      </c>
      <c r="BG196" s="12">
        <v>0</v>
      </c>
      <c r="BH196" s="12">
        <v>0</v>
      </c>
      <c r="BI196" s="12">
        <v>0</v>
      </c>
      <c r="BJ196" s="12">
        <v>1</v>
      </c>
      <c r="BK196" s="12">
        <v>0</v>
      </c>
      <c r="BL196" s="12">
        <v>0</v>
      </c>
      <c r="BM196" s="12">
        <v>0</v>
      </c>
      <c r="BN196" s="12">
        <v>0</v>
      </c>
      <c r="BO196" s="12">
        <v>0</v>
      </c>
      <c r="BP196" s="12">
        <v>0</v>
      </c>
      <c r="BQ196" s="12">
        <v>0</v>
      </c>
      <c r="BR196" s="12">
        <v>0</v>
      </c>
      <c r="BS196" s="12">
        <v>0</v>
      </c>
      <c r="BT196" s="12">
        <v>0</v>
      </c>
      <c r="BU196" s="12">
        <v>0</v>
      </c>
      <c r="BV196" s="12">
        <v>0</v>
      </c>
      <c r="BW196" s="12">
        <v>0</v>
      </c>
      <c r="BX196" s="12">
        <v>0</v>
      </c>
      <c r="BY196" s="12">
        <v>0</v>
      </c>
      <c r="BZ196" s="12">
        <v>0</v>
      </c>
      <c r="CA196" s="12">
        <v>0</v>
      </c>
      <c r="CB196" s="12">
        <v>0</v>
      </c>
      <c r="CC196" s="12">
        <v>0</v>
      </c>
      <c r="CD196" s="12">
        <v>0</v>
      </c>
      <c r="CE196" s="12">
        <v>0</v>
      </c>
      <c r="CF196" s="12">
        <v>0</v>
      </c>
      <c r="CG196" s="12">
        <v>0</v>
      </c>
      <c r="CH196" s="12">
        <v>0</v>
      </c>
      <c r="CI196" s="12">
        <v>0</v>
      </c>
      <c r="CJ196" s="12">
        <v>0</v>
      </c>
      <c r="CK196" s="12">
        <v>0</v>
      </c>
      <c r="CL196" s="12">
        <v>0</v>
      </c>
      <c r="CM196" s="12">
        <v>0</v>
      </c>
      <c r="CN196" s="12">
        <v>0</v>
      </c>
      <c r="CO196" s="12">
        <v>0</v>
      </c>
      <c r="CP196" s="12">
        <v>0</v>
      </c>
      <c r="CQ196" s="12">
        <v>0</v>
      </c>
      <c r="CR196" s="12">
        <v>0</v>
      </c>
      <c r="CS196" s="12">
        <v>0</v>
      </c>
      <c r="CT196" s="12">
        <v>0</v>
      </c>
      <c r="CU196" s="12">
        <v>0</v>
      </c>
      <c r="CV196" s="12">
        <v>0</v>
      </c>
      <c r="CW196" s="12">
        <v>0</v>
      </c>
      <c r="CX196" s="12">
        <v>0</v>
      </c>
      <c r="CY196" s="12">
        <v>0</v>
      </c>
      <c r="CZ196" s="12">
        <v>0</v>
      </c>
      <c r="DA196" s="12">
        <v>0</v>
      </c>
      <c r="DB196" s="12">
        <v>0</v>
      </c>
      <c r="DC196" s="12">
        <v>0</v>
      </c>
      <c r="DD196" s="12">
        <v>0</v>
      </c>
      <c r="DE196" s="12">
        <v>0</v>
      </c>
      <c r="DF196" s="12">
        <v>0</v>
      </c>
      <c r="DG196" s="12">
        <v>0</v>
      </c>
      <c r="DH196" s="12">
        <v>0</v>
      </c>
      <c r="DI196" s="12">
        <v>0</v>
      </c>
      <c r="DJ196" s="12">
        <v>0</v>
      </c>
      <c r="DK196" s="12">
        <v>0</v>
      </c>
      <c r="DL196" s="12">
        <v>0</v>
      </c>
      <c r="DM196" s="12">
        <v>0</v>
      </c>
      <c r="DN196" s="12">
        <v>0</v>
      </c>
      <c r="DO196" s="12">
        <v>1</v>
      </c>
      <c r="DP196" s="12">
        <v>0</v>
      </c>
      <c r="DQ196" s="12">
        <v>0</v>
      </c>
      <c r="DR196" s="12">
        <v>0</v>
      </c>
      <c r="DS196" s="12">
        <v>0</v>
      </c>
      <c r="DT196" s="12">
        <v>0</v>
      </c>
      <c r="DU196" s="12">
        <v>0</v>
      </c>
      <c r="DV196" s="12">
        <v>0</v>
      </c>
      <c r="DW196" s="12">
        <v>0</v>
      </c>
      <c r="DX196" s="12">
        <v>0</v>
      </c>
      <c r="DY196" s="12">
        <v>0</v>
      </c>
      <c r="DZ196" s="12">
        <v>0</v>
      </c>
      <c r="EA196" s="12">
        <v>0</v>
      </c>
      <c r="EB196" s="12">
        <v>0</v>
      </c>
      <c r="EC196" s="12">
        <v>0</v>
      </c>
      <c r="ED196" s="12">
        <v>0</v>
      </c>
      <c r="EE196" s="12">
        <v>0</v>
      </c>
      <c r="EF196" s="12">
        <v>0</v>
      </c>
      <c r="EG196" s="12">
        <v>0</v>
      </c>
      <c r="EH196" s="12">
        <v>0</v>
      </c>
      <c r="EI196" s="12">
        <v>0</v>
      </c>
      <c r="EJ196" s="12">
        <v>0</v>
      </c>
      <c r="EK196" s="12">
        <v>0</v>
      </c>
      <c r="EL196" s="12">
        <v>0</v>
      </c>
      <c r="EM196" s="12">
        <v>0</v>
      </c>
      <c r="EN196" s="12">
        <v>0</v>
      </c>
      <c r="EO196" s="12">
        <v>0</v>
      </c>
      <c r="EP196" s="12" t="str">
        <f t="shared" si="41"/>
        <v>🔴 Sin venta</v>
      </c>
      <c r="EQ196" s="23">
        <f t="shared" si="35"/>
        <v>0</v>
      </c>
      <c r="ER196" s="19">
        <f t="shared" si="34"/>
        <v>0</v>
      </c>
      <c r="ES196" s="12">
        <f t="shared" si="33"/>
        <v>0</v>
      </c>
      <c r="ET196" s="23">
        <f t="shared" si="44"/>
        <v>0</v>
      </c>
      <c r="EU196" s="23">
        <f t="shared" si="45"/>
        <v>0.5</v>
      </c>
      <c r="EV196" s="23">
        <f t="shared" si="46"/>
        <v>0</v>
      </c>
      <c r="EW196" s="23"/>
      <c r="EX196" s="12">
        <v>1</v>
      </c>
      <c r="EY196" s="19" cm="1">
        <f t="array" ref="EY196:FC196">VLOOKUP(_xlfn.SINGLE(B:B),'[1]Price List'!$B:$N,{8,4,5,6,7},0)</f>
        <v>697.76</v>
      </c>
      <c r="EZ196" s="9" t="str">
        <v>Speck Smartshell Onyx Black MacBook Air 13 Retina Display 2020</v>
      </c>
      <c r="FA196" s="12" t="str">
        <v>Cases Macbook</v>
      </c>
      <c r="FB196" s="12" t="str">
        <v>Macbook</v>
      </c>
      <c r="FC196" s="12" t="str">
        <v>MacBook Air 13" M2 Cases</v>
      </c>
      <c r="FD196" s="23" t="str">
        <f>_xlfn.XLOOKUP(B:B,'[1]Price List'!$B:$B,'[1]Price List'!$A:$A)</f>
        <v>Speck</v>
      </c>
    </row>
    <row r="197" spans="1:160" s="9" customFormat="1" x14ac:dyDescent="0.2">
      <c r="A197" s="23" t="s">
        <v>599</v>
      </c>
      <c r="B197" s="23">
        <v>840168508501</v>
      </c>
      <c r="C197" s="9" t="s">
        <v>138</v>
      </c>
      <c r="D197" s="9" t="s">
        <v>644</v>
      </c>
      <c r="E197" s="9" t="s">
        <v>305</v>
      </c>
      <c r="F197" s="9" t="s">
        <v>625</v>
      </c>
      <c r="G197" s="9" t="s">
        <v>305</v>
      </c>
      <c r="H197" s="12" t="s">
        <v>139</v>
      </c>
      <c r="I197" s="12">
        <v>369</v>
      </c>
      <c r="J197" s="11">
        <v>174.96</v>
      </c>
      <c r="K197" s="62">
        <v>0.5</v>
      </c>
      <c r="L197" s="19">
        <f>I197*(1-K197)</f>
        <v>184.5</v>
      </c>
      <c r="M197" s="13" t="s">
        <v>467</v>
      </c>
      <c r="N197" s="13" t="s">
        <v>656</v>
      </c>
      <c r="O197" s="27" t="s">
        <v>140</v>
      </c>
      <c r="P197" s="12">
        <v>1</v>
      </c>
      <c r="Q197" s="12">
        <v>1</v>
      </c>
      <c r="R197" s="12">
        <v>1</v>
      </c>
      <c r="S197" s="12">
        <v>0</v>
      </c>
      <c r="T197" s="12">
        <v>1</v>
      </c>
      <c r="U197" s="12">
        <v>2</v>
      </c>
      <c r="V197" s="12">
        <v>2</v>
      </c>
      <c r="W197" s="12">
        <v>0</v>
      </c>
      <c r="X197" s="12">
        <v>1</v>
      </c>
      <c r="Y197" s="12">
        <v>1</v>
      </c>
      <c r="Z197" s="12">
        <v>1</v>
      </c>
      <c r="AA197" s="12">
        <v>0</v>
      </c>
      <c r="AB197" s="12">
        <v>0</v>
      </c>
      <c r="AC197" s="12">
        <v>1</v>
      </c>
      <c r="AD197" s="12">
        <v>1</v>
      </c>
      <c r="AE197" s="12">
        <v>2</v>
      </c>
      <c r="AF197" s="12">
        <v>0</v>
      </c>
      <c r="AG197" s="12">
        <v>0</v>
      </c>
      <c r="AH197" s="12">
        <v>0</v>
      </c>
      <c r="AI197" s="12">
        <v>0</v>
      </c>
      <c r="AJ197" s="12">
        <v>1</v>
      </c>
      <c r="AK197" s="12">
        <v>2</v>
      </c>
      <c r="AL197" s="12">
        <v>0</v>
      </c>
      <c r="AM197" s="12">
        <v>0</v>
      </c>
      <c r="AN197" s="12">
        <v>1</v>
      </c>
      <c r="AO197" s="12">
        <v>0</v>
      </c>
      <c r="AP197" s="12">
        <v>1</v>
      </c>
      <c r="AQ197" s="12">
        <v>0</v>
      </c>
      <c r="AR197" s="12">
        <v>2</v>
      </c>
      <c r="AS197" s="12">
        <v>0</v>
      </c>
      <c r="AT197" s="12">
        <v>1</v>
      </c>
      <c r="AU197" s="12">
        <v>0</v>
      </c>
      <c r="AV197" s="12">
        <v>2</v>
      </c>
      <c r="AW197" s="12">
        <v>0</v>
      </c>
      <c r="AX197" s="12">
        <v>1</v>
      </c>
      <c r="AY197" s="12">
        <v>1</v>
      </c>
      <c r="AZ197" s="12">
        <v>3</v>
      </c>
      <c r="BA197" s="12">
        <v>3</v>
      </c>
      <c r="BB197" s="12">
        <v>0</v>
      </c>
      <c r="BC197" s="12">
        <v>1</v>
      </c>
      <c r="BD197" s="12">
        <v>4</v>
      </c>
      <c r="BE197" s="12">
        <v>1</v>
      </c>
      <c r="BF197" s="12">
        <v>3</v>
      </c>
      <c r="BG197" s="12">
        <v>0</v>
      </c>
      <c r="BH197" s="12">
        <v>2</v>
      </c>
      <c r="BI197" s="12">
        <v>0</v>
      </c>
      <c r="BJ197" s="12">
        <v>1</v>
      </c>
      <c r="BK197" s="12">
        <v>0</v>
      </c>
      <c r="BL197" s="12">
        <v>1</v>
      </c>
      <c r="BM197" s="12">
        <v>0</v>
      </c>
      <c r="BN197" s="12">
        <v>0</v>
      </c>
      <c r="BO197" s="12">
        <v>2</v>
      </c>
      <c r="BP197" s="12">
        <v>1</v>
      </c>
      <c r="BQ197" s="12">
        <v>0</v>
      </c>
      <c r="BR197" s="12">
        <v>2</v>
      </c>
      <c r="BS197" s="12">
        <v>2</v>
      </c>
      <c r="BT197" s="12">
        <v>0</v>
      </c>
      <c r="BU197" s="12">
        <v>2</v>
      </c>
      <c r="BV197" s="12">
        <v>1</v>
      </c>
      <c r="BW197" s="12">
        <v>0</v>
      </c>
      <c r="BX197" s="12">
        <v>0</v>
      </c>
      <c r="BY197" s="12">
        <v>1</v>
      </c>
      <c r="BZ197" s="12">
        <v>0</v>
      </c>
      <c r="CA197" s="12">
        <v>0</v>
      </c>
      <c r="CB197" s="12">
        <v>0</v>
      </c>
      <c r="CC197" s="12">
        <v>1</v>
      </c>
      <c r="CD197" s="12">
        <v>0</v>
      </c>
      <c r="CE197" s="12">
        <v>0</v>
      </c>
      <c r="CF197" s="12">
        <v>0</v>
      </c>
      <c r="CG197" s="12">
        <v>0</v>
      </c>
      <c r="CH197" s="12">
        <v>1</v>
      </c>
      <c r="CI197" s="12">
        <v>0</v>
      </c>
      <c r="CJ197" s="12">
        <v>0</v>
      </c>
      <c r="CK197" s="12">
        <v>0</v>
      </c>
      <c r="CL197" s="12">
        <v>1</v>
      </c>
      <c r="CM197" s="12">
        <v>0</v>
      </c>
      <c r="CN197" s="12">
        <v>0</v>
      </c>
      <c r="CO197" s="12">
        <v>4</v>
      </c>
      <c r="CP197" s="12">
        <v>0</v>
      </c>
      <c r="CQ197" s="12">
        <v>2</v>
      </c>
      <c r="CR197" s="12">
        <v>1</v>
      </c>
      <c r="CS197" s="12">
        <v>2</v>
      </c>
      <c r="CT197" s="12">
        <v>2</v>
      </c>
      <c r="CU197" s="12">
        <v>2</v>
      </c>
      <c r="CV197" s="12">
        <v>0</v>
      </c>
      <c r="CW197" s="12">
        <v>0</v>
      </c>
      <c r="CX197" s="12">
        <v>0</v>
      </c>
      <c r="CY197" s="12">
        <v>0</v>
      </c>
      <c r="CZ197" s="12">
        <v>0</v>
      </c>
      <c r="DA197" s="12">
        <v>1</v>
      </c>
      <c r="DB197" s="12">
        <v>1</v>
      </c>
      <c r="DC197" s="12">
        <v>1</v>
      </c>
      <c r="DD197" s="12">
        <v>0</v>
      </c>
      <c r="DE197" s="12">
        <v>0</v>
      </c>
      <c r="DF197" s="12">
        <v>0</v>
      </c>
      <c r="DG197" s="12">
        <v>1</v>
      </c>
      <c r="DH197" s="12">
        <v>0</v>
      </c>
      <c r="DI197" s="12">
        <v>1</v>
      </c>
      <c r="DJ197" s="12">
        <v>0</v>
      </c>
      <c r="DK197" s="12">
        <v>0</v>
      </c>
      <c r="DL197" s="12">
        <v>2</v>
      </c>
      <c r="DM197" s="12">
        <v>0</v>
      </c>
      <c r="DN197" s="12">
        <v>0</v>
      </c>
      <c r="DO197" s="12">
        <v>9</v>
      </c>
      <c r="DP197" s="12">
        <v>5</v>
      </c>
      <c r="DQ197" s="12">
        <v>5</v>
      </c>
      <c r="DR197" s="12">
        <v>2</v>
      </c>
      <c r="DS197" s="12">
        <v>4</v>
      </c>
      <c r="DT197" s="12">
        <v>2</v>
      </c>
      <c r="DU197" s="12">
        <v>0</v>
      </c>
      <c r="DV197" s="12">
        <v>1</v>
      </c>
      <c r="DW197" s="12">
        <v>0</v>
      </c>
      <c r="DX197" s="12">
        <v>1</v>
      </c>
      <c r="DY197" s="12">
        <v>1</v>
      </c>
      <c r="DZ197" s="12">
        <v>1</v>
      </c>
      <c r="EA197" s="12">
        <v>4</v>
      </c>
      <c r="EB197" s="12">
        <v>1</v>
      </c>
      <c r="EC197" s="12">
        <v>3</v>
      </c>
      <c r="ED197" s="12">
        <v>0</v>
      </c>
      <c r="EE197" s="12">
        <v>2</v>
      </c>
      <c r="EF197" s="12">
        <v>2</v>
      </c>
      <c r="EG197" s="12">
        <v>0</v>
      </c>
      <c r="EH197" s="12">
        <v>1</v>
      </c>
      <c r="EI197" s="12">
        <v>1</v>
      </c>
      <c r="EJ197" s="12">
        <v>0</v>
      </c>
      <c r="EK197" s="12">
        <v>2</v>
      </c>
      <c r="EL197" s="12">
        <v>1</v>
      </c>
      <c r="EM197" s="12">
        <v>0</v>
      </c>
      <c r="EN197" s="12">
        <v>1</v>
      </c>
      <c r="EO197" s="12">
        <v>0</v>
      </c>
      <c r="EP197" s="12" t="str">
        <f t="shared" si="41"/>
        <v>🟢 Bien</v>
      </c>
      <c r="EQ197" s="23">
        <f t="shared" si="35"/>
        <v>1.625</v>
      </c>
      <c r="ER197" s="19">
        <f t="shared" si="34"/>
        <v>6998.4000000000005</v>
      </c>
      <c r="ES197" s="12">
        <f t="shared" ref="ES197:ES253" si="47">SUM(DP197:EO197)</f>
        <v>40</v>
      </c>
      <c r="ET197" s="23">
        <f t="shared" si="44"/>
        <v>2</v>
      </c>
      <c r="EU197" s="23">
        <f t="shared" si="45"/>
        <v>6</v>
      </c>
      <c r="EV197" s="23">
        <f t="shared" si="46"/>
        <v>8</v>
      </c>
      <c r="EW197" s="23"/>
      <c r="EX197" s="12">
        <v>31</v>
      </c>
      <c r="EY197" s="19" cm="1">
        <f t="array" ref="EY197:FC197">VLOOKUP(_xlfn.SINGLE(B:B),'[1]Price List'!$B:$N,{8,4,5,6,7},0)</f>
        <v>174.96</v>
      </c>
      <c r="EZ197" s="9" t="str">
        <v>Speck Sililoop Airtag - Black</v>
      </c>
      <c r="FA197" s="12" t="str">
        <v>Cases AirTag</v>
      </c>
      <c r="FB197" s="12" t="str">
        <v>AirTag</v>
      </c>
      <c r="FC197" s="12" t="str">
        <v>AirTag</v>
      </c>
      <c r="FD197" s="23" t="str">
        <f>_xlfn.XLOOKUP(B:B,'[1]Price List'!$B:$B,'[1]Price List'!$A:$A)</f>
        <v>Speck</v>
      </c>
    </row>
    <row r="198" spans="1:160" s="9" customFormat="1" x14ac:dyDescent="0.2">
      <c r="A198" s="23" t="s">
        <v>599</v>
      </c>
      <c r="B198" s="23">
        <v>840168522316</v>
      </c>
      <c r="C198" s="9" t="s">
        <v>182</v>
      </c>
      <c r="D198" s="9" t="e">
        <v>#N/A</v>
      </c>
      <c r="E198" s="9" t="e">
        <v>#N/A</v>
      </c>
      <c r="F198" s="9" t="e">
        <v>#N/A</v>
      </c>
      <c r="G198" s="9" t="s">
        <v>690</v>
      </c>
      <c r="H198" s="12" t="s">
        <v>183</v>
      </c>
      <c r="I198" s="11">
        <v>1099</v>
      </c>
      <c r="J198" s="11">
        <v>426.34</v>
      </c>
      <c r="K198" s="62">
        <v>0</v>
      </c>
      <c r="L198" s="12">
        <v>0</v>
      </c>
      <c r="M198" s="13" t="s">
        <v>467</v>
      </c>
      <c r="N198" s="13" t="s">
        <v>656</v>
      </c>
      <c r="O198" s="27" t="s">
        <v>169</v>
      </c>
      <c r="P198" s="12">
        <v>1</v>
      </c>
      <c r="Q198" s="12">
        <v>1</v>
      </c>
      <c r="R198" s="12">
        <v>2</v>
      </c>
      <c r="S198" s="12">
        <v>3</v>
      </c>
      <c r="T198" s="12">
        <v>2</v>
      </c>
      <c r="U198" s="12">
        <v>5</v>
      </c>
      <c r="V198" s="12">
        <v>8</v>
      </c>
      <c r="W198" s="12">
        <v>3</v>
      </c>
      <c r="X198" s="12">
        <v>1</v>
      </c>
      <c r="Y198" s="12">
        <v>2</v>
      </c>
      <c r="Z198" s="12">
        <v>6</v>
      </c>
      <c r="AA198" s="12">
        <v>5</v>
      </c>
      <c r="AB198" s="12">
        <v>2</v>
      </c>
      <c r="AC198" s="12">
        <v>2</v>
      </c>
      <c r="AD198" s="12">
        <v>1</v>
      </c>
      <c r="AE198" s="12">
        <v>0</v>
      </c>
      <c r="AF198" s="12">
        <v>2</v>
      </c>
      <c r="AG198" s="12">
        <v>2</v>
      </c>
      <c r="AH198" s="12">
        <v>0</v>
      </c>
      <c r="AI198" s="12">
        <v>2</v>
      </c>
      <c r="AJ198" s="12">
        <v>0</v>
      </c>
      <c r="AK198" s="12">
        <v>0</v>
      </c>
      <c r="AL198" s="12">
        <v>2</v>
      </c>
      <c r="AM198" s="12">
        <v>1</v>
      </c>
      <c r="AN198" s="12">
        <v>1</v>
      </c>
      <c r="AO198" s="12">
        <v>0</v>
      </c>
      <c r="AP198" s="12">
        <v>1</v>
      </c>
      <c r="AQ198" s="12">
        <v>0</v>
      </c>
      <c r="AR198" s="12">
        <v>0</v>
      </c>
      <c r="AS198" s="12">
        <v>1</v>
      </c>
      <c r="AT198" s="12">
        <v>1</v>
      </c>
      <c r="AU198" s="12">
        <v>0</v>
      </c>
      <c r="AV198" s="12">
        <v>0</v>
      </c>
      <c r="AW198" s="12">
        <v>2</v>
      </c>
      <c r="AX198" s="12">
        <v>2</v>
      </c>
      <c r="AY198" s="12">
        <v>0</v>
      </c>
      <c r="AZ198" s="12">
        <v>1</v>
      </c>
      <c r="BA198" s="12">
        <v>1</v>
      </c>
      <c r="BB198" s="12">
        <v>0</v>
      </c>
      <c r="BC198" s="12">
        <v>0</v>
      </c>
      <c r="BD198" s="12">
        <v>0</v>
      </c>
      <c r="BE198" s="12">
        <v>0</v>
      </c>
      <c r="BF198" s="12">
        <v>0</v>
      </c>
      <c r="BG198" s="12">
        <v>0</v>
      </c>
      <c r="BH198" s="12">
        <v>0</v>
      </c>
      <c r="BI198" s="12">
        <v>0</v>
      </c>
      <c r="BJ198" s="12">
        <v>0</v>
      </c>
      <c r="BK198" s="12">
        <v>0</v>
      </c>
      <c r="BL198" s="12">
        <v>0</v>
      </c>
      <c r="BM198" s="12">
        <v>0</v>
      </c>
      <c r="BN198" s="12">
        <v>0</v>
      </c>
      <c r="BO198" s="12">
        <v>1</v>
      </c>
      <c r="BP198" s="12">
        <v>0</v>
      </c>
      <c r="BQ198" s="12">
        <v>0</v>
      </c>
      <c r="BR198" s="12">
        <v>0</v>
      </c>
      <c r="BS198" s="12">
        <v>0</v>
      </c>
      <c r="BT198" s="12">
        <v>0</v>
      </c>
      <c r="BU198" s="12">
        <v>0</v>
      </c>
      <c r="BV198" s="12">
        <v>0</v>
      </c>
      <c r="BW198" s="12">
        <v>0</v>
      </c>
      <c r="BX198" s="12">
        <v>0</v>
      </c>
      <c r="BY198" s="12">
        <v>0</v>
      </c>
      <c r="BZ198" s="12">
        <v>0</v>
      </c>
      <c r="CA198" s="12">
        <v>1</v>
      </c>
      <c r="CB198" s="12">
        <v>0</v>
      </c>
      <c r="CC198" s="12">
        <v>0</v>
      </c>
      <c r="CD198" s="12">
        <v>0</v>
      </c>
      <c r="CE198" s="12">
        <v>0</v>
      </c>
      <c r="CF198" s="12">
        <v>0</v>
      </c>
      <c r="CG198" s="12">
        <v>0</v>
      </c>
      <c r="CH198" s="12">
        <v>1</v>
      </c>
      <c r="CI198" s="12">
        <v>0</v>
      </c>
      <c r="CJ198" s="12">
        <v>0</v>
      </c>
      <c r="CK198" s="12">
        <v>0</v>
      </c>
      <c r="CL198" s="12">
        <v>0</v>
      </c>
      <c r="CM198" s="12">
        <v>0</v>
      </c>
      <c r="CN198" s="12">
        <v>0</v>
      </c>
      <c r="CO198" s="12">
        <v>0</v>
      </c>
      <c r="CP198" s="12">
        <v>0</v>
      </c>
      <c r="CQ198" s="12">
        <v>0</v>
      </c>
      <c r="CR198" s="12">
        <v>0</v>
      </c>
      <c r="CS198" s="12">
        <v>0</v>
      </c>
      <c r="CT198" s="12">
        <v>0</v>
      </c>
      <c r="CU198" s="12">
        <v>0</v>
      </c>
      <c r="CV198" s="12">
        <v>0</v>
      </c>
      <c r="CW198" s="12">
        <v>0</v>
      </c>
      <c r="CX198" s="12">
        <v>0</v>
      </c>
      <c r="CY198" s="12">
        <v>0</v>
      </c>
      <c r="CZ198" s="12">
        <v>0</v>
      </c>
      <c r="DA198" s="12">
        <v>0</v>
      </c>
      <c r="DB198" s="12">
        <v>0</v>
      </c>
      <c r="DC198" s="12">
        <v>0</v>
      </c>
      <c r="DD198" s="12">
        <v>0</v>
      </c>
      <c r="DE198" s="12">
        <v>0</v>
      </c>
      <c r="DF198" s="12">
        <v>0</v>
      </c>
      <c r="DG198" s="12">
        <v>0</v>
      </c>
      <c r="DH198" s="12">
        <v>0</v>
      </c>
      <c r="DI198" s="12">
        <v>0</v>
      </c>
      <c r="DJ198" s="12">
        <v>0</v>
      </c>
      <c r="DK198" s="12">
        <v>0</v>
      </c>
      <c r="DL198" s="12">
        <v>0</v>
      </c>
      <c r="DM198" s="12">
        <v>0</v>
      </c>
      <c r="DN198" s="12">
        <v>0</v>
      </c>
      <c r="DO198" s="12">
        <v>0</v>
      </c>
      <c r="DP198" s="12">
        <v>1</v>
      </c>
      <c r="DQ198" s="12">
        <v>0</v>
      </c>
      <c r="DR198" s="12">
        <v>0</v>
      </c>
      <c r="DS198" s="12">
        <v>0</v>
      </c>
      <c r="DT198" s="12">
        <v>0</v>
      </c>
      <c r="DU198" s="12">
        <v>0</v>
      </c>
      <c r="DV198" s="12">
        <v>0</v>
      </c>
      <c r="DW198" s="12">
        <v>0</v>
      </c>
      <c r="DX198" s="12">
        <v>0</v>
      </c>
      <c r="DY198" s="12">
        <v>0</v>
      </c>
      <c r="DZ198" s="12">
        <v>0</v>
      </c>
      <c r="EA198" s="12">
        <v>0</v>
      </c>
      <c r="EB198" s="12">
        <v>0</v>
      </c>
      <c r="EC198" s="12">
        <v>0</v>
      </c>
      <c r="ED198" s="12">
        <v>0</v>
      </c>
      <c r="EE198" s="12">
        <v>0</v>
      </c>
      <c r="EF198" s="12">
        <v>0</v>
      </c>
      <c r="EG198" s="12">
        <v>0</v>
      </c>
      <c r="EH198" s="12">
        <v>0</v>
      </c>
      <c r="EI198" s="12">
        <v>0</v>
      </c>
      <c r="EJ198" s="12">
        <v>0</v>
      </c>
      <c r="EK198" s="12">
        <v>0</v>
      </c>
      <c r="EL198" s="12">
        <v>0</v>
      </c>
      <c r="EM198" s="12">
        <v>0</v>
      </c>
      <c r="EN198" s="12">
        <v>0</v>
      </c>
      <c r="EO198" s="12">
        <v>0</v>
      </c>
      <c r="EP198" s="12" t="str">
        <f t="shared" si="41"/>
        <v>🔴 Sin venta</v>
      </c>
      <c r="EQ198" s="23">
        <f t="shared" si="35"/>
        <v>4.1666666666666664E-2</v>
      </c>
      <c r="ER198" s="19">
        <f t="shared" ref="ER198:ER253" si="48">J198*ES198</f>
        <v>426.34</v>
      </c>
      <c r="ES198" s="12">
        <f t="shared" si="47"/>
        <v>1</v>
      </c>
      <c r="ET198" s="23">
        <f t="shared" si="44"/>
        <v>0</v>
      </c>
      <c r="EU198" s="23">
        <f t="shared" si="45"/>
        <v>0</v>
      </c>
      <c r="EV198" s="23">
        <f t="shared" si="46"/>
        <v>0.27</v>
      </c>
      <c r="EW198" s="23"/>
      <c r="EX198" s="12">
        <v>1</v>
      </c>
      <c r="EY198" s="19" cm="1">
        <f t="array" ref="EY198:FC198">VLOOKUP(_xlfn.SINGLE(B:B),'[1]Price List'!$B:$N,{8,4,5,6,7},0)</f>
        <v>426.34</v>
      </c>
      <c r="EZ198" s="9" t="str">
        <v>Speck Presidio Perfect Mist Case with MagSafe for iPhone 13/14 - Coastal Blue</v>
      </c>
      <c r="FA198" s="12" t="str">
        <v>Cases iPhone</v>
      </c>
      <c r="FB198" s="12" t="str">
        <v>iPhone 14</v>
      </c>
      <c r="FC198" s="12" t="str">
        <v>iPhone 13/14</v>
      </c>
      <c r="FD198" s="23" t="str">
        <f>_xlfn.XLOOKUP(B:B,'[1]Price List'!$B:$B,'[1]Price List'!$A:$A)</f>
        <v>Speck</v>
      </c>
    </row>
    <row r="199" spans="1:160" s="9" customFormat="1" x14ac:dyDescent="0.2">
      <c r="A199" s="23" t="s">
        <v>599</v>
      </c>
      <c r="B199" s="23">
        <v>840168524327</v>
      </c>
      <c r="C199" s="9" t="s">
        <v>212</v>
      </c>
      <c r="D199" s="9" t="e">
        <v>#N/A</v>
      </c>
      <c r="E199" s="9" t="e">
        <v>#N/A</v>
      </c>
      <c r="F199" s="9" t="e">
        <v>#N/A</v>
      </c>
      <c r="G199" s="9" t="s">
        <v>633</v>
      </c>
      <c r="H199" s="12" t="s">
        <v>213</v>
      </c>
      <c r="I199" s="11">
        <v>1099</v>
      </c>
      <c r="J199" s="11">
        <v>568.45000000000005</v>
      </c>
      <c r="K199" s="62">
        <v>0</v>
      </c>
      <c r="L199" s="12">
        <v>879</v>
      </c>
      <c r="M199" s="13" t="s">
        <v>467</v>
      </c>
      <c r="N199" s="13" t="s">
        <v>656</v>
      </c>
      <c r="O199" s="27" t="s">
        <v>169</v>
      </c>
      <c r="P199" s="12">
        <v>1</v>
      </c>
      <c r="Q199" s="12">
        <v>1</v>
      </c>
      <c r="R199" s="12">
        <v>1</v>
      </c>
      <c r="S199" s="12">
        <v>0</v>
      </c>
      <c r="T199" s="12">
        <v>0</v>
      </c>
      <c r="U199" s="12">
        <v>1</v>
      </c>
      <c r="V199" s="12">
        <v>1</v>
      </c>
      <c r="W199" s="12">
        <v>2</v>
      </c>
      <c r="X199" s="12">
        <v>1</v>
      </c>
      <c r="Y199" s="12">
        <v>1</v>
      </c>
      <c r="Z199" s="12">
        <v>0</v>
      </c>
      <c r="AA199" s="12">
        <v>3</v>
      </c>
      <c r="AB199" s="12">
        <v>1</v>
      </c>
      <c r="AC199" s="12">
        <v>3</v>
      </c>
      <c r="AD199" s="12">
        <v>0</v>
      </c>
      <c r="AE199" s="12">
        <v>0</v>
      </c>
      <c r="AF199" s="12">
        <v>1</v>
      </c>
      <c r="AG199" s="12">
        <v>1</v>
      </c>
      <c r="AH199" s="12">
        <v>2</v>
      </c>
      <c r="AI199" s="12">
        <v>0</v>
      </c>
      <c r="AJ199" s="12">
        <v>0</v>
      </c>
      <c r="AK199" s="12">
        <v>1</v>
      </c>
      <c r="AL199" s="12">
        <v>0</v>
      </c>
      <c r="AM199" s="12">
        <v>2</v>
      </c>
      <c r="AN199" s="12">
        <v>1</v>
      </c>
      <c r="AO199" s="12">
        <v>3</v>
      </c>
      <c r="AP199" s="12">
        <v>1</v>
      </c>
      <c r="AQ199" s="12">
        <v>1</v>
      </c>
      <c r="AR199" s="12">
        <v>2</v>
      </c>
      <c r="AS199" s="12">
        <v>2</v>
      </c>
      <c r="AT199" s="12">
        <v>2</v>
      </c>
      <c r="AU199" s="12">
        <v>0</v>
      </c>
      <c r="AV199" s="12">
        <v>2</v>
      </c>
      <c r="AW199" s="12">
        <v>9</v>
      </c>
      <c r="AX199" s="12">
        <v>5</v>
      </c>
      <c r="AY199" s="12">
        <v>4</v>
      </c>
      <c r="AZ199" s="12">
        <v>1</v>
      </c>
      <c r="BA199" s="12">
        <v>7</v>
      </c>
      <c r="BB199" s="12">
        <v>4</v>
      </c>
      <c r="BC199" s="12">
        <v>2</v>
      </c>
      <c r="BD199" s="12">
        <v>4</v>
      </c>
      <c r="BE199" s="12">
        <v>1</v>
      </c>
      <c r="BF199" s="12">
        <v>1</v>
      </c>
      <c r="BG199" s="12">
        <v>1</v>
      </c>
      <c r="BH199" s="12">
        <v>2</v>
      </c>
      <c r="BI199" s="12">
        <v>0</v>
      </c>
      <c r="BJ199" s="12">
        <v>0</v>
      </c>
      <c r="BK199" s="12">
        <v>0</v>
      </c>
      <c r="BL199" s="12">
        <v>0</v>
      </c>
      <c r="BM199" s="12">
        <v>0</v>
      </c>
      <c r="BN199" s="12">
        <v>1</v>
      </c>
      <c r="BO199" s="12">
        <v>0</v>
      </c>
      <c r="BP199" s="12">
        <v>0</v>
      </c>
      <c r="BQ199" s="12">
        <v>0</v>
      </c>
      <c r="BR199" s="12">
        <v>0</v>
      </c>
      <c r="BS199" s="12">
        <v>0</v>
      </c>
      <c r="BT199" s="12">
        <v>0</v>
      </c>
      <c r="BU199" s="12">
        <v>0</v>
      </c>
      <c r="BV199" s="12">
        <v>0</v>
      </c>
      <c r="BW199" s="12">
        <v>0</v>
      </c>
      <c r="BX199" s="12">
        <v>1</v>
      </c>
      <c r="BY199" s="12">
        <v>0</v>
      </c>
      <c r="BZ199" s="12">
        <v>1</v>
      </c>
      <c r="CA199" s="12">
        <v>0</v>
      </c>
      <c r="CB199" s="12">
        <v>0</v>
      </c>
      <c r="CC199" s="12">
        <v>0</v>
      </c>
      <c r="CD199" s="12">
        <v>1</v>
      </c>
      <c r="CE199" s="12">
        <v>0</v>
      </c>
      <c r="CF199" s="12">
        <v>0</v>
      </c>
      <c r="CG199" s="12">
        <v>0</v>
      </c>
      <c r="CH199" s="12">
        <v>1</v>
      </c>
      <c r="CI199" s="12">
        <v>0</v>
      </c>
      <c r="CJ199" s="12">
        <v>0</v>
      </c>
      <c r="CK199" s="12">
        <v>0</v>
      </c>
      <c r="CL199" s="12">
        <v>0</v>
      </c>
      <c r="CM199" s="12">
        <v>0</v>
      </c>
      <c r="CN199" s="12">
        <v>0</v>
      </c>
      <c r="CO199" s="12">
        <v>0</v>
      </c>
      <c r="CP199" s="12">
        <v>0</v>
      </c>
      <c r="CQ199" s="12">
        <v>0</v>
      </c>
      <c r="CR199" s="12">
        <v>0</v>
      </c>
      <c r="CS199" s="12">
        <v>0</v>
      </c>
      <c r="CT199" s="12">
        <v>0</v>
      </c>
      <c r="CU199" s="12">
        <v>0</v>
      </c>
      <c r="CV199" s="12">
        <v>0</v>
      </c>
      <c r="CW199" s="12">
        <v>0</v>
      </c>
      <c r="CX199" s="12">
        <v>0</v>
      </c>
      <c r="CY199" s="12">
        <v>0</v>
      </c>
      <c r="CZ199" s="12">
        <v>0</v>
      </c>
      <c r="DA199" s="12">
        <v>0</v>
      </c>
      <c r="DB199" s="12">
        <v>0</v>
      </c>
      <c r="DC199" s="12">
        <v>0</v>
      </c>
      <c r="DD199" s="12">
        <v>0</v>
      </c>
      <c r="DE199" s="12">
        <v>0</v>
      </c>
      <c r="DF199" s="12">
        <v>0</v>
      </c>
      <c r="DG199" s="12">
        <v>0</v>
      </c>
      <c r="DH199" s="12">
        <v>0</v>
      </c>
      <c r="DI199" s="12">
        <v>0</v>
      </c>
      <c r="DJ199" s="12">
        <v>0</v>
      </c>
      <c r="DK199" s="12">
        <v>1</v>
      </c>
      <c r="DL199" s="12">
        <v>0</v>
      </c>
      <c r="DM199" s="12">
        <v>0</v>
      </c>
      <c r="DN199" s="12">
        <v>0</v>
      </c>
      <c r="DO199" s="12">
        <v>0</v>
      </c>
      <c r="DP199" s="12">
        <v>0</v>
      </c>
      <c r="DQ199" s="12">
        <v>0</v>
      </c>
      <c r="DR199" s="12">
        <v>0</v>
      </c>
      <c r="DS199" s="12">
        <v>0</v>
      </c>
      <c r="DT199" s="12">
        <v>0</v>
      </c>
      <c r="DU199" s="12">
        <v>0</v>
      </c>
      <c r="DV199" s="12">
        <v>0</v>
      </c>
      <c r="DW199" s="12">
        <v>0</v>
      </c>
      <c r="DX199" s="12">
        <v>0</v>
      </c>
      <c r="DY199" s="12">
        <v>0</v>
      </c>
      <c r="DZ199" s="12">
        <v>0</v>
      </c>
      <c r="EA199" s="12">
        <v>0</v>
      </c>
      <c r="EB199" s="12">
        <v>0</v>
      </c>
      <c r="EC199" s="12">
        <v>0</v>
      </c>
      <c r="ED199" s="12">
        <v>0</v>
      </c>
      <c r="EE199" s="12">
        <v>0</v>
      </c>
      <c r="EF199" s="12">
        <v>0</v>
      </c>
      <c r="EG199" s="12">
        <v>0</v>
      </c>
      <c r="EH199" s="12">
        <v>0</v>
      </c>
      <c r="EI199" s="12">
        <v>0</v>
      </c>
      <c r="EJ199" s="12">
        <v>0</v>
      </c>
      <c r="EK199" s="12">
        <v>0</v>
      </c>
      <c r="EL199" s="12">
        <v>0</v>
      </c>
      <c r="EM199" s="12">
        <v>1</v>
      </c>
      <c r="EN199" s="12">
        <v>0</v>
      </c>
      <c r="EO199" s="12">
        <v>0</v>
      </c>
      <c r="EP199" s="12" t="str">
        <f t="shared" ref="EP199:EP253" si="49">IF(EL199=0,"🔴 Sin venta",IF(EL199&lt;EQ237*0.8,"🟠 Bajo",IF(EL237&lt;=EQ199*1.2,"🟢 Bien","🔵 Sobre promedio")))</f>
        <v>🔴 Sin venta</v>
      </c>
      <c r="EQ199" s="23">
        <f t="shared" ref="EQ199:EQ253" si="50">AVERAGE(DP199:EM199)</f>
        <v>4.1666666666666664E-2</v>
      </c>
      <c r="ER199" s="19">
        <f t="shared" si="48"/>
        <v>568.45000000000005</v>
      </c>
      <c r="ES199" s="12">
        <f t="shared" si="47"/>
        <v>1</v>
      </c>
      <c r="ET199" s="23">
        <f t="shared" si="44"/>
        <v>0</v>
      </c>
      <c r="EU199" s="23">
        <f t="shared" si="45"/>
        <v>0.5</v>
      </c>
      <c r="EV199" s="23">
        <f t="shared" si="46"/>
        <v>0</v>
      </c>
      <c r="EW199" s="23"/>
      <c r="EX199" s="12">
        <v>7</v>
      </c>
      <c r="EY199" s="19" cm="1">
        <f t="array" ref="EY199:FC199">VLOOKUP(_xlfn.SINGLE(B:B),'[1]Price List'!$B:$N,{8,4,5,6,7},0)</f>
        <v>568.45000000000005</v>
      </c>
      <c r="EZ199" s="9" t="str">
        <v>Speck Presidio Perfect Mist Case with MagSafe for iPhone 14 Plus - Obsidian/Obsidi</v>
      </c>
      <c r="FA199" s="12" t="str">
        <v>Cases iPhone</v>
      </c>
      <c r="FB199" s="12" t="str">
        <v>iPhone 14</v>
      </c>
      <c r="FC199" s="12" t="str">
        <v>iPhone 14 Plus</v>
      </c>
      <c r="FD199" s="23" t="str">
        <f>_xlfn.XLOOKUP(B:B,'[1]Price List'!$B:$B,'[1]Price List'!$A:$A)</f>
        <v>Speck</v>
      </c>
    </row>
    <row r="200" spans="1:160" s="9" customFormat="1" x14ac:dyDescent="0.2">
      <c r="A200" s="23" t="s">
        <v>599</v>
      </c>
      <c r="B200" s="23">
        <v>840168509515</v>
      </c>
      <c r="C200" s="9" t="s">
        <v>141</v>
      </c>
      <c r="D200" s="9" t="s">
        <v>644</v>
      </c>
      <c r="E200" s="9" t="s">
        <v>305</v>
      </c>
      <c r="F200" s="9" t="s">
        <v>625</v>
      </c>
      <c r="G200" s="9" t="s">
        <v>305</v>
      </c>
      <c r="H200" s="12" t="s">
        <v>142</v>
      </c>
      <c r="I200" s="12">
        <v>369</v>
      </c>
      <c r="J200" s="11">
        <v>143.15</v>
      </c>
      <c r="K200" s="62">
        <v>0.5</v>
      </c>
      <c r="L200" s="19">
        <f>I200*(1-K200)</f>
        <v>184.5</v>
      </c>
      <c r="M200" s="13" t="s">
        <v>467</v>
      </c>
      <c r="N200" s="13" t="s">
        <v>475</v>
      </c>
      <c r="O200" s="27" t="s">
        <v>140</v>
      </c>
      <c r="P200" s="12">
        <v>0</v>
      </c>
      <c r="Q200" s="12">
        <v>1</v>
      </c>
      <c r="R200" s="12">
        <v>0</v>
      </c>
      <c r="S200" s="12">
        <v>0</v>
      </c>
      <c r="T200" s="12">
        <v>1</v>
      </c>
      <c r="U200" s="12">
        <v>2</v>
      </c>
      <c r="V200" s="12">
        <v>3</v>
      </c>
      <c r="W200" s="12">
        <v>2</v>
      </c>
      <c r="X200" s="12">
        <v>1</v>
      </c>
      <c r="Y200" s="12">
        <v>0</v>
      </c>
      <c r="Z200" s="12">
        <v>0</v>
      </c>
      <c r="AA200" s="12">
        <v>0</v>
      </c>
      <c r="AB200" s="12">
        <v>2</v>
      </c>
      <c r="AC200" s="12">
        <v>1</v>
      </c>
      <c r="AD200" s="12">
        <v>0</v>
      </c>
      <c r="AE200" s="12">
        <v>2</v>
      </c>
      <c r="AF200" s="12">
        <v>0</v>
      </c>
      <c r="AG200" s="12">
        <v>0</v>
      </c>
      <c r="AH200" s="12">
        <v>2</v>
      </c>
      <c r="AI200" s="12">
        <v>0</v>
      </c>
      <c r="AJ200" s="12">
        <v>0</v>
      </c>
      <c r="AK200" s="12">
        <v>0</v>
      </c>
      <c r="AL200" s="12">
        <v>0</v>
      </c>
      <c r="AM200" s="12">
        <v>0</v>
      </c>
      <c r="AN200" s="12">
        <v>0</v>
      </c>
      <c r="AO200" s="12">
        <v>0</v>
      </c>
      <c r="AP200" s="12">
        <v>1</v>
      </c>
      <c r="AQ200" s="12">
        <v>1</v>
      </c>
      <c r="AR200" s="12">
        <v>0</v>
      </c>
      <c r="AS200" s="12">
        <v>0</v>
      </c>
      <c r="AT200" s="12">
        <v>0</v>
      </c>
      <c r="AU200" s="12">
        <v>0</v>
      </c>
      <c r="AV200" s="12">
        <v>0</v>
      </c>
      <c r="AW200" s="12">
        <v>1</v>
      </c>
      <c r="AX200" s="12">
        <v>1</v>
      </c>
      <c r="AY200" s="12">
        <v>1</v>
      </c>
      <c r="AZ200" s="12">
        <v>1</v>
      </c>
      <c r="BA200" s="12">
        <v>0</v>
      </c>
      <c r="BB200" s="12">
        <v>1</v>
      </c>
      <c r="BC200" s="12">
        <v>0</v>
      </c>
      <c r="BD200" s="12">
        <v>3</v>
      </c>
      <c r="BE200" s="12">
        <v>0</v>
      </c>
      <c r="BF200" s="12">
        <v>2</v>
      </c>
      <c r="BG200" s="12">
        <v>0</v>
      </c>
      <c r="BH200" s="12">
        <v>1</v>
      </c>
      <c r="BI200" s="12">
        <v>0</v>
      </c>
      <c r="BJ200" s="12">
        <v>2</v>
      </c>
      <c r="BK200" s="12">
        <v>0</v>
      </c>
      <c r="BL200" s="12">
        <v>0</v>
      </c>
      <c r="BM200" s="12">
        <v>0</v>
      </c>
      <c r="BN200" s="12">
        <v>1</v>
      </c>
      <c r="BO200" s="12">
        <v>1</v>
      </c>
      <c r="BP200" s="12">
        <v>0</v>
      </c>
      <c r="BQ200" s="12">
        <v>0</v>
      </c>
      <c r="BR200" s="12">
        <v>0</v>
      </c>
      <c r="BS200" s="12">
        <v>0</v>
      </c>
      <c r="BT200" s="12">
        <v>0</v>
      </c>
      <c r="BU200" s="12">
        <v>4</v>
      </c>
      <c r="BV200" s="12">
        <v>0</v>
      </c>
      <c r="BW200" s="12">
        <v>1</v>
      </c>
      <c r="BX200" s="12">
        <v>0</v>
      </c>
      <c r="BY200" s="12">
        <v>0</v>
      </c>
      <c r="BZ200" s="12">
        <v>0</v>
      </c>
      <c r="CA200" s="12">
        <v>0</v>
      </c>
      <c r="CB200" s="12">
        <v>0</v>
      </c>
      <c r="CC200" s="12">
        <v>0</v>
      </c>
      <c r="CD200" s="12">
        <v>0</v>
      </c>
      <c r="CE200" s="12">
        <v>1</v>
      </c>
      <c r="CF200" s="12">
        <v>0</v>
      </c>
      <c r="CG200" s="12">
        <v>0</v>
      </c>
      <c r="CH200" s="12">
        <v>1</v>
      </c>
      <c r="CI200" s="12">
        <v>0</v>
      </c>
      <c r="CJ200" s="12">
        <v>0</v>
      </c>
      <c r="CK200" s="12">
        <v>5</v>
      </c>
      <c r="CL200" s="12">
        <v>0</v>
      </c>
      <c r="CM200" s="12">
        <v>1</v>
      </c>
      <c r="CN200" s="12">
        <v>0</v>
      </c>
      <c r="CO200" s="12">
        <v>2</v>
      </c>
      <c r="CP200" s="12">
        <v>0</v>
      </c>
      <c r="CQ200" s="12">
        <v>1</v>
      </c>
      <c r="CR200" s="12">
        <v>1</v>
      </c>
      <c r="CS200" s="12">
        <v>2</v>
      </c>
      <c r="CT200" s="12">
        <v>0</v>
      </c>
      <c r="CU200" s="12">
        <v>1</v>
      </c>
      <c r="CV200" s="12">
        <v>0</v>
      </c>
      <c r="CW200" s="12">
        <v>0</v>
      </c>
      <c r="CX200" s="12">
        <v>0</v>
      </c>
      <c r="CY200" s="12">
        <v>0</v>
      </c>
      <c r="CZ200" s="12">
        <v>0</v>
      </c>
      <c r="DA200" s="12">
        <v>0</v>
      </c>
      <c r="DB200" s="12">
        <v>0</v>
      </c>
      <c r="DC200" s="12">
        <v>1</v>
      </c>
      <c r="DD200" s="12">
        <v>0</v>
      </c>
      <c r="DE200" s="12">
        <v>1</v>
      </c>
      <c r="DF200" s="12">
        <v>0</v>
      </c>
      <c r="DG200" s="12">
        <v>1</v>
      </c>
      <c r="DH200" s="12">
        <v>0</v>
      </c>
      <c r="DI200" s="12">
        <v>2</v>
      </c>
      <c r="DJ200" s="12">
        <v>2</v>
      </c>
      <c r="DK200" s="12">
        <v>0</v>
      </c>
      <c r="DL200" s="12">
        <v>0</v>
      </c>
      <c r="DM200" s="12">
        <v>2</v>
      </c>
      <c r="DN200" s="12">
        <v>0</v>
      </c>
      <c r="DO200" s="12">
        <v>4</v>
      </c>
      <c r="DP200" s="12">
        <v>7</v>
      </c>
      <c r="DQ200" s="12">
        <v>5</v>
      </c>
      <c r="DR200" s="12">
        <v>0</v>
      </c>
      <c r="DS200" s="12">
        <v>7</v>
      </c>
      <c r="DT200" s="12">
        <v>4</v>
      </c>
      <c r="DU200" s="12">
        <v>2</v>
      </c>
      <c r="DV200" s="12">
        <v>3</v>
      </c>
      <c r="DW200" s="12">
        <v>0</v>
      </c>
      <c r="DX200" s="12">
        <v>1</v>
      </c>
      <c r="DY200" s="12">
        <v>3</v>
      </c>
      <c r="DZ200" s="12">
        <v>3</v>
      </c>
      <c r="EA200" s="12">
        <v>6</v>
      </c>
      <c r="EB200" s="12">
        <v>3</v>
      </c>
      <c r="EC200" s="12">
        <v>1</v>
      </c>
      <c r="ED200" s="12">
        <v>3</v>
      </c>
      <c r="EE200" s="12">
        <v>6</v>
      </c>
      <c r="EF200" s="12">
        <v>1</v>
      </c>
      <c r="EG200" s="12">
        <v>0</v>
      </c>
      <c r="EH200" s="12">
        <v>0</v>
      </c>
      <c r="EI200" s="12">
        <v>1</v>
      </c>
      <c r="EJ200" s="12">
        <v>0</v>
      </c>
      <c r="EK200" s="12">
        <v>4</v>
      </c>
      <c r="EL200" s="12">
        <v>0</v>
      </c>
      <c r="EM200" s="12">
        <v>1</v>
      </c>
      <c r="EN200" s="12">
        <v>0</v>
      </c>
      <c r="EO200" s="12">
        <v>3</v>
      </c>
      <c r="EP200" s="12" t="str">
        <f t="shared" si="49"/>
        <v>🔴 Sin venta</v>
      </c>
      <c r="EQ200" s="23">
        <f t="shared" si="50"/>
        <v>2.5416666666666665</v>
      </c>
      <c r="ER200" s="19">
        <f t="shared" si="48"/>
        <v>9161.6</v>
      </c>
      <c r="ES200" s="12">
        <f t="shared" si="47"/>
        <v>64</v>
      </c>
      <c r="ET200" s="23">
        <f t="shared" si="44"/>
        <v>1.5</v>
      </c>
      <c r="EU200" s="23">
        <f t="shared" si="45"/>
        <v>5</v>
      </c>
      <c r="EV200" s="23">
        <f t="shared" si="46"/>
        <v>12.8</v>
      </c>
      <c r="EW200" s="23"/>
      <c r="EX200" s="12">
        <v>43</v>
      </c>
      <c r="EY200" s="19" cm="1">
        <f t="array" ref="EY200:FC200">VLOOKUP(_xlfn.SINGLE(B:B),'[1]Price List'!$B:$N,{8,4,5,6,7},0)</f>
        <v>143.15</v>
      </c>
      <c r="EZ200" s="9" t="str">
        <v>Speck Sililoop Airtag - Coastal Blue</v>
      </c>
      <c r="FA200" s="12" t="str">
        <v>Cases AirTag</v>
      </c>
      <c r="FB200" s="12" t="str">
        <v>AirTag</v>
      </c>
      <c r="FC200" s="12" t="str">
        <v>AirTag</v>
      </c>
      <c r="FD200" s="23" t="str">
        <f>_xlfn.XLOOKUP(B:B,'[1]Price List'!$B:$B,'[1]Price List'!$A:$A)</f>
        <v>Speck</v>
      </c>
    </row>
    <row r="201" spans="1:160" s="9" customFormat="1" x14ac:dyDescent="0.2">
      <c r="A201" s="23" t="s">
        <v>599</v>
      </c>
      <c r="B201" s="23">
        <v>840168524259</v>
      </c>
      <c r="C201" s="9" t="s">
        <v>210</v>
      </c>
      <c r="D201" s="9" t="e">
        <v>#N/A</v>
      </c>
      <c r="E201" s="9" t="e">
        <v>#N/A</v>
      </c>
      <c r="F201" s="9" t="e">
        <v>#N/A</v>
      </c>
      <c r="G201" s="9" t="s">
        <v>633</v>
      </c>
      <c r="H201" s="12" t="s">
        <v>211</v>
      </c>
      <c r="I201" s="11">
        <v>1099</v>
      </c>
      <c r="J201" s="11">
        <v>568.45000000000005</v>
      </c>
      <c r="K201" s="62">
        <v>0</v>
      </c>
      <c r="L201" s="12">
        <v>879</v>
      </c>
      <c r="M201" s="13" t="s">
        <v>467</v>
      </c>
      <c r="N201" s="13" t="s">
        <v>656</v>
      </c>
      <c r="O201" s="27" t="s">
        <v>169</v>
      </c>
      <c r="P201" s="12">
        <v>0</v>
      </c>
      <c r="Q201" s="12">
        <v>1</v>
      </c>
      <c r="R201" s="12">
        <v>2</v>
      </c>
      <c r="S201" s="12">
        <v>0</v>
      </c>
      <c r="T201" s="12">
        <v>1</v>
      </c>
      <c r="U201" s="12">
        <v>3</v>
      </c>
      <c r="V201" s="12">
        <v>4</v>
      </c>
      <c r="W201" s="12">
        <v>3</v>
      </c>
      <c r="X201" s="12">
        <v>2</v>
      </c>
      <c r="Y201" s="12">
        <v>1</v>
      </c>
      <c r="Z201" s="12">
        <v>2</v>
      </c>
      <c r="AA201" s="12">
        <v>3</v>
      </c>
      <c r="AB201" s="12">
        <v>2</v>
      </c>
      <c r="AC201" s="12">
        <v>1</v>
      </c>
      <c r="AD201" s="12">
        <v>3</v>
      </c>
      <c r="AE201" s="12">
        <v>2</v>
      </c>
      <c r="AF201" s="12">
        <v>0</v>
      </c>
      <c r="AG201" s="12">
        <v>1</v>
      </c>
      <c r="AH201" s="12">
        <v>2</v>
      </c>
      <c r="AI201" s="12">
        <v>1</v>
      </c>
      <c r="AJ201" s="12">
        <v>0</v>
      </c>
      <c r="AK201" s="12">
        <v>1</v>
      </c>
      <c r="AL201" s="12">
        <v>1</v>
      </c>
      <c r="AM201" s="12">
        <v>1</v>
      </c>
      <c r="AN201" s="12">
        <v>5</v>
      </c>
      <c r="AO201" s="12">
        <v>4</v>
      </c>
      <c r="AP201" s="12">
        <v>0</v>
      </c>
      <c r="AQ201" s="12">
        <v>2</v>
      </c>
      <c r="AR201" s="12">
        <v>5</v>
      </c>
      <c r="AS201" s="12">
        <v>6</v>
      </c>
      <c r="AT201" s="12">
        <v>3</v>
      </c>
      <c r="AU201" s="12">
        <v>0</v>
      </c>
      <c r="AV201" s="12">
        <v>3</v>
      </c>
      <c r="AW201" s="12">
        <v>5</v>
      </c>
      <c r="AX201" s="12">
        <v>9</v>
      </c>
      <c r="AY201" s="12">
        <v>2</v>
      </c>
      <c r="AZ201" s="12">
        <v>5</v>
      </c>
      <c r="BA201" s="12">
        <v>10</v>
      </c>
      <c r="BB201" s="12">
        <v>6</v>
      </c>
      <c r="BC201" s="12">
        <v>3</v>
      </c>
      <c r="BD201" s="12">
        <v>2</v>
      </c>
      <c r="BE201" s="12">
        <v>1</v>
      </c>
      <c r="BF201" s="12">
        <v>1</v>
      </c>
      <c r="BG201" s="12">
        <v>1</v>
      </c>
      <c r="BH201" s="12">
        <v>0</v>
      </c>
      <c r="BI201" s="12">
        <v>0</v>
      </c>
      <c r="BJ201" s="12">
        <v>1</v>
      </c>
      <c r="BK201" s="12">
        <v>1</v>
      </c>
      <c r="BL201" s="12">
        <v>0</v>
      </c>
      <c r="BM201" s="12">
        <v>0</v>
      </c>
      <c r="BN201" s="12">
        <v>0</v>
      </c>
      <c r="BO201" s="12">
        <v>0</v>
      </c>
      <c r="BP201" s="12">
        <v>3</v>
      </c>
      <c r="BQ201" s="12">
        <v>3</v>
      </c>
      <c r="BR201" s="12">
        <v>1</v>
      </c>
      <c r="BS201" s="12">
        <v>0</v>
      </c>
      <c r="BT201" s="12">
        <v>1</v>
      </c>
      <c r="BU201" s="12">
        <v>0</v>
      </c>
      <c r="BV201" s="12">
        <v>0</v>
      </c>
      <c r="BW201" s="12">
        <v>0</v>
      </c>
      <c r="BX201" s="12">
        <v>0</v>
      </c>
      <c r="BY201" s="12">
        <v>0</v>
      </c>
      <c r="BZ201" s="12">
        <v>0</v>
      </c>
      <c r="CA201" s="12">
        <v>1</v>
      </c>
      <c r="CB201" s="12">
        <v>0</v>
      </c>
      <c r="CC201" s="12">
        <v>0</v>
      </c>
      <c r="CD201" s="12">
        <v>0</v>
      </c>
      <c r="CE201" s="12">
        <v>1</v>
      </c>
      <c r="CF201" s="12">
        <v>1</v>
      </c>
      <c r="CG201" s="12">
        <v>0</v>
      </c>
      <c r="CH201" s="12">
        <v>0</v>
      </c>
      <c r="CI201" s="12">
        <v>1</v>
      </c>
      <c r="CJ201" s="12">
        <v>0</v>
      </c>
      <c r="CK201" s="12">
        <v>0</v>
      </c>
      <c r="CL201" s="12">
        <v>1</v>
      </c>
      <c r="CM201" s="12">
        <v>0</v>
      </c>
      <c r="CN201" s="12">
        <v>0</v>
      </c>
      <c r="CO201" s="12">
        <v>1</v>
      </c>
      <c r="CP201" s="12">
        <v>0</v>
      </c>
      <c r="CQ201" s="12">
        <v>1</v>
      </c>
      <c r="CR201" s="12">
        <v>1</v>
      </c>
      <c r="CS201" s="12">
        <v>0</v>
      </c>
      <c r="CT201" s="12">
        <v>0</v>
      </c>
      <c r="CU201" s="12">
        <v>1</v>
      </c>
      <c r="CV201" s="12">
        <v>1</v>
      </c>
      <c r="CW201" s="12">
        <v>0</v>
      </c>
      <c r="CX201" s="12">
        <v>0</v>
      </c>
      <c r="CY201" s="12">
        <v>0</v>
      </c>
      <c r="CZ201" s="12">
        <v>0</v>
      </c>
      <c r="DA201" s="12">
        <v>0</v>
      </c>
      <c r="DB201" s="12">
        <v>0</v>
      </c>
      <c r="DC201" s="12">
        <v>0</v>
      </c>
      <c r="DD201" s="12">
        <v>0</v>
      </c>
      <c r="DE201" s="12">
        <v>0</v>
      </c>
      <c r="DF201" s="12">
        <v>0</v>
      </c>
      <c r="DG201" s="12">
        <v>0</v>
      </c>
      <c r="DH201" s="12">
        <v>0</v>
      </c>
      <c r="DI201" s="12">
        <v>0</v>
      </c>
      <c r="DJ201" s="12">
        <v>0</v>
      </c>
      <c r="DK201" s="12">
        <v>0</v>
      </c>
      <c r="DL201" s="12">
        <v>0</v>
      </c>
      <c r="DM201" s="12">
        <v>0</v>
      </c>
      <c r="DN201" s="12">
        <v>0</v>
      </c>
      <c r="DO201" s="12">
        <v>0</v>
      </c>
      <c r="DP201" s="12">
        <v>0</v>
      </c>
      <c r="DQ201" s="12">
        <v>0</v>
      </c>
      <c r="DR201" s="12">
        <v>0</v>
      </c>
      <c r="DS201" s="12">
        <v>0</v>
      </c>
      <c r="DT201" s="12">
        <v>0</v>
      </c>
      <c r="DU201" s="12">
        <v>0</v>
      </c>
      <c r="DV201" s="12">
        <v>0</v>
      </c>
      <c r="DW201" s="12">
        <v>0</v>
      </c>
      <c r="DX201" s="12">
        <v>0</v>
      </c>
      <c r="DY201" s="12">
        <v>0</v>
      </c>
      <c r="DZ201" s="12">
        <v>0</v>
      </c>
      <c r="EA201" s="12">
        <v>0</v>
      </c>
      <c r="EB201" s="12">
        <v>0</v>
      </c>
      <c r="EC201" s="12">
        <v>0</v>
      </c>
      <c r="ED201" s="12">
        <v>0</v>
      </c>
      <c r="EE201" s="12">
        <v>0</v>
      </c>
      <c r="EF201" s="12">
        <v>0</v>
      </c>
      <c r="EG201" s="12">
        <v>0</v>
      </c>
      <c r="EH201" s="12">
        <v>0</v>
      </c>
      <c r="EI201" s="12">
        <v>0</v>
      </c>
      <c r="EJ201" s="12">
        <v>0</v>
      </c>
      <c r="EK201" s="12">
        <v>0</v>
      </c>
      <c r="EL201" s="12">
        <v>0</v>
      </c>
      <c r="EM201" s="12">
        <v>0</v>
      </c>
      <c r="EN201" s="12">
        <v>0</v>
      </c>
      <c r="EO201" s="12">
        <v>0</v>
      </c>
      <c r="EP201" s="12" t="str">
        <f t="shared" si="49"/>
        <v>🔴 Sin venta</v>
      </c>
      <c r="EQ201" s="23">
        <f t="shared" si="50"/>
        <v>0</v>
      </c>
      <c r="ER201" s="19">
        <f t="shared" si="48"/>
        <v>0</v>
      </c>
      <c r="ES201" s="12">
        <f t="shared" si="47"/>
        <v>0</v>
      </c>
      <c r="ET201" s="23">
        <f t="shared" si="44"/>
        <v>0</v>
      </c>
      <c r="EU201" s="23">
        <f t="shared" si="45"/>
        <v>0</v>
      </c>
      <c r="EV201" s="23">
        <f t="shared" si="46"/>
        <v>0</v>
      </c>
      <c r="EW201" s="23"/>
      <c r="EX201" s="12">
        <v>15</v>
      </c>
      <c r="EY201" s="19" cm="1">
        <f t="array" ref="EY201:FC201">VLOOKUP(_xlfn.SINGLE(B:B),'[1]Price List'!$B:$N,{8,4,5,6,7},0)</f>
        <v>568.45000000000005</v>
      </c>
      <c r="EZ201" s="9" t="str">
        <v>Speck Presidio Perfect Clear Impact Geometry Case with MagSafe for iPhone 14 Plus</v>
      </c>
      <c r="FA201" s="12" t="str">
        <v>Cases iPhone</v>
      </c>
      <c r="FB201" s="12" t="str">
        <v>iPhone 14</v>
      </c>
      <c r="FC201" s="12" t="str">
        <v>iPhone 14 Plus</v>
      </c>
      <c r="FD201" s="23" t="str">
        <f>_xlfn.XLOOKUP(B:B,'[1]Price List'!$B:$B,'[1]Price List'!$A:$A)</f>
        <v>Speck</v>
      </c>
    </row>
    <row r="202" spans="1:160" s="9" customFormat="1" x14ac:dyDescent="0.2">
      <c r="A202" s="23" t="s">
        <v>599</v>
      </c>
      <c r="B202" s="23">
        <v>840168516735</v>
      </c>
      <c r="C202" s="9" t="s">
        <v>165</v>
      </c>
      <c r="D202" s="9" t="e">
        <v>#N/A</v>
      </c>
      <c r="E202" s="9" t="e">
        <v>#N/A</v>
      </c>
      <c r="F202" s="9" t="e">
        <v>#N/A</v>
      </c>
      <c r="G202" s="9" t="s">
        <v>387</v>
      </c>
      <c r="H202" s="12" t="s">
        <v>166</v>
      </c>
      <c r="I202" s="11">
        <v>1249</v>
      </c>
      <c r="J202" s="11">
        <v>646.03</v>
      </c>
      <c r="K202" s="62">
        <v>0</v>
      </c>
      <c r="L202" s="12">
        <v>0</v>
      </c>
      <c r="M202" s="13" t="s">
        <v>467</v>
      </c>
      <c r="N202" s="13" t="s">
        <v>656</v>
      </c>
      <c r="O202" s="27">
        <v>44565</v>
      </c>
      <c r="P202" s="12">
        <v>0</v>
      </c>
      <c r="Q202" s="12">
        <v>1</v>
      </c>
      <c r="R202" s="12">
        <v>2</v>
      </c>
      <c r="S202" s="12">
        <v>1</v>
      </c>
      <c r="T202" s="12">
        <v>0</v>
      </c>
      <c r="U202" s="12">
        <v>1</v>
      </c>
      <c r="V202" s="12">
        <v>0</v>
      </c>
      <c r="W202" s="12">
        <v>0</v>
      </c>
      <c r="X202" s="12">
        <v>0</v>
      </c>
      <c r="Y202" s="12">
        <v>0</v>
      </c>
      <c r="Z202" s="12">
        <v>0</v>
      </c>
      <c r="AA202" s="12">
        <v>4</v>
      </c>
      <c r="AB202" s="12">
        <v>0</v>
      </c>
      <c r="AC202" s="12">
        <v>3</v>
      </c>
      <c r="AD202" s="12">
        <v>2</v>
      </c>
      <c r="AE202" s="12">
        <v>1</v>
      </c>
      <c r="AF202" s="12">
        <v>4</v>
      </c>
      <c r="AG202" s="12">
        <v>0</v>
      </c>
      <c r="AH202" s="12">
        <v>1</v>
      </c>
      <c r="AI202" s="12">
        <v>0</v>
      </c>
      <c r="AJ202" s="12">
        <v>2</v>
      </c>
      <c r="AK202" s="12">
        <v>0</v>
      </c>
      <c r="AL202" s="12">
        <v>1</v>
      </c>
      <c r="AM202" s="12">
        <v>1</v>
      </c>
      <c r="AN202" s="12">
        <v>0</v>
      </c>
      <c r="AO202" s="12">
        <v>2</v>
      </c>
      <c r="AP202" s="12">
        <v>0</v>
      </c>
      <c r="AQ202" s="12">
        <v>2</v>
      </c>
      <c r="AR202" s="12">
        <v>0</v>
      </c>
      <c r="AS202" s="12">
        <v>1</v>
      </c>
      <c r="AT202" s="12">
        <v>0</v>
      </c>
      <c r="AU202" s="12">
        <v>3</v>
      </c>
      <c r="AV202" s="12">
        <v>0</v>
      </c>
      <c r="AW202" s="12">
        <v>2</v>
      </c>
      <c r="AX202" s="12">
        <v>2</v>
      </c>
      <c r="AY202" s="12">
        <v>0</v>
      </c>
      <c r="AZ202" s="12">
        <v>0</v>
      </c>
      <c r="BA202" s="12">
        <v>1</v>
      </c>
      <c r="BB202" s="12">
        <v>0</v>
      </c>
      <c r="BC202" s="12">
        <v>1</v>
      </c>
      <c r="BD202" s="12">
        <v>0</v>
      </c>
      <c r="BE202" s="12">
        <v>1</v>
      </c>
      <c r="BF202" s="12">
        <v>0</v>
      </c>
      <c r="BG202" s="12">
        <v>0</v>
      </c>
      <c r="BH202" s="12">
        <v>0</v>
      </c>
      <c r="BI202" s="12">
        <v>0</v>
      </c>
      <c r="BJ202" s="12">
        <v>1</v>
      </c>
      <c r="BK202" s="12">
        <v>1</v>
      </c>
      <c r="BL202" s="12">
        <v>0</v>
      </c>
      <c r="BM202" s="12">
        <v>0</v>
      </c>
      <c r="BN202" s="12">
        <v>0</v>
      </c>
      <c r="BO202" s="12">
        <v>0</v>
      </c>
      <c r="BP202" s="12">
        <v>0</v>
      </c>
      <c r="BQ202" s="12">
        <v>1</v>
      </c>
      <c r="BR202" s="12">
        <v>1</v>
      </c>
      <c r="BS202" s="12">
        <v>0</v>
      </c>
      <c r="BT202" s="12">
        <v>0</v>
      </c>
      <c r="BU202" s="12">
        <v>3</v>
      </c>
      <c r="BV202" s="12">
        <v>0</v>
      </c>
      <c r="BW202" s="12">
        <v>1</v>
      </c>
      <c r="BX202" s="12">
        <v>1</v>
      </c>
      <c r="BY202" s="12">
        <v>0</v>
      </c>
      <c r="BZ202" s="12">
        <v>2</v>
      </c>
      <c r="CA202" s="12">
        <v>1</v>
      </c>
      <c r="CB202" s="12">
        <v>1</v>
      </c>
      <c r="CC202" s="12">
        <v>1</v>
      </c>
      <c r="CD202" s="12">
        <v>0</v>
      </c>
      <c r="CE202" s="12">
        <v>0</v>
      </c>
      <c r="CF202" s="12">
        <v>1</v>
      </c>
      <c r="CG202" s="12">
        <v>1</v>
      </c>
      <c r="CH202" s="12">
        <v>1</v>
      </c>
      <c r="CI202" s="12">
        <v>1</v>
      </c>
      <c r="CJ202" s="12">
        <v>0</v>
      </c>
      <c r="CK202" s="12">
        <v>0</v>
      </c>
      <c r="CL202" s="12">
        <v>0</v>
      </c>
      <c r="CM202" s="12">
        <v>0</v>
      </c>
      <c r="CN202" s="12">
        <v>0</v>
      </c>
      <c r="CO202" s="12">
        <v>0</v>
      </c>
      <c r="CP202" s="12">
        <v>0</v>
      </c>
      <c r="CQ202" s="12">
        <v>1</v>
      </c>
      <c r="CR202" s="12">
        <v>0</v>
      </c>
      <c r="CS202" s="12">
        <v>0</v>
      </c>
      <c r="CT202" s="12">
        <v>0</v>
      </c>
      <c r="CU202" s="12">
        <v>0</v>
      </c>
      <c r="CV202" s="12">
        <v>0</v>
      </c>
      <c r="CW202" s="12">
        <v>1</v>
      </c>
      <c r="CX202" s="12">
        <v>0</v>
      </c>
      <c r="CY202" s="12">
        <v>2</v>
      </c>
      <c r="CZ202" s="12">
        <v>0</v>
      </c>
      <c r="DA202" s="12">
        <v>0</v>
      </c>
      <c r="DB202" s="12">
        <v>1</v>
      </c>
      <c r="DC202" s="12">
        <v>1</v>
      </c>
      <c r="DD202" s="12">
        <v>0</v>
      </c>
      <c r="DE202" s="12">
        <v>1</v>
      </c>
      <c r="DF202" s="12">
        <v>2</v>
      </c>
      <c r="DG202" s="12">
        <v>1</v>
      </c>
      <c r="DH202" s="12">
        <v>0</v>
      </c>
      <c r="DI202" s="12">
        <v>1</v>
      </c>
      <c r="DJ202" s="12">
        <v>0</v>
      </c>
      <c r="DK202" s="12">
        <v>1</v>
      </c>
      <c r="DL202" s="12">
        <v>0</v>
      </c>
      <c r="DM202" s="12">
        <v>0</v>
      </c>
      <c r="DN202" s="12">
        <v>0</v>
      </c>
      <c r="DO202" s="12">
        <v>0</v>
      </c>
      <c r="DP202" s="12">
        <v>0</v>
      </c>
      <c r="DQ202" s="12">
        <v>0</v>
      </c>
      <c r="DR202" s="12">
        <v>1</v>
      </c>
      <c r="DS202" s="12">
        <v>0</v>
      </c>
      <c r="DT202" s="12">
        <v>0</v>
      </c>
      <c r="DU202" s="12">
        <v>0</v>
      </c>
      <c r="DV202" s="12">
        <v>0</v>
      </c>
      <c r="DW202" s="12">
        <v>0</v>
      </c>
      <c r="DX202" s="12">
        <v>0</v>
      </c>
      <c r="DY202" s="12">
        <v>0</v>
      </c>
      <c r="DZ202" s="12">
        <v>0</v>
      </c>
      <c r="EA202" s="12">
        <v>0</v>
      </c>
      <c r="EB202" s="12">
        <v>1</v>
      </c>
      <c r="EC202" s="12">
        <v>0</v>
      </c>
      <c r="ED202" s="12">
        <v>0</v>
      </c>
      <c r="EE202" s="12">
        <v>0</v>
      </c>
      <c r="EF202" s="12">
        <v>0</v>
      </c>
      <c r="EG202" s="12">
        <v>0</v>
      </c>
      <c r="EH202" s="12">
        <v>0</v>
      </c>
      <c r="EI202" s="12">
        <v>1</v>
      </c>
      <c r="EJ202" s="12">
        <v>1</v>
      </c>
      <c r="EK202" s="12">
        <v>1</v>
      </c>
      <c r="EL202" s="12">
        <v>0</v>
      </c>
      <c r="EM202" s="12">
        <v>0</v>
      </c>
      <c r="EN202" s="12">
        <v>1</v>
      </c>
      <c r="EO202" s="12">
        <v>0</v>
      </c>
      <c r="EP202" s="12" t="str">
        <f t="shared" si="49"/>
        <v>🔴 Sin venta</v>
      </c>
      <c r="EQ202" s="23">
        <f t="shared" si="50"/>
        <v>0.20833333333333334</v>
      </c>
      <c r="ER202" s="19">
        <f t="shared" si="48"/>
        <v>3876.18</v>
      </c>
      <c r="ES202" s="12">
        <f t="shared" si="47"/>
        <v>6</v>
      </c>
      <c r="ET202" s="23">
        <f t="shared" si="44"/>
        <v>3</v>
      </c>
      <c r="EU202" s="23">
        <f t="shared" si="45"/>
        <v>1</v>
      </c>
      <c r="EV202" s="23">
        <f t="shared" si="46"/>
        <v>0.53</v>
      </c>
      <c r="EW202" s="23"/>
      <c r="EX202" s="12">
        <v>8</v>
      </c>
      <c r="EY202" s="19" cm="1">
        <f t="array" ref="EY202:FC202">VLOOKUP(_xlfn.SINGLE(B:B),'[1]Price List'!$B:$N,{8,4,5,6,7},0)</f>
        <v>646.03</v>
      </c>
      <c r="EZ202" s="9" t="str">
        <v>Speck Smartshell Case with Microban for Macbook Pro 14" M1/M2 - Crystal Pink</v>
      </c>
      <c r="FA202" s="12" t="str">
        <v>Cases Macbook</v>
      </c>
      <c r="FB202" s="12" t="str">
        <v>Macbook</v>
      </c>
      <c r="FC202" s="12" t="str">
        <v>MacBook Pro 14" M1/M2 Cases</v>
      </c>
      <c r="FD202" s="23" t="str">
        <f>_xlfn.XLOOKUP(B:B,'[1]Price List'!$B:$B,'[1]Price List'!$A:$A)</f>
        <v>Speck</v>
      </c>
    </row>
    <row r="203" spans="1:160" s="9" customFormat="1" x14ac:dyDescent="0.2">
      <c r="A203" s="23" t="s">
        <v>599</v>
      </c>
      <c r="B203" s="23">
        <v>840168515967</v>
      </c>
      <c r="C203" s="9" t="s">
        <v>153</v>
      </c>
      <c r="D203" s="9" t="e">
        <v>#N/A</v>
      </c>
      <c r="E203" s="9" t="e">
        <v>#N/A</v>
      </c>
      <c r="F203" s="9" t="e">
        <v>#N/A</v>
      </c>
      <c r="G203" s="9" t="s">
        <v>312</v>
      </c>
      <c r="H203" s="12" t="s">
        <v>154</v>
      </c>
      <c r="I203" s="11">
        <v>1249</v>
      </c>
      <c r="J203" s="11">
        <v>538.37</v>
      </c>
      <c r="K203" s="62">
        <v>0.2</v>
      </c>
      <c r="L203" s="19">
        <f>I203*(1-K203)</f>
        <v>999.2</v>
      </c>
      <c r="M203" s="13" t="s">
        <v>467</v>
      </c>
      <c r="N203" s="13" t="s">
        <v>656</v>
      </c>
      <c r="O203" s="27">
        <v>44565</v>
      </c>
      <c r="P203" s="12">
        <v>2</v>
      </c>
      <c r="Q203" s="12">
        <v>1</v>
      </c>
      <c r="R203" s="12">
        <v>1</v>
      </c>
      <c r="S203" s="12">
        <v>1</v>
      </c>
      <c r="T203" s="12">
        <v>0</v>
      </c>
      <c r="U203" s="12">
        <v>0</v>
      </c>
      <c r="V203" s="12">
        <v>1</v>
      </c>
      <c r="W203" s="12">
        <v>1</v>
      </c>
      <c r="X203" s="12">
        <v>1</v>
      </c>
      <c r="Y203" s="12">
        <v>0</v>
      </c>
      <c r="Z203" s="12">
        <v>1</v>
      </c>
      <c r="AA203" s="12">
        <v>1</v>
      </c>
      <c r="AB203" s="12">
        <v>0</v>
      </c>
      <c r="AC203" s="12">
        <v>1</v>
      </c>
      <c r="AD203" s="12">
        <v>3</v>
      </c>
      <c r="AE203" s="12">
        <v>3</v>
      </c>
      <c r="AF203" s="12">
        <v>1</v>
      </c>
      <c r="AG203" s="12">
        <v>0</v>
      </c>
      <c r="AH203" s="12">
        <v>0</v>
      </c>
      <c r="AI203" s="12">
        <v>1</v>
      </c>
      <c r="AJ203" s="12">
        <v>0</v>
      </c>
      <c r="AK203" s="12">
        <v>3</v>
      </c>
      <c r="AL203" s="12">
        <v>1</v>
      </c>
      <c r="AM203" s="12">
        <v>1</v>
      </c>
      <c r="AN203" s="12">
        <v>0</v>
      </c>
      <c r="AO203" s="12">
        <v>1</v>
      </c>
      <c r="AP203" s="12">
        <v>0</v>
      </c>
      <c r="AQ203" s="12">
        <v>3</v>
      </c>
      <c r="AR203" s="12">
        <v>0</v>
      </c>
      <c r="AS203" s="12">
        <v>0</v>
      </c>
      <c r="AT203" s="12">
        <v>1</v>
      </c>
      <c r="AU203" s="12">
        <v>1</v>
      </c>
      <c r="AV203" s="12">
        <v>3</v>
      </c>
      <c r="AW203" s="12">
        <v>2</v>
      </c>
      <c r="AX203" s="12">
        <v>3</v>
      </c>
      <c r="AY203" s="12">
        <v>0</v>
      </c>
      <c r="AZ203" s="12">
        <v>1</v>
      </c>
      <c r="BA203" s="12">
        <v>0</v>
      </c>
      <c r="BB203" s="12">
        <v>2</v>
      </c>
      <c r="BC203" s="12">
        <v>2</v>
      </c>
      <c r="BD203" s="12">
        <v>0</v>
      </c>
      <c r="BE203" s="12">
        <v>0</v>
      </c>
      <c r="BF203" s="12">
        <v>0</v>
      </c>
      <c r="BG203" s="12">
        <v>0</v>
      </c>
      <c r="BH203" s="12">
        <v>0</v>
      </c>
      <c r="BI203" s="12">
        <v>0</v>
      </c>
      <c r="BJ203" s="12">
        <v>0</v>
      </c>
      <c r="BK203" s="12">
        <v>0</v>
      </c>
      <c r="BL203" s="12">
        <v>0</v>
      </c>
      <c r="BM203" s="12">
        <v>0</v>
      </c>
      <c r="BN203" s="12">
        <v>0</v>
      </c>
      <c r="BO203" s="12">
        <v>2</v>
      </c>
      <c r="BP203" s="12">
        <v>1</v>
      </c>
      <c r="BQ203" s="12">
        <v>1</v>
      </c>
      <c r="BR203" s="12">
        <v>0</v>
      </c>
      <c r="BS203" s="12">
        <v>0</v>
      </c>
      <c r="BT203" s="12">
        <v>0</v>
      </c>
      <c r="BU203" s="12">
        <v>0</v>
      </c>
      <c r="BV203" s="12">
        <v>0</v>
      </c>
      <c r="BW203" s="12">
        <v>0</v>
      </c>
      <c r="BX203" s="12">
        <v>0</v>
      </c>
      <c r="BY203" s="12">
        <v>0</v>
      </c>
      <c r="BZ203" s="12">
        <v>0</v>
      </c>
      <c r="CA203" s="12">
        <v>0</v>
      </c>
      <c r="CB203" s="12">
        <v>2</v>
      </c>
      <c r="CC203" s="12">
        <v>1</v>
      </c>
      <c r="CD203" s="12">
        <v>0</v>
      </c>
      <c r="CE203" s="12">
        <v>0</v>
      </c>
      <c r="CF203" s="12">
        <v>0</v>
      </c>
      <c r="CG203" s="12">
        <v>1</v>
      </c>
      <c r="CH203" s="12">
        <v>0</v>
      </c>
      <c r="CI203" s="12">
        <v>0</v>
      </c>
      <c r="CJ203" s="12">
        <v>1</v>
      </c>
      <c r="CK203" s="12">
        <v>0</v>
      </c>
      <c r="CL203" s="12">
        <v>0</v>
      </c>
      <c r="CM203" s="12">
        <v>0</v>
      </c>
      <c r="CN203" s="12">
        <v>0</v>
      </c>
      <c r="CO203" s="12">
        <v>0</v>
      </c>
      <c r="CP203" s="12">
        <v>0</v>
      </c>
      <c r="CQ203" s="12">
        <v>0</v>
      </c>
      <c r="CR203" s="12">
        <v>0</v>
      </c>
      <c r="CS203" s="12">
        <v>0</v>
      </c>
      <c r="CT203" s="12">
        <v>0</v>
      </c>
      <c r="CU203" s="12">
        <v>0</v>
      </c>
      <c r="CV203" s="12">
        <v>0</v>
      </c>
      <c r="CW203" s="12">
        <v>0</v>
      </c>
      <c r="CX203" s="12">
        <v>1</v>
      </c>
      <c r="CY203" s="12">
        <v>0</v>
      </c>
      <c r="CZ203" s="12">
        <v>1</v>
      </c>
      <c r="DA203" s="12">
        <v>0</v>
      </c>
      <c r="DB203" s="12">
        <v>-1</v>
      </c>
      <c r="DC203" s="12">
        <v>0</v>
      </c>
      <c r="DD203" s="12">
        <v>0</v>
      </c>
      <c r="DE203" s="12">
        <v>0</v>
      </c>
      <c r="DF203" s="12">
        <v>1</v>
      </c>
      <c r="DG203" s="12">
        <v>0</v>
      </c>
      <c r="DH203" s="12">
        <v>1</v>
      </c>
      <c r="DI203" s="12">
        <v>0</v>
      </c>
      <c r="DJ203" s="12">
        <v>0</v>
      </c>
      <c r="DK203" s="12">
        <v>0</v>
      </c>
      <c r="DL203" s="12">
        <v>0</v>
      </c>
      <c r="DM203" s="12">
        <v>0</v>
      </c>
      <c r="DN203" s="12">
        <v>1</v>
      </c>
      <c r="DO203" s="12">
        <v>1</v>
      </c>
      <c r="DP203" s="12">
        <v>0</v>
      </c>
      <c r="DQ203" s="12">
        <v>1</v>
      </c>
      <c r="DR203" s="12">
        <v>0</v>
      </c>
      <c r="DS203" s="12">
        <v>0</v>
      </c>
      <c r="DT203" s="12">
        <v>0</v>
      </c>
      <c r="DU203" s="12">
        <v>0</v>
      </c>
      <c r="DV203" s="12">
        <v>0</v>
      </c>
      <c r="DW203" s="12">
        <v>0</v>
      </c>
      <c r="DX203" s="12">
        <v>1</v>
      </c>
      <c r="DY203" s="12">
        <v>1</v>
      </c>
      <c r="DZ203" s="12">
        <v>0</v>
      </c>
      <c r="EA203" s="12">
        <v>0</v>
      </c>
      <c r="EB203" s="12">
        <v>1</v>
      </c>
      <c r="EC203" s="12">
        <v>0</v>
      </c>
      <c r="ED203" s="12">
        <v>0</v>
      </c>
      <c r="EE203" s="12">
        <v>0</v>
      </c>
      <c r="EF203" s="12">
        <v>0</v>
      </c>
      <c r="EG203" s="12">
        <v>0</v>
      </c>
      <c r="EH203" s="12">
        <v>0</v>
      </c>
      <c r="EI203" s="12">
        <v>0</v>
      </c>
      <c r="EJ203" s="12">
        <v>0</v>
      </c>
      <c r="EK203" s="12">
        <v>0</v>
      </c>
      <c r="EL203" s="12">
        <v>0</v>
      </c>
      <c r="EM203" s="12">
        <v>0</v>
      </c>
      <c r="EN203" s="12">
        <v>0</v>
      </c>
      <c r="EO203" s="12">
        <v>0</v>
      </c>
      <c r="EP203" s="12" t="str">
        <f t="shared" si="49"/>
        <v>🔴 Sin venta</v>
      </c>
      <c r="EQ203" s="23">
        <f t="shared" si="50"/>
        <v>0.16666666666666666</v>
      </c>
      <c r="ER203" s="19">
        <f t="shared" si="48"/>
        <v>2153.48</v>
      </c>
      <c r="ES203" s="12">
        <f t="shared" si="47"/>
        <v>4</v>
      </c>
      <c r="ET203" s="23">
        <f t="shared" si="44"/>
        <v>0.5</v>
      </c>
      <c r="EU203" s="23">
        <f t="shared" si="45"/>
        <v>1.5</v>
      </c>
      <c r="EV203" s="23">
        <f t="shared" si="46"/>
        <v>1.07</v>
      </c>
      <c r="EW203" s="23"/>
      <c r="EX203" s="12">
        <v>5</v>
      </c>
      <c r="EY203" s="19" cm="1">
        <f t="array" ref="EY203:FC203">VLOOKUP(_xlfn.SINGLE(B:B),'[1]Price List'!$B:$N,{8,4,5,6,7},0)</f>
        <v>538.37</v>
      </c>
      <c r="EZ203" s="9" t="str">
        <v>Speck Smartshell Case with Microban for MacBook Pro 16" M1/M2 - Clear</v>
      </c>
      <c r="FA203" s="12" t="str">
        <v>Cases Macbook</v>
      </c>
      <c r="FB203" s="12" t="str">
        <v>Macbook</v>
      </c>
      <c r="FC203" s="12" t="str">
        <v>MacBook Pro 16" M1/M2 Cases</v>
      </c>
      <c r="FD203" s="23" t="str">
        <f>_xlfn.XLOOKUP(B:B,'[1]Price List'!$B:$B,'[1]Price List'!$A:$A)</f>
        <v>Speck</v>
      </c>
    </row>
    <row r="204" spans="1:160" s="9" customFormat="1" x14ac:dyDescent="0.2">
      <c r="A204" s="23" t="s">
        <v>599</v>
      </c>
      <c r="B204" s="23">
        <v>848709091185</v>
      </c>
      <c r="C204" s="9" t="s">
        <v>82</v>
      </c>
      <c r="D204" s="9" t="e">
        <v>#N/A</v>
      </c>
      <c r="E204" s="9" t="e">
        <v>#N/A</v>
      </c>
      <c r="F204" s="9" t="e">
        <v>#N/A</v>
      </c>
      <c r="G204" s="9" t="s">
        <v>691</v>
      </c>
      <c r="H204" s="12" t="s">
        <v>83</v>
      </c>
      <c r="I204" s="11">
        <v>1099</v>
      </c>
      <c r="J204" s="11">
        <v>568.45000000000005</v>
      </c>
      <c r="K204" s="62">
        <v>0</v>
      </c>
      <c r="L204" s="12">
        <v>0</v>
      </c>
      <c r="M204" s="13" t="s">
        <v>467</v>
      </c>
      <c r="N204" s="13" t="s">
        <v>656</v>
      </c>
      <c r="O204" s="27">
        <v>44175</v>
      </c>
      <c r="P204" s="12">
        <v>0</v>
      </c>
      <c r="Q204" s="12">
        <v>1</v>
      </c>
      <c r="R204" s="12">
        <v>1</v>
      </c>
      <c r="S204" s="12">
        <v>0</v>
      </c>
      <c r="T204" s="12">
        <v>1</v>
      </c>
      <c r="U204" s="12">
        <v>0</v>
      </c>
      <c r="V204" s="12">
        <v>1</v>
      </c>
      <c r="W204" s="12">
        <v>0</v>
      </c>
      <c r="X204" s="12">
        <v>0</v>
      </c>
      <c r="Y204" s="12">
        <v>1</v>
      </c>
      <c r="Z204" s="12">
        <v>0</v>
      </c>
      <c r="AA204" s="12">
        <v>1</v>
      </c>
      <c r="AB204" s="12">
        <v>1</v>
      </c>
      <c r="AC204" s="12">
        <v>0</v>
      </c>
      <c r="AD204" s="12">
        <v>1</v>
      </c>
      <c r="AE204" s="12">
        <v>0</v>
      </c>
      <c r="AF204" s="12">
        <v>0</v>
      </c>
      <c r="AG204" s="12">
        <v>2</v>
      </c>
      <c r="AH204" s="12">
        <v>2</v>
      </c>
      <c r="AI204" s="12">
        <v>0</v>
      </c>
      <c r="AJ204" s="12">
        <v>1</v>
      </c>
      <c r="AK204" s="12">
        <v>1</v>
      </c>
      <c r="AL204" s="12">
        <v>1</v>
      </c>
      <c r="AM204" s="12">
        <v>0</v>
      </c>
      <c r="AN204" s="12">
        <v>0</v>
      </c>
      <c r="AO204" s="12">
        <v>0</v>
      </c>
      <c r="AP204" s="12">
        <v>0</v>
      </c>
      <c r="AQ204" s="12">
        <v>0</v>
      </c>
      <c r="AR204" s="12">
        <v>0</v>
      </c>
      <c r="AS204" s="12">
        <v>0</v>
      </c>
      <c r="AT204" s="12">
        <v>0</v>
      </c>
      <c r="AU204" s="12">
        <v>1</v>
      </c>
      <c r="AV204" s="12">
        <v>0</v>
      </c>
      <c r="AW204" s="12">
        <v>0</v>
      </c>
      <c r="AX204" s="12">
        <v>2</v>
      </c>
      <c r="AY204" s="12">
        <v>0</v>
      </c>
      <c r="AZ204" s="12">
        <v>1</v>
      </c>
      <c r="BA204" s="12">
        <v>0</v>
      </c>
      <c r="BB204" s="12">
        <v>2</v>
      </c>
      <c r="BC204" s="12">
        <v>0</v>
      </c>
      <c r="BD204" s="12">
        <v>0</v>
      </c>
      <c r="BE204" s="12">
        <v>0</v>
      </c>
      <c r="BF204" s="12">
        <v>1</v>
      </c>
      <c r="BG204" s="12">
        <v>0</v>
      </c>
      <c r="BH204" s="12">
        <v>1</v>
      </c>
      <c r="BI204" s="12">
        <v>0</v>
      </c>
      <c r="BJ204" s="12">
        <v>0</v>
      </c>
      <c r="BK204" s="12">
        <v>0</v>
      </c>
      <c r="BL204" s="12">
        <v>0</v>
      </c>
      <c r="BM204" s="12">
        <v>0</v>
      </c>
      <c r="BN204" s="12">
        <v>0</v>
      </c>
      <c r="BO204" s="12">
        <v>2</v>
      </c>
      <c r="BP204" s="12">
        <v>0</v>
      </c>
      <c r="BQ204" s="12">
        <v>0</v>
      </c>
      <c r="BR204" s="12">
        <v>0</v>
      </c>
      <c r="BS204" s="12">
        <v>0</v>
      </c>
      <c r="BT204" s="12">
        <v>1</v>
      </c>
      <c r="BU204" s="12">
        <v>0</v>
      </c>
      <c r="BV204" s="12">
        <v>0</v>
      </c>
      <c r="BW204" s="12">
        <v>0</v>
      </c>
      <c r="BX204" s="12">
        <v>0</v>
      </c>
      <c r="BY204" s="12">
        <v>0</v>
      </c>
      <c r="BZ204" s="12">
        <v>0</v>
      </c>
      <c r="CA204" s="12">
        <v>0</v>
      </c>
      <c r="CB204" s="12">
        <v>0</v>
      </c>
      <c r="CC204" s="12">
        <v>0</v>
      </c>
      <c r="CD204" s="12">
        <v>0</v>
      </c>
      <c r="CE204" s="12">
        <v>0</v>
      </c>
      <c r="CF204" s="12">
        <v>0</v>
      </c>
      <c r="CG204" s="12">
        <v>0</v>
      </c>
      <c r="CH204" s="12">
        <v>0</v>
      </c>
      <c r="CI204" s="12">
        <v>0</v>
      </c>
      <c r="CJ204" s="12">
        <v>0</v>
      </c>
      <c r="CK204" s="12">
        <v>0</v>
      </c>
      <c r="CL204" s="12">
        <v>0</v>
      </c>
      <c r="CM204" s="12">
        <v>0</v>
      </c>
      <c r="CN204" s="12">
        <v>0</v>
      </c>
      <c r="CO204" s="12">
        <v>0</v>
      </c>
      <c r="CP204" s="12">
        <v>0</v>
      </c>
      <c r="CQ204" s="12">
        <v>0</v>
      </c>
      <c r="CR204" s="12">
        <v>0</v>
      </c>
      <c r="CS204" s="12">
        <v>0</v>
      </c>
      <c r="CT204" s="12">
        <v>0</v>
      </c>
      <c r="CU204" s="12">
        <v>0</v>
      </c>
      <c r="CV204" s="12">
        <v>0</v>
      </c>
      <c r="CW204" s="12">
        <v>0</v>
      </c>
      <c r="CX204" s="12">
        <v>0</v>
      </c>
      <c r="CY204" s="12">
        <v>0</v>
      </c>
      <c r="CZ204" s="12">
        <v>0</v>
      </c>
      <c r="DA204" s="12">
        <v>0</v>
      </c>
      <c r="DB204" s="12">
        <v>0</v>
      </c>
      <c r="DC204" s="12">
        <v>0</v>
      </c>
      <c r="DD204" s="12">
        <v>0</v>
      </c>
      <c r="DE204" s="12">
        <v>0</v>
      </c>
      <c r="DF204" s="12">
        <v>0</v>
      </c>
      <c r="DG204" s="12">
        <v>0</v>
      </c>
      <c r="DH204" s="12">
        <v>0</v>
      </c>
      <c r="DI204" s="12">
        <v>0</v>
      </c>
      <c r="DJ204" s="12">
        <v>0</v>
      </c>
      <c r="DK204" s="12">
        <v>0</v>
      </c>
      <c r="DL204" s="12">
        <v>0</v>
      </c>
      <c r="DM204" s="12">
        <v>0</v>
      </c>
      <c r="DN204" s="12">
        <v>0</v>
      </c>
      <c r="DO204" s="12">
        <v>0</v>
      </c>
      <c r="DP204" s="12">
        <v>0</v>
      </c>
      <c r="DQ204" s="12">
        <v>0</v>
      </c>
      <c r="DR204" s="12">
        <v>0</v>
      </c>
      <c r="DS204" s="12">
        <v>0</v>
      </c>
      <c r="DT204" s="12">
        <v>0</v>
      </c>
      <c r="DU204" s="12">
        <v>0</v>
      </c>
      <c r="DV204" s="12">
        <v>0</v>
      </c>
      <c r="DW204" s="12">
        <v>0</v>
      </c>
      <c r="DX204" s="12">
        <v>0</v>
      </c>
      <c r="DY204" s="12">
        <v>0</v>
      </c>
      <c r="DZ204" s="12">
        <v>0</v>
      </c>
      <c r="EA204" s="12">
        <v>0</v>
      </c>
      <c r="EB204" s="12">
        <v>1</v>
      </c>
      <c r="EC204" s="12">
        <v>0</v>
      </c>
      <c r="ED204" s="12">
        <v>0</v>
      </c>
      <c r="EE204" s="12">
        <v>0</v>
      </c>
      <c r="EF204" s="12">
        <v>0</v>
      </c>
      <c r="EG204" s="12">
        <v>0</v>
      </c>
      <c r="EH204" s="12">
        <v>0</v>
      </c>
      <c r="EI204" s="12">
        <v>0</v>
      </c>
      <c r="EJ204" s="12">
        <v>0</v>
      </c>
      <c r="EK204" s="12">
        <v>0</v>
      </c>
      <c r="EL204" s="12">
        <v>0</v>
      </c>
      <c r="EM204" s="12">
        <v>0</v>
      </c>
      <c r="EN204" s="12">
        <v>0</v>
      </c>
      <c r="EO204" s="12">
        <v>0</v>
      </c>
      <c r="EP204" s="12" t="str">
        <f t="shared" si="49"/>
        <v>🔴 Sin venta</v>
      </c>
      <c r="EQ204" s="23">
        <f t="shared" si="50"/>
        <v>4.1666666666666664E-2</v>
      </c>
      <c r="ER204" s="19">
        <f t="shared" si="48"/>
        <v>568.45000000000005</v>
      </c>
      <c r="ES204" s="12">
        <f t="shared" si="47"/>
        <v>1</v>
      </c>
      <c r="ET204" s="23">
        <f t="shared" si="44"/>
        <v>0</v>
      </c>
      <c r="EU204" s="23">
        <f t="shared" si="45"/>
        <v>0</v>
      </c>
      <c r="EV204" s="23">
        <f t="shared" si="46"/>
        <v>0.27</v>
      </c>
      <c r="EW204" s="23"/>
      <c r="EX204" s="12">
        <v>0</v>
      </c>
      <c r="EY204" s="19" cm="1">
        <f t="array" ref="EY204:FC204">VLOOKUP(_xlfn.SINGLE(B:B),'[1]Price List'!$B:$N,{8,4,5,6,7},0)</f>
        <v>568.45000000000005</v>
      </c>
      <c r="EZ204" s="9" t="str">
        <v>Speck Presidio2 Pro Case for iPhone 12/12 Pro - Lush Burgundy/Azalea Burgundy/Pink</v>
      </c>
      <c r="FA204" s="12" t="str">
        <v>Cases iPhone</v>
      </c>
      <c r="FB204" s="12" t="str">
        <v>iPhone 12</v>
      </c>
      <c r="FC204" s="12" t="str">
        <v xml:space="preserve">iPhone 12/12 Pro </v>
      </c>
      <c r="FD204" s="23" t="str">
        <f>_xlfn.XLOOKUP(B:B,'[1]Price List'!$B:$B,'[1]Price List'!$A:$A)</f>
        <v>Speck</v>
      </c>
    </row>
    <row r="205" spans="1:160" s="9" customFormat="1" x14ac:dyDescent="0.2">
      <c r="A205" s="23" t="s">
        <v>599</v>
      </c>
      <c r="B205" s="23">
        <v>840168516001</v>
      </c>
      <c r="C205" s="9" t="s">
        <v>161</v>
      </c>
      <c r="D205" s="9" t="e">
        <v>#N/A</v>
      </c>
      <c r="E205" s="9" t="e">
        <v>#N/A</v>
      </c>
      <c r="F205" s="9" t="e">
        <v>#N/A</v>
      </c>
      <c r="G205" s="9" t="s">
        <v>387</v>
      </c>
      <c r="H205" s="12" t="s">
        <v>162</v>
      </c>
      <c r="I205" s="11">
        <v>1249</v>
      </c>
      <c r="J205" s="11">
        <v>646.03</v>
      </c>
      <c r="K205" s="62">
        <v>0</v>
      </c>
      <c r="L205" s="12">
        <v>0</v>
      </c>
      <c r="M205" s="13" t="s">
        <v>467</v>
      </c>
      <c r="N205" s="13" t="s">
        <v>656</v>
      </c>
      <c r="O205" s="27">
        <v>44565</v>
      </c>
      <c r="P205" s="12">
        <v>0</v>
      </c>
      <c r="Q205" s="12">
        <v>1</v>
      </c>
      <c r="R205" s="12">
        <v>0</v>
      </c>
      <c r="S205" s="12">
        <v>0</v>
      </c>
      <c r="T205" s="12">
        <v>1</v>
      </c>
      <c r="U205" s="12">
        <v>0</v>
      </c>
      <c r="V205" s="12">
        <v>1</v>
      </c>
      <c r="W205" s="12">
        <v>1</v>
      </c>
      <c r="X205" s="12">
        <v>0</v>
      </c>
      <c r="Y205" s="12">
        <v>1</v>
      </c>
      <c r="Z205" s="12">
        <v>1</v>
      </c>
      <c r="AA205" s="12">
        <v>0</v>
      </c>
      <c r="AB205" s="12">
        <v>1</v>
      </c>
      <c r="AC205" s="12">
        <v>1</v>
      </c>
      <c r="AD205" s="12">
        <v>0</v>
      </c>
      <c r="AE205" s="12">
        <v>0</v>
      </c>
      <c r="AF205" s="12">
        <v>2</v>
      </c>
      <c r="AG205" s="12">
        <v>0</v>
      </c>
      <c r="AH205" s="12">
        <v>1</v>
      </c>
      <c r="AI205" s="12">
        <v>0</v>
      </c>
      <c r="AJ205" s="12">
        <v>4</v>
      </c>
      <c r="AK205" s="12">
        <v>2</v>
      </c>
      <c r="AL205" s="12">
        <v>0</v>
      </c>
      <c r="AM205" s="12">
        <v>0</v>
      </c>
      <c r="AN205" s="12">
        <v>0</v>
      </c>
      <c r="AO205" s="12">
        <v>1</v>
      </c>
      <c r="AP205" s="12">
        <v>0</v>
      </c>
      <c r="AQ205" s="12">
        <v>2</v>
      </c>
      <c r="AR205" s="12">
        <v>1</v>
      </c>
      <c r="AS205" s="12">
        <v>2</v>
      </c>
      <c r="AT205" s="12">
        <v>1</v>
      </c>
      <c r="AU205" s="12">
        <v>0</v>
      </c>
      <c r="AV205" s="12">
        <v>0</v>
      </c>
      <c r="AW205" s="12">
        <v>1</v>
      </c>
      <c r="AX205" s="12">
        <v>1</v>
      </c>
      <c r="AY205" s="12">
        <v>0</v>
      </c>
      <c r="AZ205" s="12">
        <v>1</v>
      </c>
      <c r="BA205" s="12">
        <v>1</v>
      </c>
      <c r="BB205" s="12">
        <v>0</v>
      </c>
      <c r="BC205" s="12">
        <v>0</v>
      </c>
      <c r="BD205" s="12">
        <v>0</v>
      </c>
      <c r="BE205" s="12">
        <v>0</v>
      </c>
      <c r="BF205" s="12">
        <v>1</v>
      </c>
      <c r="BG205" s="12">
        <v>0</v>
      </c>
      <c r="BH205" s="12">
        <v>0</v>
      </c>
      <c r="BI205" s="12">
        <v>0</v>
      </c>
      <c r="BJ205" s="12">
        <v>0</v>
      </c>
      <c r="BK205" s="12">
        <v>0</v>
      </c>
      <c r="BL205" s="12">
        <v>0</v>
      </c>
      <c r="BM205" s="12">
        <v>0</v>
      </c>
      <c r="BN205" s="12">
        <v>0</v>
      </c>
      <c r="BO205" s="12">
        <v>1</v>
      </c>
      <c r="BP205" s="12">
        <v>0</v>
      </c>
      <c r="BQ205" s="12">
        <v>0</v>
      </c>
      <c r="BR205" s="12">
        <v>0</v>
      </c>
      <c r="BS205" s="12">
        <v>0</v>
      </c>
      <c r="BT205" s="12">
        <v>0</v>
      </c>
      <c r="BU205" s="12">
        <v>0</v>
      </c>
      <c r="BV205" s="12">
        <v>0</v>
      </c>
      <c r="BW205" s="12">
        <v>0</v>
      </c>
      <c r="BX205" s="12">
        <v>0</v>
      </c>
      <c r="BY205" s="12">
        <v>0</v>
      </c>
      <c r="BZ205" s="12">
        <v>0</v>
      </c>
      <c r="CA205" s="12">
        <v>0</v>
      </c>
      <c r="CB205" s="12">
        <v>0</v>
      </c>
      <c r="CC205" s="12">
        <v>0</v>
      </c>
      <c r="CD205" s="12">
        <v>0</v>
      </c>
      <c r="CE205" s="12">
        <v>0</v>
      </c>
      <c r="CF205" s="12">
        <v>0</v>
      </c>
      <c r="CG205" s="12">
        <v>0</v>
      </c>
      <c r="CH205" s="12">
        <v>0</v>
      </c>
      <c r="CI205" s="12">
        <v>0</v>
      </c>
      <c r="CJ205" s="12">
        <v>0</v>
      </c>
      <c r="CK205" s="12">
        <v>0</v>
      </c>
      <c r="CL205" s="12">
        <v>0</v>
      </c>
      <c r="CM205" s="12">
        <v>0</v>
      </c>
      <c r="CN205" s="12">
        <v>0</v>
      </c>
      <c r="CO205" s="12">
        <v>0</v>
      </c>
      <c r="CP205" s="12">
        <v>0</v>
      </c>
      <c r="CQ205" s="12">
        <v>0</v>
      </c>
      <c r="CR205" s="12">
        <v>0</v>
      </c>
      <c r="CS205" s="12">
        <v>0</v>
      </c>
      <c r="CT205" s="12">
        <v>0</v>
      </c>
      <c r="CU205" s="12">
        <v>0</v>
      </c>
      <c r="CV205" s="12">
        <v>0</v>
      </c>
      <c r="CW205" s="12">
        <v>0</v>
      </c>
      <c r="CX205" s="12">
        <v>0</v>
      </c>
      <c r="CY205" s="12">
        <v>1</v>
      </c>
      <c r="CZ205" s="12">
        <v>1</v>
      </c>
      <c r="DA205" s="12">
        <v>0</v>
      </c>
      <c r="DB205" s="12">
        <v>0</v>
      </c>
      <c r="DC205" s="12">
        <v>0</v>
      </c>
      <c r="DD205" s="12">
        <v>0</v>
      </c>
      <c r="DE205" s="12">
        <v>0</v>
      </c>
      <c r="DF205" s="12">
        <v>0</v>
      </c>
      <c r="DG205" s="12">
        <v>0</v>
      </c>
      <c r="DH205" s="12">
        <v>0</v>
      </c>
      <c r="DI205" s="12">
        <v>0</v>
      </c>
      <c r="DJ205" s="12">
        <v>0</v>
      </c>
      <c r="DK205" s="12">
        <v>0</v>
      </c>
      <c r="DL205" s="12">
        <v>0</v>
      </c>
      <c r="DM205" s="12">
        <v>0</v>
      </c>
      <c r="DN205" s="12">
        <v>0</v>
      </c>
      <c r="DO205" s="12">
        <v>0</v>
      </c>
      <c r="DP205" s="12">
        <v>0</v>
      </c>
      <c r="DQ205" s="12">
        <v>0</v>
      </c>
      <c r="DR205" s="12">
        <v>0</v>
      </c>
      <c r="DS205" s="12">
        <v>0</v>
      </c>
      <c r="DT205" s="12">
        <v>0</v>
      </c>
      <c r="DU205" s="12">
        <v>0</v>
      </c>
      <c r="DV205" s="12">
        <v>0</v>
      </c>
      <c r="DW205" s="12">
        <v>0</v>
      </c>
      <c r="DX205" s="12">
        <v>0</v>
      </c>
      <c r="DY205" s="12">
        <v>0</v>
      </c>
      <c r="DZ205" s="12">
        <v>0</v>
      </c>
      <c r="EA205" s="12">
        <v>0</v>
      </c>
      <c r="EB205" s="12">
        <v>0</v>
      </c>
      <c r="EC205" s="12">
        <v>0</v>
      </c>
      <c r="ED205" s="12">
        <v>0</v>
      </c>
      <c r="EE205" s="12">
        <v>0</v>
      </c>
      <c r="EF205" s="12">
        <v>0</v>
      </c>
      <c r="EG205" s="12">
        <v>0</v>
      </c>
      <c r="EH205" s="12">
        <v>0</v>
      </c>
      <c r="EI205" s="12">
        <v>0</v>
      </c>
      <c r="EJ205" s="12">
        <v>0</v>
      </c>
      <c r="EK205" s="12">
        <v>0</v>
      </c>
      <c r="EL205" s="12">
        <v>0</v>
      </c>
      <c r="EM205" s="12">
        <v>0</v>
      </c>
      <c r="EN205" s="12">
        <v>0</v>
      </c>
      <c r="EO205" s="12">
        <v>0</v>
      </c>
      <c r="EP205" s="12" t="str">
        <f t="shared" si="49"/>
        <v>🔴 Sin venta</v>
      </c>
      <c r="EQ205" s="23">
        <f t="shared" si="50"/>
        <v>0</v>
      </c>
      <c r="ER205" s="19">
        <f t="shared" si="48"/>
        <v>0</v>
      </c>
      <c r="ES205" s="12">
        <f t="shared" si="47"/>
        <v>0</v>
      </c>
      <c r="ET205" s="23">
        <f t="shared" si="44"/>
        <v>0.5</v>
      </c>
      <c r="EU205" s="23">
        <f t="shared" si="45"/>
        <v>0</v>
      </c>
      <c r="EV205" s="23">
        <f t="shared" si="46"/>
        <v>0</v>
      </c>
      <c r="EW205" s="23"/>
      <c r="EX205" s="12">
        <v>0</v>
      </c>
      <c r="EY205" s="19" cm="1">
        <f t="array" ref="EY205:FC205">VLOOKUP(_xlfn.SINGLE(B:B),'[1]Price List'!$B:$N,{8,4,5,6,7},0)</f>
        <v>646.03</v>
      </c>
      <c r="EZ205" s="9" t="str">
        <v>Speck Smartshell Case with Microban for Macbook Pro 14" M1/M2 - Clear</v>
      </c>
      <c r="FA205" s="12" t="str">
        <v>Cases Macbook</v>
      </c>
      <c r="FB205" s="12" t="str">
        <v>Macbook</v>
      </c>
      <c r="FC205" s="12" t="str">
        <v>MacBook Pro 14" M1/M2 Cases</v>
      </c>
      <c r="FD205" s="23" t="str">
        <f>_xlfn.XLOOKUP(B:B,'[1]Price List'!$B:$B,'[1]Price List'!$A:$A)</f>
        <v>Speck</v>
      </c>
    </row>
    <row r="206" spans="1:160" s="9" customFormat="1" x14ac:dyDescent="0.2">
      <c r="A206" s="23" t="s">
        <v>599</v>
      </c>
      <c r="B206" s="23">
        <v>840168516711</v>
      </c>
      <c r="C206" s="9" t="s">
        <v>159</v>
      </c>
      <c r="D206" s="9" t="e">
        <v>#N/A</v>
      </c>
      <c r="E206" s="9" t="e">
        <v>#N/A</v>
      </c>
      <c r="F206" s="9" t="e">
        <v>#N/A</v>
      </c>
      <c r="G206" s="9" t="s">
        <v>387</v>
      </c>
      <c r="H206" s="12" t="s">
        <v>160</v>
      </c>
      <c r="I206" s="11">
        <v>1249</v>
      </c>
      <c r="J206" s="11">
        <v>646.03</v>
      </c>
      <c r="K206" s="62">
        <v>0</v>
      </c>
      <c r="L206" s="12">
        <v>0</v>
      </c>
      <c r="M206" s="13" t="s">
        <v>467</v>
      </c>
      <c r="N206" s="13" t="s">
        <v>656</v>
      </c>
      <c r="O206" s="27">
        <v>44565</v>
      </c>
      <c r="P206" s="12">
        <v>1</v>
      </c>
      <c r="Q206" s="12">
        <v>1</v>
      </c>
      <c r="R206" s="12">
        <v>0</v>
      </c>
      <c r="S206" s="12">
        <v>0</v>
      </c>
      <c r="T206" s="12">
        <v>0</v>
      </c>
      <c r="U206" s="12">
        <v>1</v>
      </c>
      <c r="V206" s="12">
        <v>1</v>
      </c>
      <c r="W206" s="12">
        <v>0</v>
      </c>
      <c r="X206" s="12">
        <v>0</v>
      </c>
      <c r="Y206" s="12">
        <v>1</v>
      </c>
      <c r="Z206" s="12">
        <v>1</v>
      </c>
      <c r="AA206" s="12">
        <v>1</v>
      </c>
      <c r="AB206" s="12">
        <v>2</v>
      </c>
      <c r="AC206" s="12">
        <v>3</v>
      </c>
      <c r="AD206" s="12">
        <v>1</v>
      </c>
      <c r="AE206" s="12">
        <v>1</v>
      </c>
      <c r="AF206" s="12">
        <v>2</v>
      </c>
      <c r="AG206" s="12">
        <v>1</v>
      </c>
      <c r="AH206" s="12">
        <v>1</v>
      </c>
      <c r="AI206" s="12">
        <v>0</v>
      </c>
      <c r="AJ206" s="12">
        <v>2</v>
      </c>
      <c r="AK206" s="12">
        <v>0</v>
      </c>
      <c r="AL206" s="12">
        <v>0</v>
      </c>
      <c r="AM206" s="12">
        <v>0</v>
      </c>
      <c r="AN206" s="12">
        <v>1</v>
      </c>
      <c r="AO206" s="12">
        <v>2</v>
      </c>
      <c r="AP206" s="12">
        <v>0</v>
      </c>
      <c r="AQ206" s="12">
        <v>0</v>
      </c>
      <c r="AR206" s="12">
        <v>1</v>
      </c>
      <c r="AS206" s="12">
        <v>0</v>
      </c>
      <c r="AT206" s="12">
        <v>0</v>
      </c>
      <c r="AU206" s="12">
        <v>0</v>
      </c>
      <c r="AV206" s="12">
        <v>1</v>
      </c>
      <c r="AW206" s="12">
        <v>1</v>
      </c>
      <c r="AX206" s="12">
        <v>1</v>
      </c>
      <c r="AY206" s="12">
        <v>2</v>
      </c>
      <c r="AZ206" s="12">
        <v>0</v>
      </c>
      <c r="BA206" s="12">
        <v>0</v>
      </c>
      <c r="BB206" s="12">
        <v>1</v>
      </c>
      <c r="BC206" s="12">
        <v>0</v>
      </c>
      <c r="BD206" s="12">
        <v>0</v>
      </c>
      <c r="BE206" s="12">
        <v>0</v>
      </c>
      <c r="BF206" s="12">
        <v>0</v>
      </c>
      <c r="BG206" s="12">
        <v>0</v>
      </c>
      <c r="BH206" s="12">
        <v>0</v>
      </c>
      <c r="BI206" s="12">
        <v>0</v>
      </c>
      <c r="BJ206" s="12">
        <v>0</v>
      </c>
      <c r="BK206" s="12">
        <v>0</v>
      </c>
      <c r="BL206" s="12">
        <v>0</v>
      </c>
      <c r="BM206" s="12">
        <v>0</v>
      </c>
      <c r="BN206" s="12">
        <v>0</v>
      </c>
      <c r="BO206" s="12">
        <v>0</v>
      </c>
      <c r="BP206" s="12">
        <v>0</v>
      </c>
      <c r="BQ206" s="12">
        <v>0</v>
      </c>
      <c r="BR206" s="12">
        <v>1</v>
      </c>
      <c r="BS206" s="12">
        <v>0</v>
      </c>
      <c r="BT206" s="12">
        <v>0</v>
      </c>
      <c r="BU206" s="12">
        <v>0</v>
      </c>
      <c r="BV206" s="12">
        <v>0</v>
      </c>
      <c r="BW206" s="12">
        <v>0</v>
      </c>
      <c r="BX206" s="12">
        <v>0</v>
      </c>
      <c r="BY206" s="12">
        <v>0</v>
      </c>
      <c r="BZ206" s="12">
        <v>0</v>
      </c>
      <c r="CA206" s="12">
        <v>0</v>
      </c>
      <c r="CB206" s="12">
        <v>0</v>
      </c>
      <c r="CC206" s="12">
        <v>0</v>
      </c>
      <c r="CD206" s="12">
        <v>0</v>
      </c>
      <c r="CE206" s="12">
        <v>0</v>
      </c>
      <c r="CF206" s="12">
        <v>0</v>
      </c>
      <c r="CG206" s="12">
        <v>0</v>
      </c>
      <c r="CH206" s="12">
        <v>0</v>
      </c>
      <c r="CI206" s="12">
        <v>0</v>
      </c>
      <c r="CJ206" s="12">
        <v>0</v>
      </c>
      <c r="CK206" s="12">
        <v>0</v>
      </c>
      <c r="CL206" s="12">
        <v>0</v>
      </c>
      <c r="CM206" s="12">
        <v>0</v>
      </c>
      <c r="CN206" s="12">
        <v>0</v>
      </c>
      <c r="CO206" s="12">
        <v>0</v>
      </c>
      <c r="CP206" s="12">
        <v>0</v>
      </c>
      <c r="CQ206" s="12">
        <v>0</v>
      </c>
      <c r="CR206" s="12">
        <v>0</v>
      </c>
      <c r="CS206" s="12">
        <v>0</v>
      </c>
      <c r="CT206" s="12">
        <v>0</v>
      </c>
      <c r="CU206" s="12">
        <v>0</v>
      </c>
      <c r="CV206" s="12">
        <v>0</v>
      </c>
      <c r="CW206" s="12">
        <v>0</v>
      </c>
      <c r="CX206" s="12">
        <v>0</v>
      </c>
      <c r="CY206" s="12">
        <v>1</v>
      </c>
      <c r="CZ206" s="12">
        <v>0</v>
      </c>
      <c r="DA206" s="12">
        <v>0</v>
      </c>
      <c r="DB206" s="12">
        <v>0</v>
      </c>
      <c r="DC206" s="12">
        <v>0</v>
      </c>
      <c r="DD206" s="12">
        <v>0</v>
      </c>
      <c r="DE206" s="12">
        <v>0</v>
      </c>
      <c r="DF206" s="12">
        <v>0</v>
      </c>
      <c r="DG206" s="12">
        <v>0</v>
      </c>
      <c r="DH206" s="12">
        <v>0</v>
      </c>
      <c r="DI206" s="12">
        <v>0</v>
      </c>
      <c r="DJ206" s="12">
        <v>0</v>
      </c>
      <c r="DK206" s="12">
        <v>0</v>
      </c>
      <c r="DL206" s="12">
        <v>0</v>
      </c>
      <c r="DM206" s="12">
        <v>0</v>
      </c>
      <c r="DN206" s="12">
        <v>0</v>
      </c>
      <c r="DO206" s="12">
        <v>1</v>
      </c>
      <c r="DP206" s="12">
        <v>0</v>
      </c>
      <c r="DQ206" s="12">
        <v>0</v>
      </c>
      <c r="DR206" s="12">
        <v>0</v>
      </c>
      <c r="DS206" s="12">
        <v>0</v>
      </c>
      <c r="DT206" s="12">
        <v>0</v>
      </c>
      <c r="DU206" s="12">
        <v>0</v>
      </c>
      <c r="DV206" s="12">
        <v>0</v>
      </c>
      <c r="DW206" s="12">
        <v>0</v>
      </c>
      <c r="DX206" s="12">
        <v>0</v>
      </c>
      <c r="DY206" s="12">
        <v>0</v>
      </c>
      <c r="DZ206" s="12">
        <v>0</v>
      </c>
      <c r="EA206" s="12">
        <v>0</v>
      </c>
      <c r="EB206" s="12">
        <v>0</v>
      </c>
      <c r="EC206" s="12">
        <v>0</v>
      </c>
      <c r="ED206" s="12">
        <v>0</v>
      </c>
      <c r="EE206" s="12">
        <v>0</v>
      </c>
      <c r="EF206" s="12">
        <v>0</v>
      </c>
      <c r="EG206" s="12">
        <v>0</v>
      </c>
      <c r="EH206" s="12">
        <v>0</v>
      </c>
      <c r="EI206" s="12">
        <v>0</v>
      </c>
      <c r="EJ206" s="12">
        <v>0</v>
      </c>
      <c r="EK206" s="12">
        <v>0</v>
      </c>
      <c r="EL206" s="12">
        <v>0</v>
      </c>
      <c r="EM206" s="12">
        <v>0</v>
      </c>
      <c r="EN206" s="12">
        <v>0</v>
      </c>
      <c r="EO206" s="12">
        <v>0</v>
      </c>
      <c r="EP206" s="12" t="str">
        <f t="shared" si="49"/>
        <v>🔴 Sin venta</v>
      </c>
      <c r="EQ206" s="23">
        <f t="shared" si="50"/>
        <v>0</v>
      </c>
      <c r="ER206" s="19">
        <f t="shared" si="48"/>
        <v>0</v>
      </c>
      <c r="ES206" s="12">
        <f t="shared" si="47"/>
        <v>0</v>
      </c>
      <c r="ET206" s="23">
        <f t="shared" si="44"/>
        <v>0</v>
      </c>
      <c r="EU206" s="23">
        <f t="shared" si="45"/>
        <v>0.5</v>
      </c>
      <c r="EV206" s="23">
        <f t="shared" si="46"/>
        <v>0</v>
      </c>
      <c r="EW206" s="23"/>
      <c r="EX206" s="12">
        <v>0</v>
      </c>
      <c r="EY206" s="19" cm="1">
        <f t="array" ref="EY206:FC206">VLOOKUP(_xlfn.SINGLE(B:B),'[1]Price List'!$B:$N,{8,4,5,6,7},0)</f>
        <v>646.03</v>
      </c>
      <c r="EZ206" s="9" t="str">
        <v>Speck Smartshell Case with Microban for Macbook Pro 14" M1/M2 - Onix Black</v>
      </c>
      <c r="FA206" s="12" t="str">
        <v>Cases Macbook</v>
      </c>
      <c r="FB206" s="12" t="str">
        <v>Macbook</v>
      </c>
      <c r="FC206" s="12" t="str">
        <v>MacBook Pro 14" M1/M2 Cases</v>
      </c>
      <c r="FD206" s="23" t="str">
        <f>_xlfn.XLOOKUP(B:B,'[1]Price List'!$B:$B,'[1]Price List'!$A:$A)</f>
        <v>Speck</v>
      </c>
    </row>
    <row r="207" spans="1:160" s="9" customFormat="1" x14ac:dyDescent="0.2">
      <c r="A207" s="23" t="s">
        <v>599</v>
      </c>
      <c r="B207" s="23">
        <v>848709082992</v>
      </c>
      <c r="C207" s="9" t="s">
        <v>56</v>
      </c>
      <c r="D207" s="9" t="e">
        <v>#N/A</v>
      </c>
      <c r="E207" s="9" t="e">
        <v>#N/A</v>
      </c>
      <c r="F207" s="9" t="e">
        <v>#N/A</v>
      </c>
      <c r="G207" s="9" t="s">
        <v>692</v>
      </c>
      <c r="H207" s="12" t="s">
        <v>57</v>
      </c>
      <c r="I207" s="12">
        <v>999</v>
      </c>
      <c r="J207" s="11">
        <v>516.72</v>
      </c>
      <c r="K207" s="62">
        <v>0</v>
      </c>
      <c r="L207" s="12">
        <v>0</v>
      </c>
      <c r="M207" s="13" t="s">
        <v>467</v>
      </c>
      <c r="N207" s="13" t="s">
        <v>656</v>
      </c>
      <c r="O207" s="27" t="s">
        <v>58</v>
      </c>
      <c r="P207" s="12">
        <v>0</v>
      </c>
      <c r="Q207" s="12">
        <v>1</v>
      </c>
      <c r="R207" s="12">
        <v>0</v>
      </c>
      <c r="S207" s="12">
        <v>0</v>
      </c>
      <c r="T207" s="12">
        <v>0</v>
      </c>
      <c r="U207" s="12">
        <v>0</v>
      </c>
      <c r="V207" s="12">
        <v>1</v>
      </c>
      <c r="W207" s="12">
        <v>0</v>
      </c>
      <c r="X207" s="12">
        <v>0</v>
      </c>
      <c r="Y207" s="12">
        <v>1</v>
      </c>
      <c r="Z207" s="12">
        <v>1</v>
      </c>
      <c r="AA207" s="12">
        <v>0</v>
      </c>
      <c r="AB207" s="12">
        <v>0</v>
      </c>
      <c r="AC207" s="12">
        <v>0</v>
      </c>
      <c r="AD207" s="12">
        <v>2</v>
      </c>
      <c r="AE207" s="12">
        <v>0</v>
      </c>
      <c r="AF207" s="12">
        <v>1</v>
      </c>
      <c r="AG207" s="12">
        <v>1</v>
      </c>
      <c r="AH207" s="12">
        <v>0</v>
      </c>
      <c r="AI207" s="12">
        <v>0</v>
      </c>
      <c r="AJ207" s="12">
        <v>0</v>
      </c>
      <c r="AK207" s="12">
        <v>0</v>
      </c>
      <c r="AL207" s="12">
        <v>0</v>
      </c>
      <c r="AM207" s="12">
        <v>1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2">
        <v>0</v>
      </c>
      <c r="AW207" s="12">
        <v>0</v>
      </c>
      <c r="AX207" s="12">
        <v>0</v>
      </c>
      <c r="AY207" s="12">
        <v>1</v>
      </c>
      <c r="AZ207" s="12">
        <v>0</v>
      </c>
      <c r="BA207" s="12">
        <v>0</v>
      </c>
      <c r="BB207" s="12">
        <v>0</v>
      </c>
      <c r="BC207" s="12">
        <v>1</v>
      </c>
      <c r="BD207" s="12">
        <v>0</v>
      </c>
      <c r="BE207" s="12">
        <v>0</v>
      </c>
      <c r="BF207" s="12">
        <v>0</v>
      </c>
      <c r="BG207" s="12">
        <v>0</v>
      </c>
      <c r="BH207" s="12">
        <v>0</v>
      </c>
      <c r="BI207" s="12">
        <v>0</v>
      </c>
      <c r="BJ207" s="12">
        <v>0</v>
      </c>
      <c r="BK207" s="12">
        <v>0</v>
      </c>
      <c r="BL207" s="12">
        <v>0</v>
      </c>
      <c r="BM207" s="12">
        <v>0</v>
      </c>
      <c r="BN207" s="12">
        <v>0</v>
      </c>
      <c r="BO207" s="12">
        <v>0</v>
      </c>
      <c r="BP207" s="12">
        <v>0</v>
      </c>
      <c r="BQ207" s="12">
        <v>0</v>
      </c>
      <c r="BR207" s="12">
        <v>0</v>
      </c>
      <c r="BS207" s="12">
        <v>0</v>
      </c>
      <c r="BT207" s="12">
        <v>0</v>
      </c>
      <c r="BU207" s="12">
        <v>0</v>
      </c>
      <c r="BV207" s="12">
        <v>0</v>
      </c>
      <c r="BW207" s="12">
        <v>0</v>
      </c>
      <c r="BX207" s="12">
        <v>0</v>
      </c>
      <c r="BY207" s="12">
        <v>0</v>
      </c>
      <c r="BZ207" s="12">
        <v>0</v>
      </c>
      <c r="CA207" s="12">
        <v>0</v>
      </c>
      <c r="CB207" s="12">
        <v>0</v>
      </c>
      <c r="CC207" s="12">
        <v>0</v>
      </c>
      <c r="CD207" s="12">
        <v>0</v>
      </c>
      <c r="CE207" s="12">
        <v>0</v>
      </c>
      <c r="CF207" s="12">
        <v>0</v>
      </c>
      <c r="CG207" s="12">
        <v>0</v>
      </c>
      <c r="CH207" s="12">
        <v>0</v>
      </c>
      <c r="CI207" s="12">
        <v>0</v>
      </c>
      <c r="CJ207" s="12">
        <v>0</v>
      </c>
      <c r="CK207" s="12">
        <v>0</v>
      </c>
      <c r="CL207" s="12">
        <v>0</v>
      </c>
      <c r="CM207" s="12">
        <v>0</v>
      </c>
      <c r="CN207" s="12">
        <v>0</v>
      </c>
      <c r="CO207" s="12">
        <v>0</v>
      </c>
      <c r="CP207" s="12">
        <v>0</v>
      </c>
      <c r="CQ207" s="12">
        <v>0</v>
      </c>
      <c r="CR207" s="12">
        <v>0</v>
      </c>
      <c r="CS207" s="12">
        <v>0</v>
      </c>
      <c r="CT207" s="12">
        <v>0</v>
      </c>
      <c r="CU207" s="12">
        <v>0</v>
      </c>
      <c r="CV207" s="12">
        <v>0</v>
      </c>
      <c r="CW207" s="12">
        <v>0</v>
      </c>
      <c r="CX207" s="12">
        <v>0</v>
      </c>
      <c r="CY207" s="12">
        <v>0</v>
      </c>
      <c r="CZ207" s="12">
        <v>0</v>
      </c>
      <c r="DA207" s="12">
        <v>0</v>
      </c>
      <c r="DB207" s="12">
        <v>0</v>
      </c>
      <c r="DC207" s="12">
        <v>0</v>
      </c>
      <c r="DD207" s="12">
        <v>0</v>
      </c>
      <c r="DE207" s="12">
        <v>0</v>
      </c>
      <c r="DF207" s="12">
        <v>0</v>
      </c>
      <c r="DG207" s="12">
        <v>0</v>
      </c>
      <c r="DH207" s="12">
        <v>0</v>
      </c>
      <c r="DI207" s="12">
        <v>1</v>
      </c>
      <c r="DJ207" s="12">
        <v>0</v>
      </c>
      <c r="DK207" s="12">
        <v>0</v>
      </c>
      <c r="DL207" s="12">
        <v>0</v>
      </c>
      <c r="DM207" s="12">
        <v>0</v>
      </c>
      <c r="DN207" s="12">
        <v>0</v>
      </c>
      <c r="DO207" s="12">
        <v>0</v>
      </c>
      <c r="DP207" s="12">
        <v>0</v>
      </c>
      <c r="DQ207" s="12">
        <v>0</v>
      </c>
      <c r="DR207" s="12">
        <v>0</v>
      </c>
      <c r="DS207" s="12">
        <v>0</v>
      </c>
      <c r="DT207" s="12">
        <v>0</v>
      </c>
      <c r="DU207" s="12">
        <v>0</v>
      </c>
      <c r="DV207" s="12">
        <v>0</v>
      </c>
      <c r="DW207" s="12">
        <v>0</v>
      </c>
      <c r="DX207" s="12">
        <v>0</v>
      </c>
      <c r="DY207" s="12">
        <v>0</v>
      </c>
      <c r="DZ207" s="12">
        <v>0</v>
      </c>
      <c r="EA207" s="12">
        <v>0</v>
      </c>
      <c r="EB207" s="12">
        <v>0</v>
      </c>
      <c r="EC207" s="12">
        <v>0</v>
      </c>
      <c r="ED207" s="12">
        <v>0</v>
      </c>
      <c r="EE207" s="12">
        <v>0</v>
      </c>
      <c r="EF207" s="12">
        <v>0</v>
      </c>
      <c r="EG207" s="12">
        <v>0</v>
      </c>
      <c r="EH207" s="12">
        <v>0</v>
      </c>
      <c r="EI207" s="12">
        <v>0</v>
      </c>
      <c r="EJ207" s="12">
        <v>0</v>
      </c>
      <c r="EK207" s="12">
        <v>0</v>
      </c>
      <c r="EL207" s="12">
        <v>0</v>
      </c>
      <c r="EM207" s="12">
        <v>0</v>
      </c>
      <c r="EN207" s="12">
        <v>0</v>
      </c>
      <c r="EO207" s="12">
        <v>0</v>
      </c>
      <c r="EP207" s="12" t="str">
        <f t="shared" si="49"/>
        <v>🔴 Sin venta</v>
      </c>
      <c r="EQ207" s="23">
        <f t="shared" si="50"/>
        <v>0</v>
      </c>
      <c r="ER207" s="19">
        <f t="shared" si="48"/>
        <v>0</v>
      </c>
      <c r="ES207" s="12">
        <f t="shared" si="47"/>
        <v>0</v>
      </c>
      <c r="ET207" s="23">
        <f t="shared" si="44"/>
        <v>0</v>
      </c>
      <c r="EU207" s="23">
        <f t="shared" si="45"/>
        <v>0.5</v>
      </c>
      <c r="EV207" s="23">
        <f t="shared" si="46"/>
        <v>0</v>
      </c>
      <c r="EW207" s="23"/>
      <c r="EX207" s="12">
        <v>0</v>
      </c>
      <c r="EY207" s="19" cm="1">
        <f t="array" ref="EY207:FC207">VLOOKUP(_xlfn.SINGLE(B:B),'[1]Price List'!$B:$N,{8,4,5,6,7},0)</f>
        <v>516.72</v>
      </c>
      <c r="EZ207" s="9" t="str">
        <v>Speck Presidio Perfect Clear Clear iPhone SE2</v>
      </c>
      <c r="FA207" s="12" t="str">
        <v>Cases iPhone</v>
      </c>
      <c r="FB207" s="12" t="str">
        <v>iPhone SE</v>
      </c>
      <c r="FC207" s="12" t="str">
        <v>iPhone SE 2020 -2022</v>
      </c>
      <c r="FD207" s="23" t="str">
        <f>_xlfn.XLOOKUP(B:B,'[1]Price List'!$B:$B,'[1]Price List'!$A:$A)</f>
        <v>Speck</v>
      </c>
    </row>
    <row r="208" spans="1:160" s="9" customFormat="1" x14ac:dyDescent="0.2">
      <c r="A208" s="23" t="s">
        <v>599</v>
      </c>
      <c r="B208" s="23">
        <v>848709097910</v>
      </c>
      <c r="C208" s="9" t="s">
        <v>112</v>
      </c>
      <c r="D208" s="9" t="e">
        <v>#N/A</v>
      </c>
      <c r="E208" s="9" t="e">
        <v>#N/A</v>
      </c>
      <c r="F208" s="9" t="e">
        <v>#N/A</v>
      </c>
      <c r="G208" s="9" t="s">
        <v>307</v>
      </c>
      <c r="H208" s="12" t="s">
        <v>113</v>
      </c>
      <c r="I208" s="11">
        <v>1349</v>
      </c>
      <c r="J208" s="11">
        <v>697.76</v>
      </c>
      <c r="K208" s="62">
        <v>0</v>
      </c>
      <c r="L208" s="12">
        <v>0</v>
      </c>
      <c r="M208" s="13" t="s">
        <v>467</v>
      </c>
      <c r="N208" s="13" t="s">
        <v>656</v>
      </c>
      <c r="O208" s="27" t="s">
        <v>114</v>
      </c>
      <c r="P208" s="12">
        <v>0</v>
      </c>
      <c r="Q208" s="12">
        <v>1</v>
      </c>
      <c r="R208" s="12">
        <v>0</v>
      </c>
      <c r="S208" s="12">
        <v>0</v>
      </c>
      <c r="T208" s="12">
        <v>1</v>
      </c>
      <c r="U208" s="12">
        <v>0</v>
      </c>
      <c r="V208" s="12">
        <v>2</v>
      </c>
      <c r="W208" s="12">
        <v>1</v>
      </c>
      <c r="X208" s="12">
        <v>0</v>
      </c>
      <c r="Y208" s="12">
        <v>0</v>
      </c>
      <c r="Z208" s="12">
        <v>0</v>
      </c>
      <c r="AA208" s="12">
        <v>0</v>
      </c>
      <c r="AB208" s="12">
        <v>0</v>
      </c>
      <c r="AC208" s="12">
        <v>1</v>
      </c>
      <c r="AD208" s="12">
        <v>0</v>
      </c>
      <c r="AE208" s="12">
        <v>0</v>
      </c>
      <c r="AF208" s="12">
        <v>0</v>
      </c>
      <c r="AG208" s="12">
        <v>0</v>
      </c>
      <c r="AH208" s="12">
        <v>1</v>
      </c>
      <c r="AI208" s="12">
        <v>0</v>
      </c>
      <c r="AJ208" s="12">
        <v>1</v>
      </c>
      <c r="AK208" s="12">
        <v>0</v>
      </c>
      <c r="AL208" s="12">
        <v>0</v>
      </c>
      <c r="AM208" s="12">
        <v>0</v>
      </c>
      <c r="AN208" s="12">
        <v>0</v>
      </c>
      <c r="AO208" s="12">
        <v>1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2">
        <v>0</v>
      </c>
      <c r="AW208" s="12">
        <v>0</v>
      </c>
      <c r="AX208" s="12">
        <v>2</v>
      </c>
      <c r="AY208" s="12">
        <v>1</v>
      </c>
      <c r="AZ208" s="12">
        <v>0</v>
      </c>
      <c r="BA208" s="12">
        <v>0</v>
      </c>
      <c r="BB208" s="12">
        <v>0</v>
      </c>
      <c r="BC208" s="12">
        <v>0</v>
      </c>
      <c r="BD208" s="12">
        <v>0</v>
      </c>
      <c r="BE208" s="12">
        <v>0</v>
      </c>
      <c r="BF208" s="12">
        <v>0</v>
      </c>
      <c r="BG208" s="12">
        <v>0</v>
      </c>
      <c r="BH208" s="12">
        <v>0</v>
      </c>
      <c r="BI208" s="12">
        <v>0</v>
      </c>
      <c r="BJ208" s="12">
        <v>0</v>
      </c>
      <c r="BK208" s="12">
        <v>0</v>
      </c>
      <c r="BL208" s="12">
        <v>0</v>
      </c>
      <c r="BM208" s="12">
        <v>0</v>
      </c>
      <c r="BN208" s="12">
        <v>0</v>
      </c>
      <c r="BO208" s="12">
        <v>0</v>
      </c>
      <c r="BP208" s="12">
        <v>0</v>
      </c>
      <c r="BQ208" s="12">
        <v>0</v>
      </c>
      <c r="BR208" s="12">
        <v>1</v>
      </c>
      <c r="BS208" s="12">
        <v>0</v>
      </c>
      <c r="BT208" s="12">
        <v>0</v>
      </c>
      <c r="BU208" s="12">
        <v>0</v>
      </c>
      <c r="BV208" s="12">
        <v>0</v>
      </c>
      <c r="BW208" s="12">
        <v>0</v>
      </c>
      <c r="BX208" s="12">
        <v>0</v>
      </c>
      <c r="BY208" s="12">
        <v>0</v>
      </c>
      <c r="BZ208" s="12">
        <v>0</v>
      </c>
      <c r="CA208" s="12">
        <v>0</v>
      </c>
      <c r="CB208" s="12">
        <v>0</v>
      </c>
      <c r="CC208" s="12">
        <v>0</v>
      </c>
      <c r="CD208" s="12">
        <v>0</v>
      </c>
      <c r="CE208" s="12">
        <v>0</v>
      </c>
      <c r="CF208" s="12">
        <v>0</v>
      </c>
      <c r="CG208" s="12">
        <v>0</v>
      </c>
      <c r="CH208" s="12">
        <v>0</v>
      </c>
      <c r="CI208" s="12">
        <v>0</v>
      </c>
      <c r="CJ208" s="12">
        <v>0</v>
      </c>
      <c r="CK208" s="12">
        <v>0</v>
      </c>
      <c r="CL208" s="12">
        <v>0</v>
      </c>
      <c r="CM208" s="12">
        <v>0</v>
      </c>
      <c r="CN208" s="12">
        <v>0</v>
      </c>
      <c r="CO208" s="12">
        <v>0</v>
      </c>
      <c r="CP208" s="12">
        <v>0</v>
      </c>
      <c r="CQ208" s="12">
        <v>0</v>
      </c>
      <c r="CR208" s="12">
        <v>0</v>
      </c>
      <c r="CS208" s="12">
        <v>0</v>
      </c>
      <c r="CT208" s="12">
        <v>0</v>
      </c>
      <c r="CU208" s="12">
        <v>0</v>
      </c>
      <c r="CV208" s="12">
        <v>0</v>
      </c>
      <c r="CW208" s="12">
        <v>0</v>
      </c>
      <c r="CX208" s="12">
        <v>0</v>
      </c>
      <c r="CY208" s="12">
        <v>0</v>
      </c>
      <c r="CZ208" s="12">
        <v>0</v>
      </c>
      <c r="DA208" s="12">
        <v>0</v>
      </c>
      <c r="DB208" s="12">
        <v>0</v>
      </c>
      <c r="DC208" s="12">
        <v>0</v>
      </c>
      <c r="DD208" s="12">
        <v>0</v>
      </c>
      <c r="DE208" s="12">
        <v>0</v>
      </c>
      <c r="DF208" s="12">
        <v>0</v>
      </c>
      <c r="DG208" s="12">
        <v>0</v>
      </c>
      <c r="DH208" s="12">
        <v>0</v>
      </c>
      <c r="DI208" s="12">
        <v>0</v>
      </c>
      <c r="DJ208" s="12">
        <v>0</v>
      </c>
      <c r="DK208" s="12">
        <v>0</v>
      </c>
      <c r="DL208" s="12">
        <v>1</v>
      </c>
      <c r="DM208" s="12">
        <v>0</v>
      </c>
      <c r="DN208" s="12">
        <v>1</v>
      </c>
      <c r="DO208" s="12">
        <v>0</v>
      </c>
      <c r="DP208" s="12">
        <v>0</v>
      </c>
      <c r="DQ208" s="12">
        <v>0</v>
      </c>
      <c r="DR208" s="12">
        <v>0</v>
      </c>
      <c r="DS208" s="12">
        <v>0</v>
      </c>
      <c r="DT208" s="12">
        <v>0</v>
      </c>
      <c r="DU208" s="12">
        <v>0</v>
      </c>
      <c r="DV208" s="12">
        <v>0</v>
      </c>
      <c r="DW208" s="12">
        <v>0</v>
      </c>
      <c r="DX208" s="12">
        <v>0</v>
      </c>
      <c r="DY208" s="12">
        <v>0</v>
      </c>
      <c r="DZ208" s="12">
        <v>0</v>
      </c>
      <c r="EA208" s="12">
        <v>0</v>
      </c>
      <c r="EB208" s="12">
        <v>0</v>
      </c>
      <c r="EC208" s="12">
        <v>0</v>
      </c>
      <c r="ED208" s="12">
        <v>1</v>
      </c>
      <c r="EE208" s="12">
        <v>0</v>
      </c>
      <c r="EF208" s="12">
        <v>0</v>
      </c>
      <c r="EG208" s="12">
        <v>0</v>
      </c>
      <c r="EH208" s="12">
        <v>0</v>
      </c>
      <c r="EI208" s="12">
        <v>0</v>
      </c>
      <c r="EJ208" s="12">
        <v>0</v>
      </c>
      <c r="EK208" s="12">
        <v>0</v>
      </c>
      <c r="EL208" s="12">
        <v>0</v>
      </c>
      <c r="EM208" s="12">
        <v>0</v>
      </c>
      <c r="EN208" s="12">
        <v>0</v>
      </c>
      <c r="EO208" s="12">
        <v>0</v>
      </c>
      <c r="EP208" s="12" t="str">
        <f t="shared" si="49"/>
        <v>🔴 Sin venta</v>
      </c>
      <c r="EQ208" s="23">
        <f t="shared" si="50"/>
        <v>4.1666666666666664E-2</v>
      </c>
      <c r="ER208" s="19">
        <f t="shared" si="48"/>
        <v>697.76</v>
      </c>
      <c r="ES208" s="12">
        <f t="shared" si="47"/>
        <v>1</v>
      </c>
      <c r="ET208" s="23">
        <f t="shared" si="44"/>
        <v>0</v>
      </c>
      <c r="EU208" s="23">
        <f t="shared" ref="EU208:EU253" si="51">ROUND((AVERAGE(DH208:DO208)*4),2)</f>
        <v>1</v>
      </c>
      <c r="EV208" s="23">
        <f t="shared" si="46"/>
        <v>0.27</v>
      </c>
      <c r="EW208" s="23"/>
      <c r="EX208" s="12">
        <v>7</v>
      </c>
      <c r="EY208" s="19" cm="1">
        <f t="array" ref="EY208:FC208">VLOOKUP(_xlfn.SINGLE(B:B),'[1]Price List'!$B:$N,{8,4,5,6,7},0)</f>
        <v>697.76</v>
      </c>
      <c r="EZ208" s="9" t="str">
        <v>Speck Smartshell Case Swell Blue MacBook Pro 13</v>
      </c>
      <c r="FA208" s="12" t="str">
        <v>Cases Macbook</v>
      </c>
      <c r="FB208" s="12" t="str">
        <v>Macbook</v>
      </c>
      <c r="FC208" s="12" t="str">
        <v>MacBook Pro 13" M1/M2 Cases</v>
      </c>
      <c r="FD208" s="23" t="str">
        <f>_xlfn.XLOOKUP(B:B,'[1]Price List'!$B:$B,'[1]Price List'!$A:$A)</f>
        <v>Speck</v>
      </c>
    </row>
    <row r="209" spans="1:160" s="9" customFormat="1" x14ac:dyDescent="0.2">
      <c r="A209" s="23" t="s">
        <v>599</v>
      </c>
      <c r="B209" s="23">
        <v>848709060709</v>
      </c>
      <c r="C209" s="9" t="s">
        <v>6</v>
      </c>
      <c r="D209" s="9" t="e">
        <v>#N/A</v>
      </c>
      <c r="E209" s="9" t="e">
        <v>#N/A</v>
      </c>
      <c r="F209" s="9" t="e">
        <v>#N/A</v>
      </c>
      <c r="G209" s="9" t="s">
        <v>692</v>
      </c>
      <c r="H209" s="12" t="s">
        <v>7</v>
      </c>
      <c r="I209" s="12">
        <v>999</v>
      </c>
      <c r="J209" s="11">
        <v>516.72</v>
      </c>
      <c r="K209" s="62">
        <v>0</v>
      </c>
      <c r="L209" s="12">
        <v>0</v>
      </c>
      <c r="M209" s="13" t="s">
        <v>467</v>
      </c>
      <c r="N209" s="13" t="s">
        <v>656</v>
      </c>
      <c r="O209" s="27" t="s">
        <v>8</v>
      </c>
      <c r="P209" s="12">
        <v>1</v>
      </c>
      <c r="Q209" s="12">
        <v>1</v>
      </c>
      <c r="R209" s="12">
        <v>1</v>
      </c>
      <c r="S209" s="12">
        <v>1</v>
      </c>
      <c r="T209" s="12">
        <v>1</v>
      </c>
      <c r="U209" s="12">
        <v>0</v>
      </c>
      <c r="V209" s="12">
        <v>0</v>
      </c>
      <c r="W209" s="12">
        <v>1</v>
      </c>
      <c r="X209" s="12">
        <v>1</v>
      </c>
      <c r="Y209" s="12">
        <v>1</v>
      </c>
      <c r="Z209" s="12">
        <v>2</v>
      </c>
      <c r="AA209" s="12">
        <v>1</v>
      </c>
      <c r="AB209" s="12">
        <v>1</v>
      </c>
      <c r="AC209" s="12">
        <v>1</v>
      </c>
      <c r="AD209" s="12">
        <v>1</v>
      </c>
      <c r="AE209" s="12">
        <v>0</v>
      </c>
      <c r="AF209" s="12">
        <v>0</v>
      </c>
      <c r="AG209" s="12">
        <v>0</v>
      </c>
      <c r="AH209" s="12">
        <v>0</v>
      </c>
      <c r="AI209" s="12">
        <v>0</v>
      </c>
      <c r="AJ209" s="12">
        <v>1</v>
      </c>
      <c r="AK209" s="12">
        <v>0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0</v>
      </c>
      <c r="AS209" s="12">
        <v>1</v>
      </c>
      <c r="AT209" s="12">
        <v>0</v>
      </c>
      <c r="AU209" s="12">
        <v>0</v>
      </c>
      <c r="AV209" s="12">
        <v>1</v>
      </c>
      <c r="AW209" s="12">
        <v>0</v>
      </c>
      <c r="AX209" s="12">
        <v>0</v>
      </c>
      <c r="AY209" s="12">
        <v>1</v>
      </c>
      <c r="AZ209" s="12">
        <v>1</v>
      </c>
      <c r="BA209" s="12">
        <v>1</v>
      </c>
      <c r="BB209" s="12">
        <v>0</v>
      </c>
      <c r="BC209" s="12">
        <v>0</v>
      </c>
      <c r="BD209" s="12">
        <v>0</v>
      </c>
      <c r="BE209" s="12">
        <v>0</v>
      </c>
      <c r="BF209" s="12">
        <v>0</v>
      </c>
      <c r="BG209" s="12">
        <v>0</v>
      </c>
      <c r="BH209" s="12">
        <v>0</v>
      </c>
      <c r="BI209" s="12">
        <v>0</v>
      </c>
      <c r="BJ209" s="12">
        <v>0</v>
      </c>
      <c r="BK209" s="12">
        <v>0</v>
      </c>
      <c r="BL209" s="12">
        <v>0</v>
      </c>
      <c r="BM209" s="12">
        <v>0</v>
      </c>
      <c r="BN209" s="12">
        <v>0</v>
      </c>
      <c r="BO209" s="12">
        <v>0</v>
      </c>
      <c r="BP209" s="12">
        <v>0</v>
      </c>
      <c r="BQ209" s="12">
        <v>0</v>
      </c>
      <c r="BR209" s="12">
        <v>0</v>
      </c>
      <c r="BS209" s="12">
        <v>0</v>
      </c>
      <c r="BT209" s="12">
        <v>0</v>
      </c>
      <c r="BU209" s="12">
        <v>0</v>
      </c>
      <c r="BV209" s="12">
        <v>0</v>
      </c>
      <c r="BW209" s="12">
        <v>0</v>
      </c>
      <c r="BX209" s="12">
        <v>0</v>
      </c>
      <c r="BY209" s="12">
        <v>0</v>
      </c>
      <c r="BZ209" s="12">
        <v>0</v>
      </c>
      <c r="CA209" s="12">
        <v>0</v>
      </c>
      <c r="CB209" s="12">
        <v>0</v>
      </c>
      <c r="CC209" s="12">
        <v>0</v>
      </c>
      <c r="CD209" s="12">
        <v>0</v>
      </c>
      <c r="CE209" s="12">
        <v>0</v>
      </c>
      <c r="CF209" s="12">
        <v>0</v>
      </c>
      <c r="CG209" s="12">
        <v>0</v>
      </c>
      <c r="CH209" s="12">
        <v>0</v>
      </c>
      <c r="CI209" s="12">
        <v>0</v>
      </c>
      <c r="CJ209" s="12">
        <v>0</v>
      </c>
      <c r="CK209" s="12">
        <v>0</v>
      </c>
      <c r="CL209" s="12">
        <v>0</v>
      </c>
      <c r="CM209" s="12">
        <v>0</v>
      </c>
      <c r="CN209" s="12">
        <v>0</v>
      </c>
      <c r="CO209" s="12">
        <v>0</v>
      </c>
      <c r="CP209" s="12">
        <v>0</v>
      </c>
      <c r="CQ209" s="12">
        <v>0</v>
      </c>
      <c r="CR209" s="12">
        <v>0</v>
      </c>
      <c r="CS209" s="12">
        <v>0</v>
      </c>
      <c r="CT209" s="12">
        <v>0</v>
      </c>
      <c r="CU209" s="12">
        <v>0</v>
      </c>
      <c r="CV209" s="12">
        <v>0</v>
      </c>
      <c r="CW209" s="12">
        <v>0</v>
      </c>
      <c r="CX209" s="12">
        <v>0</v>
      </c>
      <c r="CY209" s="12">
        <v>0</v>
      </c>
      <c r="CZ209" s="12">
        <v>0</v>
      </c>
      <c r="DA209" s="12">
        <v>0</v>
      </c>
      <c r="DB209" s="12">
        <v>0</v>
      </c>
      <c r="DC209" s="12">
        <v>0</v>
      </c>
      <c r="DD209" s="12">
        <v>0</v>
      </c>
      <c r="DE209" s="12">
        <v>0</v>
      </c>
      <c r="DF209" s="12">
        <v>0</v>
      </c>
      <c r="DG209" s="12">
        <v>0</v>
      </c>
      <c r="DH209" s="12">
        <v>0</v>
      </c>
      <c r="DI209" s="12">
        <v>0</v>
      </c>
      <c r="DJ209" s="12">
        <v>0</v>
      </c>
      <c r="DK209" s="12">
        <v>0</v>
      </c>
      <c r="DL209" s="12">
        <v>0</v>
      </c>
      <c r="DM209" s="12">
        <v>0</v>
      </c>
      <c r="DN209" s="12">
        <v>0</v>
      </c>
      <c r="DO209" s="12">
        <v>0</v>
      </c>
      <c r="DP209" s="12">
        <v>0</v>
      </c>
      <c r="DQ209" s="12">
        <v>0</v>
      </c>
      <c r="DR209" s="12">
        <v>0</v>
      </c>
      <c r="DS209" s="12">
        <v>0</v>
      </c>
      <c r="DT209" s="12">
        <v>0</v>
      </c>
      <c r="DU209" s="12">
        <v>0</v>
      </c>
      <c r="DV209" s="12">
        <v>0</v>
      </c>
      <c r="DW209" s="12">
        <v>0</v>
      </c>
      <c r="DX209" s="12">
        <v>0</v>
      </c>
      <c r="DY209" s="12">
        <v>0</v>
      </c>
      <c r="DZ209" s="12">
        <v>0</v>
      </c>
      <c r="EA209" s="12">
        <v>0</v>
      </c>
      <c r="EB209" s="12">
        <v>0</v>
      </c>
      <c r="EC209" s="12">
        <v>0</v>
      </c>
      <c r="ED209" s="12">
        <v>0</v>
      </c>
      <c r="EE209" s="12">
        <v>0</v>
      </c>
      <c r="EF209" s="12">
        <v>0</v>
      </c>
      <c r="EG209" s="12">
        <v>0</v>
      </c>
      <c r="EH209" s="12">
        <v>0</v>
      </c>
      <c r="EI209" s="12">
        <v>0</v>
      </c>
      <c r="EJ209" s="12">
        <v>0</v>
      </c>
      <c r="EK209" s="12">
        <v>0</v>
      </c>
      <c r="EL209" s="12">
        <v>0</v>
      </c>
      <c r="EM209" s="12">
        <v>0</v>
      </c>
      <c r="EN209" s="12">
        <v>0</v>
      </c>
      <c r="EO209" s="12">
        <v>0</v>
      </c>
      <c r="EP209" s="12" t="str">
        <f t="shared" si="49"/>
        <v>🔴 Sin venta</v>
      </c>
      <c r="EQ209" s="23">
        <f t="shared" si="50"/>
        <v>0</v>
      </c>
      <c r="ER209" s="19">
        <f t="shared" si="48"/>
        <v>0</v>
      </c>
      <c r="ES209" s="12">
        <f t="shared" si="47"/>
        <v>0</v>
      </c>
      <c r="ET209" s="23">
        <f t="shared" ref="ET209:ET253" si="52">ROUND((AVERAGE(CZ209:DG209)*4),2)</f>
        <v>0</v>
      </c>
      <c r="EU209" s="23">
        <f t="shared" si="51"/>
        <v>0</v>
      </c>
      <c r="EV209" s="23">
        <f t="shared" ref="EV209:EV240" si="53">ROUND((AVERAGE(DP209:ED209)*4),2)</f>
        <v>0</v>
      </c>
      <c r="EW209" s="23"/>
      <c r="EX209" s="12">
        <v>0</v>
      </c>
      <c r="EY209" s="19" cm="1">
        <f t="array" ref="EY209:FC209">VLOOKUP(_xlfn.SINGLE(B:B),'[1]Price List'!$B:$N,{8,4,5,6,7},0)</f>
        <v>516.72</v>
      </c>
      <c r="EZ209" s="9" t="str">
        <v>Speck Presidio Show - Clear/Black iPhone SE2</v>
      </c>
      <c r="FA209" s="12" t="str">
        <v>Cases iPhone</v>
      </c>
      <c r="FB209" s="12" t="str">
        <v>iPhone SE</v>
      </c>
      <c r="FC209" s="12" t="str">
        <v>iPhone SE 2020 -2022</v>
      </c>
      <c r="FD209" s="23" t="str">
        <f>_xlfn.XLOOKUP(B:B,'[1]Price List'!$B:$B,'[1]Price List'!$A:$A)</f>
        <v>Speck</v>
      </c>
    </row>
    <row r="210" spans="1:160" s="9" customFormat="1" x14ac:dyDescent="0.2">
      <c r="A210" s="23" t="s">
        <v>599</v>
      </c>
      <c r="B210" s="23">
        <v>848709070913</v>
      </c>
      <c r="C210" s="9" t="s">
        <v>12</v>
      </c>
      <c r="D210" s="9" t="e">
        <v>#N/A</v>
      </c>
      <c r="E210" s="9" t="e">
        <v>#N/A</v>
      </c>
      <c r="F210" s="9" t="e">
        <v>#N/A</v>
      </c>
      <c r="G210" s="9" t="s">
        <v>692</v>
      </c>
      <c r="H210" s="12" t="s">
        <v>13</v>
      </c>
      <c r="I210" s="12">
        <v>449</v>
      </c>
      <c r="J210" s="11">
        <v>232.24</v>
      </c>
      <c r="K210" s="62">
        <v>0</v>
      </c>
      <c r="L210" s="12">
        <v>0</v>
      </c>
      <c r="M210" s="13" t="s">
        <v>467</v>
      </c>
      <c r="N210" s="13" t="s">
        <v>656</v>
      </c>
      <c r="O210" s="27" t="s">
        <v>9</v>
      </c>
      <c r="P210" s="12">
        <v>1</v>
      </c>
      <c r="Q210" s="12">
        <v>1</v>
      </c>
      <c r="R210" s="12">
        <v>0</v>
      </c>
      <c r="S210" s="12">
        <v>0</v>
      </c>
      <c r="T210" s="12">
        <v>1</v>
      </c>
      <c r="U210" s="12">
        <v>0</v>
      </c>
      <c r="V210" s="12">
        <v>0</v>
      </c>
      <c r="W210" s="12">
        <v>0</v>
      </c>
      <c r="X210" s="12">
        <v>1</v>
      </c>
      <c r="Y210" s="12">
        <v>0</v>
      </c>
      <c r="Z210" s="12">
        <v>0</v>
      </c>
      <c r="AA210" s="12">
        <v>1</v>
      </c>
      <c r="AB210" s="12">
        <v>1</v>
      </c>
      <c r="AC210" s="12">
        <v>0</v>
      </c>
      <c r="AD210" s="12">
        <v>0</v>
      </c>
      <c r="AE210" s="12">
        <v>0</v>
      </c>
      <c r="AF210" s="12">
        <v>0</v>
      </c>
      <c r="AG210" s="12">
        <v>0</v>
      </c>
      <c r="AH210" s="12">
        <v>0</v>
      </c>
      <c r="AI210" s="12">
        <v>0</v>
      </c>
      <c r="AJ210" s="12">
        <v>0</v>
      </c>
      <c r="AK210" s="12">
        <v>0</v>
      </c>
      <c r="AL210" s="12">
        <v>0</v>
      </c>
      <c r="AM210" s="12">
        <v>0</v>
      </c>
      <c r="AN210" s="12">
        <v>1</v>
      </c>
      <c r="AO210" s="12">
        <v>0</v>
      </c>
      <c r="AP210" s="12">
        <v>0</v>
      </c>
      <c r="AQ210" s="12">
        <v>0</v>
      </c>
      <c r="AR210" s="12">
        <v>0</v>
      </c>
      <c r="AS210" s="12">
        <v>0</v>
      </c>
      <c r="AT210" s="12">
        <v>0</v>
      </c>
      <c r="AU210" s="12">
        <v>0</v>
      </c>
      <c r="AV210" s="12">
        <v>0</v>
      </c>
      <c r="AW210" s="12">
        <v>1</v>
      </c>
      <c r="AX210" s="12">
        <v>0</v>
      </c>
      <c r="AY210" s="12">
        <v>0</v>
      </c>
      <c r="AZ210" s="12">
        <v>0</v>
      </c>
      <c r="BA210" s="12">
        <v>0</v>
      </c>
      <c r="BB210" s="12">
        <v>0</v>
      </c>
      <c r="BC210" s="12">
        <v>0</v>
      </c>
      <c r="BD210" s="12">
        <v>0</v>
      </c>
      <c r="BE210" s="12">
        <v>0</v>
      </c>
      <c r="BF210" s="12">
        <v>0</v>
      </c>
      <c r="BG210" s="12">
        <v>0</v>
      </c>
      <c r="BH210" s="12">
        <v>0</v>
      </c>
      <c r="BI210" s="12">
        <v>0</v>
      </c>
      <c r="BJ210" s="12">
        <v>0</v>
      </c>
      <c r="BK210" s="12">
        <v>0</v>
      </c>
      <c r="BL210" s="12">
        <v>0</v>
      </c>
      <c r="BM210" s="12">
        <v>0</v>
      </c>
      <c r="BN210" s="12">
        <v>0</v>
      </c>
      <c r="BO210" s="12">
        <v>0</v>
      </c>
      <c r="BP210" s="12">
        <v>0</v>
      </c>
      <c r="BQ210" s="12">
        <v>0</v>
      </c>
      <c r="BR210" s="12">
        <v>0</v>
      </c>
      <c r="BS210" s="12">
        <v>0</v>
      </c>
      <c r="BT210" s="12">
        <v>0</v>
      </c>
      <c r="BU210" s="12">
        <v>0</v>
      </c>
      <c r="BV210" s="12">
        <v>0</v>
      </c>
      <c r="BW210" s="12">
        <v>0</v>
      </c>
      <c r="BX210" s="12">
        <v>0</v>
      </c>
      <c r="BY210" s="12">
        <v>0</v>
      </c>
      <c r="BZ210" s="12">
        <v>0</v>
      </c>
      <c r="CA210" s="12">
        <v>0</v>
      </c>
      <c r="CB210" s="12">
        <v>0</v>
      </c>
      <c r="CC210" s="12">
        <v>0</v>
      </c>
      <c r="CD210" s="12">
        <v>0</v>
      </c>
      <c r="CE210" s="12">
        <v>0</v>
      </c>
      <c r="CF210" s="12">
        <v>0</v>
      </c>
      <c r="CG210" s="12">
        <v>0</v>
      </c>
      <c r="CH210" s="12">
        <v>0</v>
      </c>
      <c r="CI210" s="12">
        <v>0</v>
      </c>
      <c r="CJ210" s="12">
        <v>0</v>
      </c>
      <c r="CK210" s="12">
        <v>0</v>
      </c>
      <c r="CL210" s="12">
        <v>0</v>
      </c>
      <c r="CM210" s="12">
        <v>0</v>
      </c>
      <c r="CN210" s="12">
        <v>0</v>
      </c>
      <c r="CO210" s="12">
        <v>0</v>
      </c>
      <c r="CP210" s="12">
        <v>0</v>
      </c>
      <c r="CQ210" s="12">
        <v>0</v>
      </c>
      <c r="CR210" s="12">
        <v>0</v>
      </c>
      <c r="CS210" s="12">
        <v>0</v>
      </c>
      <c r="CT210" s="12">
        <v>0</v>
      </c>
      <c r="CU210" s="12">
        <v>0</v>
      </c>
      <c r="CV210" s="12">
        <v>0</v>
      </c>
      <c r="CW210" s="12">
        <v>0</v>
      </c>
      <c r="CX210" s="12">
        <v>0</v>
      </c>
      <c r="CY210" s="12">
        <v>0</v>
      </c>
      <c r="CZ210" s="12">
        <v>0</v>
      </c>
      <c r="DA210" s="12">
        <v>0</v>
      </c>
      <c r="DB210" s="12">
        <v>0</v>
      </c>
      <c r="DC210" s="12">
        <v>0</v>
      </c>
      <c r="DD210" s="12">
        <v>0</v>
      </c>
      <c r="DE210" s="12">
        <v>0</v>
      </c>
      <c r="DF210" s="12">
        <v>0</v>
      </c>
      <c r="DG210" s="12">
        <v>0</v>
      </c>
      <c r="DH210" s="12">
        <v>0</v>
      </c>
      <c r="DI210" s="12">
        <v>0</v>
      </c>
      <c r="DJ210" s="12">
        <v>0</v>
      </c>
      <c r="DK210" s="12">
        <v>0</v>
      </c>
      <c r="DL210" s="12">
        <v>0</v>
      </c>
      <c r="DM210" s="12">
        <v>0</v>
      </c>
      <c r="DN210" s="12">
        <v>0</v>
      </c>
      <c r="DO210" s="12">
        <v>0</v>
      </c>
      <c r="DP210" s="12">
        <v>0</v>
      </c>
      <c r="DQ210" s="12">
        <v>0</v>
      </c>
      <c r="DR210" s="12">
        <v>0</v>
      </c>
      <c r="DS210" s="12">
        <v>0</v>
      </c>
      <c r="DT210" s="12">
        <v>0</v>
      </c>
      <c r="DU210" s="12">
        <v>0</v>
      </c>
      <c r="DV210" s="12">
        <v>0</v>
      </c>
      <c r="DW210" s="12">
        <v>0</v>
      </c>
      <c r="DX210" s="12">
        <v>0</v>
      </c>
      <c r="DY210" s="12">
        <v>0</v>
      </c>
      <c r="DZ210" s="12">
        <v>0</v>
      </c>
      <c r="EA210" s="12">
        <v>0</v>
      </c>
      <c r="EB210" s="12">
        <v>0</v>
      </c>
      <c r="EC210" s="12">
        <v>0</v>
      </c>
      <c r="ED210" s="12">
        <v>0</v>
      </c>
      <c r="EE210" s="12">
        <v>0</v>
      </c>
      <c r="EF210" s="12">
        <v>0</v>
      </c>
      <c r="EG210" s="12">
        <v>0</v>
      </c>
      <c r="EH210" s="12">
        <v>0</v>
      </c>
      <c r="EI210" s="12">
        <v>0</v>
      </c>
      <c r="EJ210" s="12">
        <v>0</v>
      </c>
      <c r="EK210" s="12">
        <v>0</v>
      </c>
      <c r="EL210" s="12">
        <v>0</v>
      </c>
      <c r="EM210" s="12">
        <v>0</v>
      </c>
      <c r="EN210" s="12">
        <v>0</v>
      </c>
      <c r="EO210" s="12">
        <v>0</v>
      </c>
      <c r="EP210" s="12" t="str">
        <f t="shared" si="49"/>
        <v>🔴 Sin venta</v>
      </c>
      <c r="EQ210" s="23">
        <f t="shared" si="50"/>
        <v>0</v>
      </c>
      <c r="ER210" s="19">
        <f t="shared" si="48"/>
        <v>0</v>
      </c>
      <c r="ES210" s="12">
        <f t="shared" si="47"/>
        <v>0</v>
      </c>
      <c r="ET210" s="23">
        <f t="shared" si="52"/>
        <v>0</v>
      </c>
      <c r="EU210" s="23">
        <f t="shared" si="51"/>
        <v>0</v>
      </c>
      <c r="EV210" s="23">
        <f t="shared" si="53"/>
        <v>0</v>
      </c>
      <c r="EW210" s="23"/>
      <c r="EX210" s="12">
        <v>0</v>
      </c>
      <c r="EY210" s="19" cm="1">
        <f t="array" ref="EY210:FC210">VLOOKUP(_xlfn.SINGLE(B:B),'[1]Price List'!$B:$N,{8,4,5,6,7},0)</f>
        <v>232.24</v>
      </c>
      <c r="EZ210" s="9" t="str">
        <v>Speck Candyshell Lite - Blue iPhone SE2</v>
      </c>
      <c r="FA210" s="12" t="str">
        <v>Cases iPhone</v>
      </c>
      <c r="FB210" s="12" t="str">
        <v>iPhone SE</v>
      </c>
      <c r="FC210" s="12" t="str">
        <v>iPhone SE 2020 -2022</v>
      </c>
      <c r="FD210" s="23" t="str">
        <f>_xlfn.XLOOKUP(B:B,'[1]Price List'!$B:$B,'[1]Price List'!$A:$A)</f>
        <v>Speck</v>
      </c>
    </row>
    <row r="211" spans="1:160" s="9" customFormat="1" x14ac:dyDescent="0.2">
      <c r="A211" s="23" t="s">
        <v>599</v>
      </c>
      <c r="B211" s="23">
        <v>848709060693</v>
      </c>
      <c r="C211" s="9" t="s">
        <v>3</v>
      </c>
      <c r="D211" s="9" t="e">
        <v>#N/A</v>
      </c>
      <c r="E211" s="9" t="e">
        <v>#N/A</v>
      </c>
      <c r="F211" s="9" t="e">
        <v>#N/A</v>
      </c>
      <c r="G211" s="9" t="s">
        <v>692</v>
      </c>
      <c r="H211" s="12" t="s">
        <v>4</v>
      </c>
      <c r="I211" s="12">
        <v>749</v>
      </c>
      <c r="J211" s="11">
        <v>387.41</v>
      </c>
      <c r="K211" s="62">
        <v>0</v>
      </c>
      <c r="L211" s="12">
        <v>0</v>
      </c>
      <c r="M211" s="13" t="s">
        <v>467</v>
      </c>
      <c r="N211" s="13" t="s">
        <v>656</v>
      </c>
      <c r="O211" s="27" t="s">
        <v>5</v>
      </c>
      <c r="P211" s="12">
        <v>0</v>
      </c>
      <c r="Q211" s="12">
        <v>1</v>
      </c>
      <c r="R211" s="12">
        <v>0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  <c r="X211" s="12">
        <v>0</v>
      </c>
      <c r="Y211" s="12">
        <v>0</v>
      </c>
      <c r="Z211" s="12">
        <v>0</v>
      </c>
      <c r="AA211" s="12">
        <v>0</v>
      </c>
      <c r="AB211" s="12">
        <v>0</v>
      </c>
      <c r="AC211" s="12">
        <v>0</v>
      </c>
      <c r="AD211" s="12">
        <v>0</v>
      </c>
      <c r="AE211" s="12">
        <v>0</v>
      </c>
      <c r="AF211" s="12">
        <v>1</v>
      </c>
      <c r="AG211" s="12">
        <v>0</v>
      </c>
      <c r="AH211" s="12">
        <v>0</v>
      </c>
      <c r="AI211" s="12">
        <v>0</v>
      </c>
      <c r="AJ211" s="12">
        <v>1</v>
      </c>
      <c r="AK211" s="12">
        <v>0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2">
        <v>0</v>
      </c>
      <c r="AW211" s="12">
        <v>0</v>
      </c>
      <c r="AX211" s="12">
        <v>0</v>
      </c>
      <c r="AY211" s="12">
        <v>0</v>
      </c>
      <c r="AZ211" s="12">
        <v>0</v>
      </c>
      <c r="BA211" s="12">
        <v>0</v>
      </c>
      <c r="BB211" s="12">
        <v>0</v>
      </c>
      <c r="BC211" s="12">
        <v>0</v>
      </c>
      <c r="BD211" s="12">
        <v>0</v>
      </c>
      <c r="BE211" s="12">
        <v>0</v>
      </c>
      <c r="BF211" s="12">
        <v>0</v>
      </c>
      <c r="BG211" s="12">
        <v>0</v>
      </c>
      <c r="BH211" s="12">
        <v>0</v>
      </c>
      <c r="BI211" s="12">
        <v>0</v>
      </c>
      <c r="BJ211" s="12">
        <v>0</v>
      </c>
      <c r="BK211" s="12">
        <v>0</v>
      </c>
      <c r="BL211" s="12">
        <v>0</v>
      </c>
      <c r="BM211" s="12">
        <v>0</v>
      </c>
      <c r="BN211" s="12">
        <v>0</v>
      </c>
      <c r="BO211" s="12">
        <v>0</v>
      </c>
      <c r="BP211" s="12">
        <v>0</v>
      </c>
      <c r="BQ211" s="12">
        <v>0</v>
      </c>
      <c r="BR211" s="12">
        <v>0</v>
      </c>
      <c r="BS211" s="12">
        <v>0</v>
      </c>
      <c r="BT211" s="12">
        <v>0</v>
      </c>
      <c r="BU211" s="12">
        <v>0</v>
      </c>
      <c r="BV211" s="12">
        <v>0</v>
      </c>
      <c r="BW211" s="12">
        <v>0</v>
      </c>
      <c r="BX211" s="12">
        <v>0</v>
      </c>
      <c r="BY211" s="12">
        <v>0</v>
      </c>
      <c r="BZ211" s="12">
        <v>0</v>
      </c>
      <c r="CA211" s="12">
        <v>0</v>
      </c>
      <c r="CB211" s="12">
        <v>0</v>
      </c>
      <c r="CC211" s="12">
        <v>0</v>
      </c>
      <c r="CD211" s="12">
        <v>0</v>
      </c>
      <c r="CE211" s="12">
        <v>0</v>
      </c>
      <c r="CF211" s="12">
        <v>0</v>
      </c>
      <c r="CG211" s="12">
        <v>0</v>
      </c>
      <c r="CH211" s="12">
        <v>0</v>
      </c>
      <c r="CI211" s="12">
        <v>0</v>
      </c>
      <c r="CJ211" s="12">
        <v>0</v>
      </c>
      <c r="CK211" s="12">
        <v>0</v>
      </c>
      <c r="CL211" s="12">
        <v>0</v>
      </c>
      <c r="CM211" s="12">
        <v>0</v>
      </c>
      <c r="CN211" s="12">
        <v>0</v>
      </c>
      <c r="CO211" s="12">
        <v>0</v>
      </c>
      <c r="CP211" s="12">
        <v>0</v>
      </c>
      <c r="CQ211" s="12">
        <v>0</v>
      </c>
      <c r="CR211" s="12">
        <v>0</v>
      </c>
      <c r="CS211" s="12">
        <v>0</v>
      </c>
      <c r="CT211" s="12">
        <v>0</v>
      </c>
      <c r="CU211" s="12">
        <v>0</v>
      </c>
      <c r="CV211" s="12">
        <v>0</v>
      </c>
      <c r="CW211" s="12">
        <v>0</v>
      </c>
      <c r="CX211" s="12">
        <v>0</v>
      </c>
      <c r="CY211" s="12">
        <v>0</v>
      </c>
      <c r="CZ211" s="12">
        <v>0</v>
      </c>
      <c r="DA211" s="12">
        <v>0</v>
      </c>
      <c r="DB211" s="12">
        <v>0</v>
      </c>
      <c r="DC211" s="12">
        <v>0</v>
      </c>
      <c r="DD211" s="12">
        <v>0</v>
      </c>
      <c r="DE211" s="12">
        <v>0</v>
      </c>
      <c r="DF211" s="12">
        <v>0</v>
      </c>
      <c r="DG211" s="12">
        <v>0</v>
      </c>
      <c r="DH211" s="12">
        <v>0</v>
      </c>
      <c r="DI211" s="12">
        <v>0</v>
      </c>
      <c r="DJ211" s="12">
        <v>0</v>
      </c>
      <c r="DK211" s="12">
        <v>0</v>
      </c>
      <c r="DL211" s="12">
        <v>0</v>
      </c>
      <c r="DM211" s="12">
        <v>0</v>
      </c>
      <c r="DN211" s="12">
        <v>0</v>
      </c>
      <c r="DO211" s="12">
        <v>0</v>
      </c>
      <c r="DP211" s="12">
        <v>0</v>
      </c>
      <c r="DQ211" s="12">
        <v>0</v>
      </c>
      <c r="DR211" s="12">
        <v>0</v>
      </c>
      <c r="DS211" s="12">
        <v>0</v>
      </c>
      <c r="DT211" s="12">
        <v>0</v>
      </c>
      <c r="DU211" s="12">
        <v>0</v>
      </c>
      <c r="DV211" s="12">
        <v>0</v>
      </c>
      <c r="DW211" s="12">
        <v>0</v>
      </c>
      <c r="DX211" s="12">
        <v>0</v>
      </c>
      <c r="DY211" s="12">
        <v>0</v>
      </c>
      <c r="DZ211" s="12">
        <v>0</v>
      </c>
      <c r="EA211" s="12">
        <v>0</v>
      </c>
      <c r="EB211" s="12">
        <v>0</v>
      </c>
      <c r="EC211" s="12">
        <v>0</v>
      </c>
      <c r="ED211" s="12">
        <v>0</v>
      </c>
      <c r="EE211" s="12">
        <v>0</v>
      </c>
      <c r="EF211" s="12">
        <v>0</v>
      </c>
      <c r="EG211" s="12">
        <v>0</v>
      </c>
      <c r="EH211" s="12">
        <v>0</v>
      </c>
      <c r="EI211" s="12">
        <v>0</v>
      </c>
      <c r="EJ211" s="12">
        <v>0</v>
      </c>
      <c r="EK211" s="12">
        <v>0</v>
      </c>
      <c r="EL211" s="12">
        <v>0</v>
      </c>
      <c r="EM211" s="12">
        <v>0</v>
      </c>
      <c r="EN211" s="12">
        <v>0</v>
      </c>
      <c r="EO211" s="12">
        <v>0</v>
      </c>
      <c r="EP211" s="12" t="str">
        <f t="shared" si="49"/>
        <v>🔴 Sin venta</v>
      </c>
      <c r="EQ211" s="23">
        <f t="shared" si="50"/>
        <v>0</v>
      </c>
      <c r="ER211" s="19">
        <f t="shared" si="48"/>
        <v>0</v>
      </c>
      <c r="ES211" s="12">
        <f t="shared" si="47"/>
        <v>0</v>
      </c>
      <c r="ET211" s="23">
        <f t="shared" si="52"/>
        <v>0</v>
      </c>
      <c r="EU211" s="23">
        <f t="shared" si="51"/>
        <v>0</v>
      </c>
      <c r="EV211" s="23">
        <f t="shared" si="53"/>
        <v>0</v>
      </c>
      <c r="EW211" s="23"/>
      <c r="EX211" s="12">
        <v>0</v>
      </c>
      <c r="EY211" s="19" cm="1">
        <f t="array" ref="EY211:FC211">VLOOKUP(_xlfn.SINGLE(B:B),'[1]Price List'!$B:$N,{8,4,5,6,7},0)</f>
        <v>387.41</v>
      </c>
      <c r="EZ211" s="9" t="str">
        <v>Speck Presidio Clear +Glitter Pnk/G iPhone SE2</v>
      </c>
      <c r="FA211" s="12" t="str">
        <v>Cases iPhone</v>
      </c>
      <c r="FB211" s="12" t="str">
        <v>iPhone SE</v>
      </c>
      <c r="FC211" s="12" t="str">
        <v>iPhone SE 2020 -2022</v>
      </c>
      <c r="FD211" s="23" t="str">
        <f>_xlfn.XLOOKUP(B:B,'[1]Price List'!$B:$B,'[1]Price List'!$A:$A)</f>
        <v>Speck</v>
      </c>
    </row>
    <row r="212" spans="1:160" s="9" customFormat="1" x14ac:dyDescent="0.2">
      <c r="A212" s="23" t="s">
        <v>599</v>
      </c>
      <c r="B212" s="23">
        <v>840168505067</v>
      </c>
      <c r="C212" s="9" t="s">
        <v>131</v>
      </c>
      <c r="D212" s="9" t="e">
        <v>#N/A</v>
      </c>
      <c r="E212" s="9" t="e">
        <v>#N/A</v>
      </c>
      <c r="F212" s="9" t="e">
        <v>#N/A</v>
      </c>
      <c r="G212" s="9" t="s">
        <v>634</v>
      </c>
      <c r="H212" s="12" t="s">
        <v>132</v>
      </c>
      <c r="I212" s="12">
        <v>999</v>
      </c>
      <c r="J212" s="11">
        <v>516.72</v>
      </c>
      <c r="K212" s="62">
        <v>0</v>
      </c>
      <c r="L212" s="12">
        <v>0</v>
      </c>
      <c r="M212" s="13" t="s">
        <v>467</v>
      </c>
      <c r="N212" s="13" t="s">
        <v>656</v>
      </c>
      <c r="O212" s="27" t="s">
        <v>130</v>
      </c>
      <c r="P212" s="12">
        <v>0</v>
      </c>
      <c r="Q212" s="12">
        <v>1</v>
      </c>
      <c r="R212" s="12">
        <v>0</v>
      </c>
      <c r="S212" s="12">
        <v>0</v>
      </c>
      <c r="T212" s="12">
        <v>0</v>
      </c>
      <c r="U212" s="12">
        <v>0</v>
      </c>
      <c r="V212" s="12">
        <v>0</v>
      </c>
      <c r="W212" s="12">
        <v>0</v>
      </c>
      <c r="X212" s="12">
        <v>0</v>
      </c>
      <c r="Y212" s="12">
        <v>0</v>
      </c>
      <c r="Z212" s="12">
        <v>0</v>
      </c>
      <c r="AA212" s="12">
        <v>0</v>
      </c>
      <c r="AB212" s="12">
        <v>0</v>
      </c>
      <c r="AC212" s="12">
        <v>0</v>
      </c>
      <c r="AD212" s="12">
        <v>0</v>
      </c>
      <c r="AE212" s="12">
        <v>0</v>
      </c>
      <c r="AF212" s="12">
        <v>0</v>
      </c>
      <c r="AG212" s="12">
        <v>0</v>
      </c>
      <c r="AH212" s="12">
        <v>0</v>
      </c>
      <c r="AI212" s="12">
        <v>0</v>
      </c>
      <c r="AJ212" s="12">
        <v>0</v>
      </c>
      <c r="AK212" s="12">
        <v>0</v>
      </c>
      <c r="AL212" s="12">
        <v>0</v>
      </c>
      <c r="AM212" s="12">
        <v>0</v>
      </c>
      <c r="AN212" s="12">
        <v>0</v>
      </c>
      <c r="AO212" s="12">
        <v>0</v>
      </c>
      <c r="AP212" s="12">
        <v>0</v>
      </c>
      <c r="AQ212" s="12">
        <v>0</v>
      </c>
      <c r="AR212" s="12">
        <v>0</v>
      </c>
      <c r="AS212" s="12">
        <v>0</v>
      </c>
      <c r="AT212" s="12">
        <v>0</v>
      </c>
      <c r="AU212" s="12">
        <v>0</v>
      </c>
      <c r="AV212" s="12">
        <v>0</v>
      </c>
      <c r="AW212" s="12">
        <v>0</v>
      </c>
      <c r="AX212" s="12">
        <v>0</v>
      </c>
      <c r="AY212" s="12">
        <v>0</v>
      </c>
      <c r="AZ212" s="12">
        <v>0</v>
      </c>
      <c r="BA212" s="12">
        <v>0</v>
      </c>
      <c r="BB212" s="12">
        <v>0</v>
      </c>
      <c r="BC212" s="12">
        <v>0</v>
      </c>
      <c r="BD212" s="12">
        <v>0</v>
      </c>
      <c r="BE212" s="12">
        <v>0</v>
      </c>
      <c r="BF212" s="12">
        <v>0</v>
      </c>
      <c r="BG212" s="12">
        <v>0</v>
      </c>
      <c r="BH212" s="12">
        <v>0</v>
      </c>
      <c r="BI212" s="12">
        <v>0</v>
      </c>
      <c r="BJ212" s="12">
        <v>0</v>
      </c>
      <c r="BK212" s="12">
        <v>0</v>
      </c>
      <c r="BL212" s="12">
        <v>0</v>
      </c>
      <c r="BM212" s="12">
        <v>0</v>
      </c>
      <c r="BN212" s="12">
        <v>0</v>
      </c>
      <c r="BO212" s="12">
        <v>0</v>
      </c>
      <c r="BP212" s="12">
        <v>0</v>
      </c>
      <c r="BQ212" s="12">
        <v>0</v>
      </c>
      <c r="BR212" s="12">
        <v>0</v>
      </c>
      <c r="BS212" s="12">
        <v>0</v>
      </c>
      <c r="BT212" s="12">
        <v>0</v>
      </c>
      <c r="BU212" s="12">
        <v>0</v>
      </c>
      <c r="BV212" s="12">
        <v>0</v>
      </c>
      <c r="BW212" s="12">
        <v>0</v>
      </c>
      <c r="BX212" s="12">
        <v>0</v>
      </c>
      <c r="BY212" s="12">
        <v>0</v>
      </c>
      <c r="BZ212" s="12">
        <v>0</v>
      </c>
      <c r="CA212" s="12">
        <v>0</v>
      </c>
      <c r="CB212" s="12">
        <v>0</v>
      </c>
      <c r="CC212" s="12">
        <v>0</v>
      </c>
      <c r="CD212" s="12">
        <v>0</v>
      </c>
      <c r="CE212" s="12">
        <v>0</v>
      </c>
      <c r="CF212" s="12">
        <v>0</v>
      </c>
      <c r="CG212" s="12">
        <v>0</v>
      </c>
      <c r="CH212" s="12">
        <v>0</v>
      </c>
      <c r="CI212" s="12">
        <v>0</v>
      </c>
      <c r="CJ212" s="12">
        <v>0</v>
      </c>
      <c r="CK212" s="12">
        <v>0</v>
      </c>
      <c r="CL212" s="12">
        <v>0</v>
      </c>
      <c r="CM212" s="12">
        <v>0</v>
      </c>
      <c r="CN212" s="12">
        <v>0</v>
      </c>
      <c r="CO212" s="12">
        <v>0</v>
      </c>
      <c r="CP212" s="12">
        <v>0</v>
      </c>
      <c r="CQ212" s="12">
        <v>0</v>
      </c>
      <c r="CR212" s="12">
        <v>0</v>
      </c>
      <c r="CS212" s="12">
        <v>0</v>
      </c>
      <c r="CT212" s="12">
        <v>0</v>
      </c>
      <c r="CU212" s="12">
        <v>0</v>
      </c>
      <c r="CV212" s="12">
        <v>0</v>
      </c>
      <c r="CW212" s="12">
        <v>0</v>
      </c>
      <c r="CX212" s="12">
        <v>0</v>
      </c>
      <c r="CY212" s="12">
        <v>0</v>
      </c>
      <c r="CZ212" s="12">
        <v>0</v>
      </c>
      <c r="DA212" s="12">
        <v>0</v>
      </c>
      <c r="DB212" s="12">
        <v>0</v>
      </c>
      <c r="DC212" s="12">
        <v>0</v>
      </c>
      <c r="DD212" s="12">
        <v>0</v>
      </c>
      <c r="DE212" s="12">
        <v>0</v>
      </c>
      <c r="DF212" s="12">
        <v>0</v>
      </c>
      <c r="DG212" s="12">
        <v>0</v>
      </c>
      <c r="DH212" s="12">
        <v>0</v>
      </c>
      <c r="DI212" s="12">
        <v>0</v>
      </c>
      <c r="DJ212" s="12">
        <v>0</v>
      </c>
      <c r="DK212" s="12">
        <v>0</v>
      </c>
      <c r="DL212" s="12">
        <v>0</v>
      </c>
      <c r="DM212" s="12">
        <v>0</v>
      </c>
      <c r="DN212" s="12">
        <v>0</v>
      </c>
      <c r="DO212" s="12">
        <v>0</v>
      </c>
      <c r="DP212" s="12">
        <v>0</v>
      </c>
      <c r="DQ212" s="12">
        <v>0</v>
      </c>
      <c r="DR212" s="12">
        <v>0</v>
      </c>
      <c r="DS212" s="12">
        <v>0</v>
      </c>
      <c r="DT212" s="12">
        <v>0</v>
      </c>
      <c r="DU212" s="12">
        <v>0</v>
      </c>
      <c r="DV212" s="12">
        <v>0</v>
      </c>
      <c r="DW212" s="12">
        <v>0</v>
      </c>
      <c r="DX212" s="12">
        <v>0</v>
      </c>
      <c r="DY212" s="12">
        <v>0</v>
      </c>
      <c r="DZ212" s="12">
        <v>0</v>
      </c>
      <c r="EA212" s="12">
        <v>0</v>
      </c>
      <c r="EB212" s="12">
        <v>0</v>
      </c>
      <c r="EC212" s="12">
        <v>0</v>
      </c>
      <c r="ED212" s="12">
        <v>0</v>
      </c>
      <c r="EE212" s="12">
        <v>0</v>
      </c>
      <c r="EF212" s="12">
        <v>0</v>
      </c>
      <c r="EG212" s="12">
        <v>0</v>
      </c>
      <c r="EH212" s="12">
        <v>0</v>
      </c>
      <c r="EI212" s="12">
        <v>0</v>
      </c>
      <c r="EJ212" s="12">
        <v>0</v>
      </c>
      <c r="EK212" s="12">
        <v>0</v>
      </c>
      <c r="EL212" s="12">
        <v>0</v>
      </c>
      <c r="EM212" s="12">
        <v>0</v>
      </c>
      <c r="EN212" s="12">
        <v>0</v>
      </c>
      <c r="EO212" s="12">
        <v>0</v>
      </c>
      <c r="EP212" s="12" t="str">
        <f t="shared" si="49"/>
        <v>🔴 Sin venta</v>
      </c>
      <c r="EQ212" s="23">
        <f t="shared" si="50"/>
        <v>0</v>
      </c>
      <c r="ER212" s="19">
        <f t="shared" si="48"/>
        <v>0</v>
      </c>
      <c r="ES212" s="12">
        <f t="shared" si="47"/>
        <v>0</v>
      </c>
      <c r="ET212" s="23">
        <f t="shared" si="52"/>
        <v>0</v>
      </c>
      <c r="EU212" s="23">
        <f t="shared" si="51"/>
        <v>0</v>
      </c>
      <c r="EV212" s="23">
        <f t="shared" si="53"/>
        <v>0</v>
      </c>
      <c r="EW212" s="23"/>
      <c r="EX212" s="12">
        <v>0</v>
      </c>
      <c r="EY212" s="19" cm="1">
        <f t="array" ref="EY212:FC212">VLOOKUP(_xlfn.SINGLE(B:B),'[1]Price List'!$B:$N,{8,4,5,6,7},0)</f>
        <v>516.72</v>
      </c>
      <c r="EZ212" s="9" t="str">
        <v>Speck Presidio Perfect Cl Geo Cl/Re iPhone 13Pro</v>
      </c>
      <c r="FA212" s="12" t="str">
        <v>Cases iPhone</v>
      </c>
      <c r="FB212" s="12" t="str">
        <v>iPhone 13</v>
      </c>
      <c r="FC212" s="12" t="str">
        <v>iPhone 13 Pro</v>
      </c>
      <c r="FD212" s="23" t="str">
        <f>_xlfn.XLOOKUP(B:B,'[1]Price List'!$B:$B,'[1]Price List'!$A:$A)</f>
        <v>Speck</v>
      </c>
    </row>
    <row r="213" spans="1:160" s="9" customFormat="1" x14ac:dyDescent="0.2">
      <c r="A213" s="23" t="s">
        <v>599</v>
      </c>
      <c r="B213" s="24">
        <v>840168524020</v>
      </c>
      <c r="C213" s="16" t="s">
        <v>204</v>
      </c>
      <c r="D213" s="9" t="s">
        <v>644</v>
      </c>
      <c r="E213" s="16" t="s">
        <v>316</v>
      </c>
      <c r="F213" s="16" t="s">
        <v>633</v>
      </c>
      <c r="G213" s="9" t="s">
        <v>633</v>
      </c>
      <c r="H213" s="17" t="s">
        <v>205</v>
      </c>
      <c r="I213" s="17">
        <v>899</v>
      </c>
      <c r="J213" s="11">
        <v>465</v>
      </c>
      <c r="K213" s="62">
        <v>0</v>
      </c>
      <c r="L213" s="12">
        <v>719</v>
      </c>
      <c r="M213" s="13" t="s">
        <v>467</v>
      </c>
      <c r="N213" s="13" t="s">
        <v>656</v>
      </c>
      <c r="O213" s="27" t="s">
        <v>169</v>
      </c>
      <c r="P213" s="12">
        <v>5</v>
      </c>
      <c r="Q213" s="12">
        <v>0</v>
      </c>
      <c r="R213" s="12">
        <v>1</v>
      </c>
      <c r="S213" s="12">
        <v>1</v>
      </c>
      <c r="T213" s="12">
        <v>0</v>
      </c>
      <c r="U213" s="12">
        <v>4</v>
      </c>
      <c r="V213" s="12">
        <v>4</v>
      </c>
      <c r="W213" s="12">
        <v>3</v>
      </c>
      <c r="X213" s="12">
        <v>0</v>
      </c>
      <c r="Y213" s="12">
        <v>0</v>
      </c>
      <c r="Z213" s="12">
        <v>1</v>
      </c>
      <c r="AA213" s="12">
        <v>2</v>
      </c>
      <c r="AB213" s="12">
        <v>2</v>
      </c>
      <c r="AC213" s="12">
        <v>4</v>
      </c>
      <c r="AD213" s="12">
        <v>3</v>
      </c>
      <c r="AE213" s="12">
        <v>2</v>
      </c>
      <c r="AF213" s="12">
        <v>3</v>
      </c>
      <c r="AG213" s="12">
        <v>2</v>
      </c>
      <c r="AH213" s="12">
        <v>3</v>
      </c>
      <c r="AI213" s="12">
        <v>1</v>
      </c>
      <c r="AJ213" s="12">
        <v>0</v>
      </c>
      <c r="AK213" s="12">
        <v>1</v>
      </c>
      <c r="AL213" s="12">
        <v>1</v>
      </c>
      <c r="AM213" s="12">
        <v>3</v>
      </c>
      <c r="AN213" s="12">
        <v>3</v>
      </c>
      <c r="AO213" s="12">
        <v>3</v>
      </c>
      <c r="AP213" s="12">
        <v>0</v>
      </c>
      <c r="AQ213" s="12">
        <v>0</v>
      </c>
      <c r="AR213" s="12">
        <v>2</v>
      </c>
      <c r="AS213" s="12">
        <v>1</v>
      </c>
      <c r="AT213" s="12">
        <v>2</v>
      </c>
      <c r="AU213" s="12">
        <v>1</v>
      </c>
      <c r="AV213" s="12">
        <v>2</v>
      </c>
      <c r="AW213" s="12">
        <v>1</v>
      </c>
      <c r="AX213" s="12">
        <v>2</v>
      </c>
      <c r="AY213" s="12">
        <v>2</v>
      </c>
      <c r="AZ213" s="12">
        <v>1</v>
      </c>
      <c r="BA213" s="12">
        <v>1</v>
      </c>
      <c r="BB213" s="12">
        <v>1</v>
      </c>
      <c r="BC213" s="12">
        <v>2</v>
      </c>
      <c r="BD213" s="12">
        <v>1</v>
      </c>
      <c r="BE213" s="12">
        <v>0</v>
      </c>
      <c r="BF213" s="12">
        <v>1</v>
      </c>
      <c r="BG213" s="12">
        <v>1</v>
      </c>
      <c r="BH213" s="12">
        <v>1</v>
      </c>
      <c r="BI213" s="12">
        <v>0</v>
      </c>
      <c r="BJ213" s="12">
        <v>0</v>
      </c>
      <c r="BK213" s="12">
        <v>0</v>
      </c>
      <c r="BL213" s="12">
        <v>0</v>
      </c>
      <c r="BM213" s="12">
        <v>0</v>
      </c>
      <c r="BN213" s="12">
        <v>0</v>
      </c>
      <c r="BO213" s="12">
        <v>0</v>
      </c>
      <c r="BP213" s="12">
        <v>0</v>
      </c>
      <c r="BQ213" s="12">
        <v>0</v>
      </c>
      <c r="BR213" s="12">
        <v>1</v>
      </c>
      <c r="BS213" s="12">
        <v>0</v>
      </c>
      <c r="BT213" s="12">
        <v>0</v>
      </c>
      <c r="BU213" s="12">
        <v>0</v>
      </c>
      <c r="BV213" s="12">
        <v>0</v>
      </c>
      <c r="BW213" s="12">
        <v>0</v>
      </c>
      <c r="BX213" s="12">
        <v>0</v>
      </c>
      <c r="BY213" s="12">
        <v>0</v>
      </c>
      <c r="BZ213" s="12">
        <v>0</v>
      </c>
      <c r="CA213" s="12">
        <v>0</v>
      </c>
      <c r="CB213" s="12">
        <v>0</v>
      </c>
      <c r="CC213" s="12">
        <v>0</v>
      </c>
      <c r="CD213" s="12">
        <v>0</v>
      </c>
      <c r="CE213" s="12">
        <v>0</v>
      </c>
      <c r="CF213" s="12">
        <v>0</v>
      </c>
      <c r="CG213" s="12">
        <v>0</v>
      </c>
      <c r="CH213" s="12">
        <v>0</v>
      </c>
      <c r="CI213" s="12">
        <v>0</v>
      </c>
      <c r="CJ213" s="12">
        <v>0</v>
      </c>
      <c r="CK213" s="12">
        <v>0</v>
      </c>
      <c r="CL213" s="12">
        <v>0</v>
      </c>
      <c r="CM213" s="12">
        <v>0</v>
      </c>
      <c r="CN213" s="12">
        <v>0</v>
      </c>
      <c r="CO213" s="12">
        <v>0</v>
      </c>
      <c r="CP213" s="12">
        <v>0</v>
      </c>
      <c r="CQ213" s="12">
        <v>0</v>
      </c>
      <c r="CR213" s="12">
        <v>0</v>
      </c>
      <c r="CS213" s="12">
        <v>0</v>
      </c>
      <c r="CT213" s="12">
        <v>0</v>
      </c>
      <c r="CU213" s="12">
        <v>0</v>
      </c>
      <c r="CV213" s="12">
        <v>0</v>
      </c>
      <c r="CW213" s="12">
        <v>0</v>
      </c>
      <c r="CX213" s="12">
        <v>0</v>
      </c>
      <c r="CY213" s="12">
        <v>0</v>
      </c>
      <c r="CZ213" s="12">
        <v>0</v>
      </c>
      <c r="DA213" s="12">
        <v>0</v>
      </c>
      <c r="DB213" s="12">
        <v>0</v>
      </c>
      <c r="DC213" s="12">
        <v>0</v>
      </c>
      <c r="DD213" s="12">
        <v>0</v>
      </c>
      <c r="DE213" s="12">
        <v>0</v>
      </c>
      <c r="DF213" s="12">
        <v>0</v>
      </c>
      <c r="DG213" s="12">
        <v>0</v>
      </c>
      <c r="DH213" s="12">
        <v>0</v>
      </c>
      <c r="DI213" s="12">
        <v>0</v>
      </c>
      <c r="DJ213" s="12">
        <v>0</v>
      </c>
      <c r="DK213" s="12">
        <v>0</v>
      </c>
      <c r="DL213" s="12">
        <v>0</v>
      </c>
      <c r="DM213" s="12">
        <v>0</v>
      </c>
      <c r="DN213" s="12">
        <v>0</v>
      </c>
      <c r="DO213" s="12">
        <v>0</v>
      </c>
      <c r="DP213" s="12">
        <v>0</v>
      </c>
      <c r="DQ213" s="12">
        <v>0</v>
      </c>
      <c r="DR213" s="12">
        <v>0</v>
      </c>
      <c r="DS213" s="12">
        <v>0</v>
      </c>
      <c r="DT213" s="12">
        <v>0</v>
      </c>
      <c r="DU213" s="12">
        <v>0</v>
      </c>
      <c r="DV213" s="12">
        <v>0</v>
      </c>
      <c r="DW213" s="12">
        <v>0</v>
      </c>
      <c r="DX213" s="12">
        <v>0</v>
      </c>
      <c r="DY213" s="12">
        <v>0</v>
      </c>
      <c r="DZ213" s="12">
        <v>0</v>
      </c>
      <c r="EA213" s="12">
        <v>0</v>
      </c>
      <c r="EB213" s="12">
        <v>0</v>
      </c>
      <c r="EC213" s="12">
        <v>0</v>
      </c>
      <c r="ED213" s="12">
        <v>0</v>
      </c>
      <c r="EE213" s="12">
        <v>0</v>
      </c>
      <c r="EF213" s="12">
        <v>0</v>
      </c>
      <c r="EG213" s="12">
        <v>0</v>
      </c>
      <c r="EH213" s="12">
        <v>0</v>
      </c>
      <c r="EI213" s="12">
        <v>0</v>
      </c>
      <c r="EJ213" s="12">
        <v>0</v>
      </c>
      <c r="EK213" s="12">
        <v>0</v>
      </c>
      <c r="EL213" s="12">
        <v>0</v>
      </c>
      <c r="EM213" s="12">
        <v>0</v>
      </c>
      <c r="EN213" s="12">
        <v>0</v>
      </c>
      <c r="EO213" s="12">
        <v>0</v>
      </c>
      <c r="EP213" s="12" t="str">
        <f t="shared" si="49"/>
        <v>🔴 Sin venta</v>
      </c>
      <c r="EQ213" s="23">
        <f t="shared" si="50"/>
        <v>0</v>
      </c>
      <c r="ER213" s="19">
        <f t="shared" si="48"/>
        <v>0</v>
      </c>
      <c r="ES213" s="12">
        <f t="shared" si="47"/>
        <v>0</v>
      </c>
      <c r="ET213" s="23">
        <f t="shared" si="52"/>
        <v>0</v>
      </c>
      <c r="EU213" s="23">
        <f t="shared" si="51"/>
        <v>0</v>
      </c>
      <c r="EV213" s="23">
        <f t="shared" si="53"/>
        <v>0</v>
      </c>
      <c r="EW213" s="23"/>
      <c r="EX213" s="12">
        <v>4</v>
      </c>
      <c r="EY213" s="19" cm="1">
        <f t="array" ref="EY213:FC213">VLOOKUP(_xlfn.SINGLE(B:B),'[1]Price List'!$B:$N,{8,4,5,6,7},0)</f>
        <v>465</v>
      </c>
      <c r="EZ213" s="9" t="str">
        <v>Speck (Apple Exclusive) Presidio Perfect Clear Case for iPhone 14 Plus - Clear</v>
      </c>
      <c r="FA213" s="12" t="str">
        <v>Cases iPhone</v>
      </c>
      <c r="FB213" s="12" t="str">
        <v>iPhone 14</v>
      </c>
      <c r="FC213" s="12" t="str">
        <v>iPhone 14 Plus</v>
      </c>
      <c r="FD213" s="23" t="str">
        <f>_xlfn.XLOOKUP(B:B,'[1]Price List'!$B:$B,'[1]Price List'!$A:$A)</f>
        <v>Speck</v>
      </c>
    </row>
    <row r="214" spans="1:160" s="9" customFormat="1" x14ac:dyDescent="0.2">
      <c r="A214" s="23" t="s">
        <v>599</v>
      </c>
      <c r="B214" s="24">
        <v>840168524235</v>
      </c>
      <c r="C214" s="16" t="s">
        <v>206</v>
      </c>
      <c r="D214" s="9" t="e">
        <v>#N/A</v>
      </c>
      <c r="E214" s="16" t="e">
        <v>#N/A</v>
      </c>
      <c r="F214" s="16" t="e">
        <v>#N/A</v>
      </c>
      <c r="G214" s="9" t="s">
        <v>633</v>
      </c>
      <c r="H214" s="17" t="s">
        <v>207</v>
      </c>
      <c r="I214" s="18">
        <v>1099</v>
      </c>
      <c r="J214" s="11">
        <v>568.45000000000005</v>
      </c>
      <c r="K214" s="62">
        <v>0</v>
      </c>
      <c r="L214" s="12">
        <v>879</v>
      </c>
      <c r="M214" s="13" t="s">
        <v>467</v>
      </c>
      <c r="N214" s="13" t="s">
        <v>656</v>
      </c>
      <c r="O214" s="27" t="s">
        <v>169</v>
      </c>
      <c r="P214" s="12">
        <v>2</v>
      </c>
      <c r="Q214" s="12">
        <v>0</v>
      </c>
      <c r="R214" s="12">
        <v>1</v>
      </c>
      <c r="S214" s="12">
        <v>2</v>
      </c>
      <c r="T214" s="12">
        <v>2</v>
      </c>
      <c r="U214" s="12">
        <v>1</v>
      </c>
      <c r="V214" s="12">
        <v>2</v>
      </c>
      <c r="W214" s="12">
        <v>2</v>
      </c>
      <c r="X214" s="12">
        <v>1</v>
      </c>
      <c r="Y214" s="12">
        <v>2</v>
      </c>
      <c r="Z214" s="12">
        <v>7</v>
      </c>
      <c r="AA214" s="12">
        <v>2</v>
      </c>
      <c r="AB214" s="12">
        <v>1</v>
      </c>
      <c r="AC214" s="12">
        <v>2</v>
      </c>
      <c r="AD214" s="12">
        <v>2</v>
      </c>
      <c r="AE214" s="12">
        <v>4</v>
      </c>
      <c r="AF214" s="12">
        <v>1</v>
      </c>
      <c r="AG214" s="12">
        <v>1</v>
      </c>
      <c r="AH214" s="12">
        <v>3</v>
      </c>
      <c r="AI214" s="12">
        <v>0</v>
      </c>
      <c r="AJ214" s="12">
        <v>1</v>
      </c>
      <c r="AK214" s="12">
        <v>3</v>
      </c>
      <c r="AL214" s="12">
        <v>1</v>
      </c>
      <c r="AM214" s="12">
        <v>1</v>
      </c>
      <c r="AN214" s="12">
        <v>1</v>
      </c>
      <c r="AO214" s="12">
        <v>2</v>
      </c>
      <c r="AP214" s="12">
        <v>0</v>
      </c>
      <c r="AQ214" s="12">
        <v>1</v>
      </c>
      <c r="AR214" s="12">
        <v>0</v>
      </c>
      <c r="AS214" s="12">
        <v>1</v>
      </c>
      <c r="AT214" s="12">
        <v>3</v>
      </c>
      <c r="AU214" s="12">
        <v>0</v>
      </c>
      <c r="AV214" s="12">
        <v>2</v>
      </c>
      <c r="AW214" s="12">
        <v>4</v>
      </c>
      <c r="AX214" s="12">
        <v>2</v>
      </c>
      <c r="AY214" s="12">
        <v>1</v>
      </c>
      <c r="AZ214" s="12">
        <v>3</v>
      </c>
      <c r="BA214" s="12">
        <v>3</v>
      </c>
      <c r="BB214" s="12">
        <v>1</v>
      </c>
      <c r="BC214" s="12">
        <v>0</v>
      </c>
      <c r="BD214" s="12">
        <v>2</v>
      </c>
      <c r="BE214" s="12">
        <v>2</v>
      </c>
      <c r="BF214" s="12">
        <v>0</v>
      </c>
      <c r="BG214" s="12">
        <v>0</v>
      </c>
      <c r="BH214" s="12">
        <v>0</v>
      </c>
      <c r="BI214" s="12">
        <v>0</v>
      </c>
      <c r="BJ214" s="12">
        <v>2</v>
      </c>
      <c r="BK214" s="12">
        <v>0</v>
      </c>
      <c r="BL214" s="12">
        <v>0</v>
      </c>
      <c r="BM214" s="12">
        <v>1</v>
      </c>
      <c r="BN214" s="12">
        <v>1</v>
      </c>
      <c r="BO214" s="12">
        <v>2</v>
      </c>
      <c r="BP214" s="12">
        <v>0</v>
      </c>
      <c r="BQ214" s="12">
        <v>0</v>
      </c>
      <c r="BR214" s="12">
        <v>0</v>
      </c>
      <c r="BS214" s="12">
        <v>0</v>
      </c>
      <c r="BT214" s="12">
        <v>0</v>
      </c>
      <c r="BU214" s="12">
        <v>1</v>
      </c>
      <c r="BV214" s="12">
        <v>1</v>
      </c>
      <c r="BW214" s="12">
        <v>3</v>
      </c>
      <c r="BX214" s="12">
        <v>1</v>
      </c>
      <c r="BY214" s="12">
        <v>0</v>
      </c>
      <c r="BZ214" s="12">
        <v>0</v>
      </c>
      <c r="CA214" s="12">
        <v>0</v>
      </c>
      <c r="CB214" s="12">
        <v>0</v>
      </c>
      <c r="CC214" s="12">
        <v>1</v>
      </c>
      <c r="CD214" s="12">
        <v>0</v>
      </c>
      <c r="CE214" s="12">
        <v>0</v>
      </c>
      <c r="CF214" s="12">
        <v>0</v>
      </c>
      <c r="CG214" s="12">
        <v>1</v>
      </c>
      <c r="CH214" s="12">
        <v>1</v>
      </c>
      <c r="CI214" s="12">
        <v>0</v>
      </c>
      <c r="CJ214" s="12">
        <v>0</v>
      </c>
      <c r="CK214" s="12">
        <v>1</v>
      </c>
      <c r="CL214" s="12">
        <v>0</v>
      </c>
      <c r="CM214" s="12">
        <v>0</v>
      </c>
      <c r="CN214" s="12">
        <v>1</v>
      </c>
      <c r="CO214" s="12">
        <v>0</v>
      </c>
      <c r="CP214" s="12">
        <v>0</v>
      </c>
      <c r="CQ214" s="12">
        <v>0</v>
      </c>
      <c r="CR214" s="12">
        <v>0</v>
      </c>
      <c r="CS214" s="12">
        <v>0</v>
      </c>
      <c r="CT214" s="12">
        <v>0</v>
      </c>
      <c r="CU214" s="12">
        <v>0</v>
      </c>
      <c r="CV214" s="12">
        <v>0</v>
      </c>
      <c r="CW214" s="12">
        <v>2</v>
      </c>
      <c r="CX214" s="12">
        <v>0</v>
      </c>
      <c r="CY214" s="12">
        <v>0</v>
      </c>
      <c r="CZ214" s="12">
        <v>0</v>
      </c>
      <c r="DA214" s="12">
        <v>0</v>
      </c>
      <c r="DB214" s="12">
        <v>0</v>
      </c>
      <c r="DC214" s="12">
        <v>0</v>
      </c>
      <c r="DD214" s="12">
        <v>0</v>
      </c>
      <c r="DE214" s="12">
        <v>0</v>
      </c>
      <c r="DF214" s="12">
        <v>0</v>
      </c>
      <c r="DG214" s="12">
        <v>0</v>
      </c>
      <c r="DH214" s="12">
        <v>0</v>
      </c>
      <c r="DI214" s="12">
        <v>0</v>
      </c>
      <c r="DJ214" s="12">
        <v>0</v>
      </c>
      <c r="DK214" s="12">
        <v>0</v>
      </c>
      <c r="DL214" s="12">
        <v>0</v>
      </c>
      <c r="DM214" s="12">
        <v>0</v>
      </c>
      <c r="DN214" s="12">
        <v>0</v>
      </c>
      <c r="DO214" s="12">
        <v>0</v>
      </c>
      <c r="DP214" s="12">
        <v>0</v>
      </c>
      <c r="DQ214" s="12">
        <v>0</v>
      </c>
      <c r="DR214" s="12">
        <v>0</v>
      </c>
      <c r="DS214" s="12">
        <v>0</v>
      </c>
      <c r="DT214" s="12">
        <v>0</v>
      </c>
      <c r="DU214" s="12">
        <v>0</v>
      </c>
      <c r="DV214" s="12">
        <v>0</v>
      </c>
      <c r="DW214" s="12">
        <v>0</v>
      </c>
      <c r="DX214" s="12">
        <v>0</v>
      </c>
      <c r="DY214" s="12">
        <v>0</v>
      </c>
      <c r="DZ214" s="12">
        <v>0</v>
      </c>
      <c r="EA214" s="12">
        <v>0</v>
      </c>
      <c r="EB214" s="12">
        <v>0</v>
      </c>
      <c r="EC214" s="12">
        <v>0</v>
      </c>
      <c r="ED214" s="12">
        <v>0</v>
      </c>
      <c r="EE214" s="12">
        <v>0</v>
      </c>
      <c r="EF214" s="12">
        <v>0</v>
      </c>
      <c r="EG214" s="12">
        <v>0</v>
      </c>
      <c r="EH214" s="12">
        <v>0</v>
      </c>
      <c r="EI214" s="12">
        <v>0</v>
      </c>
      <c r="EJ214" s="12">
        <v>0</v>
      </c>
      <c r="EK214" s="12">
        <v>0</v>
      </c>
      <c r="EL214" s="12">
        <v>0</v>
      </c>
      <c r="EM214" s="12">
        <v>0</v>
      </c>
      <c r="EN214" s="12">
        <v>0</v>
      </c>
      <c r="EO214" s="12">
        <v>0</v>
      </c>
      <c r="EP214" s="12" t="str">
        <f t="shared" si="49"/>
        <v>🔴 Sin venta</v>
      </c>
      <c r="EQ214" s="23">
        <f t="shared" si="50"/>
        <v>0</v>
      </c>
      <c r="ER214" s="19">
        <f t="shared" si="48"/>
        <v>0</v>
      </c>
      <c r="ES214" s="12">
        <f t="shared" si="47"/>
        <v>0</v>
      </c>
      <c r="ET214" s="23">
        <f t="shared" si="52"/>
        <v>0</v>
      </c>
      <c r="EU214" s="23">
        <f t="shared" si="51"/>
        <v>0</v>
      </c>
      <c r="EV214" s="23">
        <f t="shared" si="53"/>
        <v>0</v>
      </c>
      <c r="EW214" s="23"/>
      <c r="EX214" s="12">
        <v>9</v>
      </c>
      <c r="EY214" s="19" cm="1">
        <f t="array" ref="EY214:FC214">VLOOKUP(_xlfn.SINGLE(B:B),'[1]Price List'!$B:$N,{8,4,5,6,7},0)</f>
        <v>568.45000000000005</v>
      </c>
      <c r="EZ214" s="9" t="str">
        <v>Speck Presidio Perfect Clear Impact Geometry Case with MagSafe for iPhone 14 Plus</v>
      </c>
      <c r="FA214" s="12" t="str">
        <v>Cases iPhone</v>
      </c>
      <c r="FB214" s="12" t="str">
        <v>iPhone 14</v>
      </c>
      <c r="FC214" s="12" t="str">
        <v>iPhone 14 Plus</v>
      </c>
      <c r="FD214" s="23" t="str">
        <f>_xlfn.XLOOKUP(B:B,'[1]Price List'!$B:$B,'[1]Price List'!$A:$A)</f>
        <v>Speck</v>
      </c>
    </row>
    <row r="215" spans="1:160" s="9" customFormat="1" x14ac:dyDescent="0.2">
      <c r="A215" s="23" t="s">
        <v>599</v>
      </c>
      <c r="B215" s="24">
        <v>840168523788</v>
      </c>
      <c r="C215" s="16" t="s">
        <v>202</v>
      </c>
      <c r="D215" s="9" t="e">
        <v>#N/A</v>
      </c>
      <c r="E215" s="16" t="e">
        <v>#N/A</v>
      </c>
      <c r="F215" s="16" t="e">
        <v>#N/A</v>
      </c>
      <c r="G215" s="9" t="s">
        <v>693</v>
      </c>
      <c r="H215" s="17" t="s">
        <v>203</v>
      </c>
      <c r="I215" s="17">
        <v>899</v>
      </c>
      <c r="J215" s="11">
        <v>465</v>
      </c>
      <c r="K215" s="62">
        <v>0</v>
      </c>
      <c r="L215" s="12">
        <v>719</v>
      </c>
      <c r="M215" s="13" t="s">
        <v>467</v>
      </c>
      <c r="N215" s="13" t="s">
        <v>656</v>
      </c>
      <c r="O215" s="27" t="s">
        <v>169</v>
      </c>
      <c r="P215" s="12">
        <v>1</v>
      </c>
      <c r="Q215" s="12">
        <v>0</v>
      </c>
      <c r="R215" s="12">
        <v>1</v>
      </c>
      <c r="S215" s="12">
        <v>0</v>
      </c>
      <c r="T215" s="12">
        <v>0</v>
      </c>
      <c r="U215" s="12">
        <v>1</v>
      </c>
      <c r="V215" s="12">
        <v>1</v>
      </c>
      <c r="W215" s="12">
        <v>2</v>
      </c>
      <c r="X215" s="12">
        <v>1</v>
      </c>
      <c r="Y215" s="12">
        <v>1</v>
      </c>
      <c r="Z215" s="12">
        <v>2</v>
      </c>
      <c r="AA215" s="12">
        <v>0</v>
      </c>
      <c r="AB215" s="12">
        <v>3</v>
      </c>
      <c r="AC215" s="12">
        <v>2</v>
      </c>
      <c r="AD215" s="12">
        <v>4</v>
      </c>
      <c r="AE215" s="12">
        <v>2</v>
      </c>
      <c r="AF215" s="12">
        <v>1</v>
      </c>
      <c r="AG215" s="12">
        <v>3</v>
      </c>
      <c r="AH215" s="12">
        <v>1</v>
      </c>
      <c r="AI215" s="12">
        <v>0</v>
      </c>
      <c r="AJ215" s="12">
        <v>0</v>
      </c>
      <c r="AK215" s="12">
        <v>2</v>
      </c>
      <c r="AL215" s="12">
        <v>2</v>
      </c>
      <c r="AM215" s="12">
        <v>2</v>
      </c>
      <c r="AN215" s="12">
        <v>2</v>
      </c>
      <c r="AO215" s="12">
        <v>0</v>
      </c>
      <c r="AP215" s="12">
        <v>0</v>
      </c>
      <c r="AQ215" s="12">
        <v>1</v>
      </c>
      <c r="AR215" s="12">
        <v>1</v>
      </c>
      <c r="AS215" s="12">
        <v>2</v>
      </c>
      <c r="AT215" s="12">
        <v>4</v>
      </c>
      <c r="AU215" s="12">
        <v>0</v>
      </c>
      <c r="AV215" s="12">
        <v>1</v>
      </c>
      <c r="AW215" s="12">
        <v>5</v>
      </c>
      <c r="AX215" s="12">
        <v>0</v>
      </c>
      <c r="AY215" s="12">
        <v>0</v>
      </c>
      <c r="AZ215" s="12">
        <v>1</v>
      </c>
      <c r="BA215" s="12">
        <v>2</v>
      </c>
      <c r="BB215" s="12">
        <v>0</v>
      </c>
      <c r="BC215" s="12">
        <v>2</v>
      </c>
      <c r="BD215" s="12">
        <v>0</v>
      </c>
      <c r="BE215" s="12">
        <v>1</v>
      </c>
      <c r="BF215" s="12">
        <v>1</v>
      </c>
      <c r="BG215" s="12">
        <v>0</v>
      </c>
      <c r="BH215" s="12">
        <v>0</v>
      </c>
      <c r="BI215" s="12">
        <v>0</v>
      </c>
      <c r="BJ215" s="12">
        <v>1</v>
      </c>
      <c r="BK215" s="12">
        <v>1</v>
      </c>
      <c r="BL215" s="12">
        <v>0</v>
      </c>
      <c r="BM215" s="12">
        <v>0</v>
      </c>
      <c r="BN215" s="12">
        <v>2</v>
      </c>
      <c r="BO215" s="12">
        <v>1</v>
      </c>
      <c r="BP215" s="12">
        <v>0</v>
      </c>
      <c r="BQ215" s="12">
        <v>0</v>
      </c>
      <c r="BR215" s="12">
        <v>1</v>
      </c>
      <c r="BS215" s="12">
        <v>1</v>
      </c>
      <c r="BT215" s="12">
        <v>0</v>
      </c>
      <c r="BU215" s="12">
        <v>0</v>
      </c>
      <c r="BV215" s="12">
        <v>0</v>
      </c>
      <c r="BW215" s="12">
        <v>0</v>
      </c>
      <c r="BX215" s="12">
        <v>0</v>
      </c>
      <c r="BY215" s="12">
        <v>0</v>
      </c>
      <c r="BZ215" s="12">
        <v>0</v>
      </c>
      <c r="CA215" s="12">
        <v>0</v>
      </c>
      <c r="CB215" s="12">
        <v>0</v>
      </c>
      <c r="CC215" s="12">
        <v>0</v>
      </c>
      <c r="CD215" s="12">
        <v>0</v>
      </c>
      <c r="CE215" s="12">
        <v>0</v>
      </c>
      <c r="CF215" s="12">
        <v>0</v>
      </c>
      <c r="CG215" s="12">
        <v>0</v>
      </c>
      <c r="CH215" s="12">
        <v>0</v>
      </c>
      <c r="CI215" s="12">
        <v>0</v>
      </c>
      <c r="CJ215" s="12">
        <v>0</v>
      </c>
      <c r="CK215" s="12">
        <v>0</v>
      </c>
      <c r="CL215" s="12">
        <v>2</v>
      </c>
      <c r="CM215" s="12">
        <v>0</v>
      </c>
      <c r="CN215" s="12">
        <v>0</v>
      </c>
      <c r="CO215" s="12">
        <v>0</v>
      </c>
      <c r="CP215" s="12">
        <v>0</v>
      </c>
      <c r="CQ215" s="12">
        <v>1</v>
      </c>
      <c r="CR215" s="12">
        <v>0</v>
      </c>
      <c r="CS215" s="12">
        <v>0</v>
      </c>
      <c r="CT215" s="12">
        <v>0</v>
      </c>
      <c r="CU215" s="12">
        <v>0</v>
      </c>
      <c r="CV215" s="12">
        <v>1</v>
      </c>
      <c r="CW215" s="12">
        <v>0</v>
      </c>
      <c r="CX215" s="12">
        <v>0</v>
      </c>
      <c r="CY215" s="12">
        <v>0</v>
      </c>
      <c r="CZ215" s="12">
        <v>0</v>
      </c>
      <c r="DA215" s="12">
        <v>0</v>
      </c>
      <c r="DB215" s="12">
        <v>0</v>
      </c>
      <c r="DC215" s="12">
        <v>0</v>
      </c>
      <c r="DD215" s="12">
        <v>0</v>
      </c>
      <c r="DE215" s="12">
        <v>0</v>
      </c>
      <c r="DF215" s="12">
        <v>0</v>
      </c>
      <c r="DG215" s="12">
        <v>0</v>
      </c>
      <c r="DH215" s="12">
        <v>0</v>
      </c>
      <c r="DI215" s="12">
        <v>1</v>
      </c>
      <c r="DJ215" s="12">
        <v>0</v>
      </c>
      <c r="DK215" s="12">
        <v>0</v>
      </c>
      <c r="DL215" s="12">
        <v>0</v>
      </c>
      <c r="DM215" s="12">
        <v>0</v>
      </c>
      <c r="DN215" s="12">
        <v>0</v>
      </c>
      <c r="DO215" s="12">
        <v>0</v>
      </c>
      <c r="DP215" s="12">
        <v>0</v>
      </c>
      <c r="DQ215" s="12">
        <v>0</v>
      </c>
      <c r="DR215" s="12">
        <v>0</v>
      </c>
      <c r="DS215" s="12">
        <v>0</v>
      </c>
      <c r="DT215" s="12">
        <v>0</v>
      </c>
      <c r="DU215" s="12">
        <v>0</v>
      </c>
      <c r="DV215" s="12">
        <v>0</v>
      </c>
      <c r="DW215" s="12">
        <v>0</v>
      </c>
      <c r="DX215" s="12">
        <v>0</v>
      </c>
      <c r="DY215" s="12">
        <v>0</v>
      </c>
      <c r="DZ215" s="12">
        <v>0</v>
      </c>
      <c r="EA215" s="12">
        <v>0</v>
      </c>
      <c r="EB215" s="12">
        <v>0</v>
      </c>
      <c r="EC215" s="12">
        <v>0</v>
      </c>
      <c r="ED215" s="12">
        <v>0</v>
      </c>
      <c r="EE215" s="12">
        <v>0</v>
      </c>
      <c r="EF215" s="12">
        <v>0</v>
      </c>
      <c r="EG215" s="12">
        <v>0</v>
      </c>
      <c r="EH215" s="12">
        <v>0</v>
      </c>
      <c r="EI215" s="12">
        <v>0</v>
      </c>
      <c r="EJ215" s="12">
        <v>0</v>
      </c>
      <c r="EK215" s="12">
        <v>0</v>
      </c>
      <c r="EL215" s="12">
        <v>0</v>
      </c>
      <c r="EM215" s="12">
        <v>0</v>
      </c>
      <c r="EN215" s="12">
        <v>0</v>
      </c>
      <c r="EO215" s="12">
        <v>0</v>
      </c>
      <c r="EP215" s="12" t="str">
        <f t="shared" si="49"/>
        <v>🔴 Sin venta</v>
      </c>
      <c r="EQ215" s="23">
        <f t="shared" si="50"/>
        <v>0</v>
      </c>
      <c r="ER215" s="19">
        <f t="shared" si="48"/>
        <v>0</v>
      </c>
      <c r="ES215" s="12">
        <f t="shared" si="47"/>
        <v>0</v>
      </c>
      <c r="ET215" s="23">
        <f t="shared" si="52"/>
        <v>0</v>
      </c>
      <c r="EU215" s="23">
        <f t="shared" si="51"/>
        <v>0.5</v>
      </c>
      <c r="EV215" s="23">
        <f t="shared" si="53"/>
        <v>0</v>
      </c>
      <c r="EW215" s="23"/>
      <c r="EX215" s="12">
        <v>4</v>
      </c>
      <c r="EY215" s="19" cm="1">
        <f t="array" ref="EY215:FC215">VLOOKUP(_xlfn.SINGLE(B:B),'[1]Price List'!$B:$N,{8,4,5,6,7},0)</f>
        <v>465</v>
      </c>
      <c r="EZ215" s="9" t="str">
        <v>Speck Presidio2 Pro Case for iPhone 14 Plus - Black/White</v>
      </c>
      <c r="FA215" s="12" t="str">
        <v>Cases iPhone</v>
      </c>
      <c r="FB215" s="12" t="str">
        <v>iPhone 14</v>
      </c>
      <c r="FC215" s="12" t="str">
        <v>iPhone 14 Plus Cases</v>
      </c>
      <c r="FD215" s="23" t="str">
        <f>_xlfn.XLOOKUP(B:B,'[1]Price List'!$B:$B,'[1]Price List'!$A:$A)</f>
        <v>Speck</v>
      </c>
    </row>
    <row r="216" spans="1:160" s="9" customFormat="1" x14ac:dyDescent="0.2">
      <c r="A216" s="23" t="s">
        <v>599</v>
      </c>
      <c r="B216" s="24">
        <v>840168523832</v>
      </c>
      <c r="C216" s="16" t="s">
        <v>200</v>
      </c>
      <c r="D216" s="9" t="s">
        <v>644</v>
      </c>
      <c r="E216" s="16" t="s">
        <v>316</v>
      </c>
      <c r="F216" s="16" t="s">
        <v>633</v>
      </c>
      <c r="G216" s="9" t="s">
        <v>633</v>
      </c>
      <c r="H216" s="17" t="s">
        <v>201</v>
      </c>
      <c r="I216" s="17">
        <v>899</v>
      </c>
      <c r="J216" s="11">
        <v>465</v>
      </c>
      <c r="K216" s="62">
        <v>0</v>
      </c>
      <c r="L216" s="12">
        <v>719</v>
      </c>
      <c r="M216" s="13" t="s">
        <v>467</v>
      </c>
      <c r="N216" s="13" t="s">
        <v>656</v>
      </c>
      <c r="O216" s="27" t="s">
        <v>169</v>
      </c>
      <c r="P216" s="12">
        <v>1</v>
      </c>
      <c r="Q216" s="12">
        <v>0</v>
      </c>
      <c r="R216" s="12">
        <v>0</v>
      </c>
      <c r="S216" s="12">
        <v>1</v>
      </c>
      <c r="T216" s="12">
        <v>3</v>
      </c>
      <c r="U216" s="12">
        <v>0</v>
      </c>
      <c r="V216" s="12">
        <v>3</v>
      </c>
      <c r="W216" s="12">
        <v>2</v>
      </c>
      <c r="X216" s="12">
        <v>1</v>
      </c>
      <c r="Y216" s="12">
        <v>3</v>
      </c>
      <c r="Z216" s="12">
        <v>2</v>
      </c>
      <c r="AA216" s="12">
        <v>0</v>
      </c>
      <c r="AB216" s="12">
        <v>0</v>
      </c>
      <c r="AC216" s="12">
        <v>1</v>
      </c>
      <c r="AD216" s="12">
        <v>1</v>
      </c>
      <c r="AE216" s="12">
        <v>1</v>
      </c>
      <c r="AF216" s="12">
        <v>2</v>
      </c>
      <c r="AG216" s="12">
        <v>1</v>
      </c>
      <c r="AH216" s="12">
        <v>0</v>
      </c>
      <c r="AI216" s="12">
        <v>3</v>
      </c>
      <c r="AJ216" s="12">
        <v>0</v>
      </c>
      <c r="AK216" s="12">
        <v>1</v>
      </c>
      <c r="AL216" s="12">
        <v>0</v>
      </c>
      <c r="AM216" s="12">
        <v>0</v>
      </c>
      <c r="AN216" s="12">
        <v>1</v>
      </c>
      <c r="AO216" s="12">
        <v>3</v>
      </c>
      <c r="AP216" s="12">
        <v>0</v>
      </c>
      <c r="AQ216" s="12">
        <v>2</v>
      </c>
      <c r="AR216" s="12">
        <v>0</v>
      </c>
      <c r="AS216" s="12">
        <v>1</v>
      </c>
      <c r="AT216" s="12">
        <v>0</v>
      </c>
      <c r="AU216" s="12">
        <v>0</v>
      </c>
      <c r="AV216" s="12">
        <v>2</v>
      </c>
      <c r="AW216" s="12">
        <v>1</v>
      </c>
      <c r="AX216" s="12">
        <v>3</v>
      </c>
      <c r="AY216" s="12">
        <v>6</v>
      </c>
      <c r="AZ216" s="12">
        <v>1</v>
      </c>
      <c r="BA216" s="12">
        <v>3</v>
      </c>
      <c r="BB216" s="12">
        <v>2</v>
      </c>
      <c r="BC216" s="12">
        <v>0</v>
      </c>
      <c r="BD216" s="12">
        <v>0</v>
      </c>
      <c r="BE216" s="12">
        <v>0</v>
      </c>
      <c r="BF216" s="12">
        <v>3</v>
      </c>
      <c r="BG216" s="12">
        <v>0</v>
      </c>
      <c r="BH216" s="12">
        <v>2</v>
      </c>
      <c r="BI216" s="12">
        <v>0</v>
      </c>
      <c r="BJ216" s="12">
        <v>1</v>
      </c>
      <c r="BK216" s="12">
        <v>1</v>
      </c>
      <c r="BL216" s="12">
        <v>0</v>
      </c>
      <c r="BM216" s="12">
        <v>0</v>
      </c>
      <c r="BN216" s="12">
        <v>0</v>
      </c>
      <c r="BO216" s="12">
        <v>0</v>
      </c>
      <c r="BP216" s="12">
        <v>0</v>
      </c>
      <c r="BQ216" s="12">
        <v>0</v>
      </c>
      <c r="BR216" s="12">
        <v>1</v>
      </c>
      <c r="BS216" s="12">
        <v>1</v>
      </c>
      <c r="BT216" s="12">
        <v>1</v>
      </c>
      <c r="BU216" s="12">
        <v>0</v>
      </c>
      <c r="BV216" s="12">
        <v>1</v>
      </c>
      <c r="BW216" s="12">
        <v>0</v>
      </c>
      <c r="BX216" s="12">
        <v>0</v>
      </c>
      <c r="BY216" s="12">
        <v>0</v>
      </c>
      <c r="BZ216" s="12">
        <v>2</v>
      </c>
      <c r="CA216" s="12">
        <v>2</v>
      </c>
      <c r="CB216" s="12">
        <v>1</v>
      </c>
      <c r="CC216" s="12">
        <v>1</v>
      </c>
      <c r="CD216" s="12">
        <v>0</v>
      </c>
      <c r="CE216" s="12">
        <v>0</v>
      </c>
      <c r="CF216" s="12">
        <v>3</v>
      </c>
      <c r="CG216" s="12">
        <v>2</v>
      </c>
      <c r="CH216" s="12">
        <v>0</v>
      </c>
      <c r="CI216" s="12">
        <v>1</v>
      </c>
      <c r="CJ216" s="12">
        <v>0</v>
      </c>
      <c r="CK216" s="12">
        <v>0</v>
      </c>
      <c r="CL216" s="12">
        <v>1</v>
      </c>
      <c r="CM216" s="12">
        <v>2</v>
      </c>
      <c r="CN216" s="12">
        <v>0</v>
      </c>
      <c r="CO216" s="12">
        <v>0</v>
      </c>
      <c r="CP216" s="12">
        <v>0</v>
      </c>
      <c r="CQ216" s="12">
        <v>0</v>
      </c>
      <c r="CR216" s="12">
        <v>1</v>
      </c>
      <c r="CS216" s="12">
        <v>0</v>
      </c>
      <c r="CT216" s="12">
        <v>0</v>
      </c>
      <c r="CU216" s="12">
        <v>1</v>
      </c>
      <c r="CV216" s="12">
        <v>1</v>
      </c>
      <c r="CW216" s="12">
        <v>0</v>
      </c>
      <c r="CX216" s="12">
        <v>1</v>
      </c>
      <c r="CY216" s="12">
        <v>0</v>
      </c>
      <c r="CZ216" s="12">
        <v>0</v>
      </c>
      <c r="DA216" s="12">
        <v>1</v>
      </c>
      <c r="DB216" s="12">
        <v>0</v>
      </c>
      <c r="DC216" s="12">
        <v>0</v>
      </c>
      <c r="DD216" s="12">
        <v>0</v>
      </c>
      <c r="DE216" s="12">
        <v>0</v>
      </c>
      <c r="DF216" s="12">
        <v>0</v>
      </c>
      <c r="DG216" s="12">
        <v>0</v>
      </c>
      <c r="DH216" s="12">
        <v>0</v>
      </c>
      <c r="DI216" s="12">
        <v>0</v>
      </c>
      <c r="DJ216" s="12">
        <v>0</v>
      </c>
      <c r="DK216" s="12">
        <v>1</v>
      </c>
      <c r="DL216" s="12">
        <v>0</v>
      </c>
      <c r="DM216" s="12">
        <v>0</v>
      </c>
      <c r="DN216" s="12">
        <v>0</v>
      </c>
      <c r="DO216" s="12">
        <v>0</v>
      </c>
      <c r="DP216" s="12">
        <v>0</v>
      </c>
      <c r="DQ216" s="12">
        <v>0</v>
      </c>
      <c r="DR216" s="12">
        <v>0</v>
      </c>
      <c r="DS216" s="12">
        <v>0</v>
      </c>
      <c r="DT216" s="12">
        <v>0</v>
      </c>
      <c r="DU216" s="12">
        <v>0</v>
      </c>
      <c r="DV216" s="12">
        <v>0</v>
      </c>
      <c r="DW216" s="12">
        <v>0</v>
      </c>
      <c r="DX216" s="12">
        <v>0</v>
      </c>
      <c r="DY216" s="12">
        <v>1</v>
      </c>
      <c r="DZ216" s="12">
        <v>0</v>
      </c>
      <c r="EA216" s="12">
        <v>0</v>
      </c>
      <c r="EB216" s="12">
        <v>0</v>
      </c>
      <c r="EC216" s="12">
        <v>0</v>
      </c>
      <c r="ED216" s="12">
        <v>0</v>
      </c>
      <c r="EE216" s="12">
        <v>0</v>
      </c>
      <c r="EF216" s="12">
        <v>1</v>
      </c>
      <c r="EG216" s="12">
        <v>0</v>
      </c>
      <c r="EH216" s="12">
        <v>0</v>
      </c>
      <c r="EI216" s="12">
        <v>0</v>
      </c>
      <c r="EJ216" s="12">
        <v>0</v>
      </c>
      <c r="EK216" s="12">
        <v>0</v>
      </c>
      <c r="EL216" s="12">
        <v>0</v>
      </c>
      <c r="EM216" s="12">
        <v>0</v>
      </c>
      <c r="EN216" s="12">
        <v>0</v>
      </c>
      <c r="EO216" s="12">
        <v>1</v>
      </c>
      <c r="EP216" s="12" t="str">
        <f t="shared" si="49"/>
        <v>🔴 Sin venta</v>
      </c>
      <c r="EQ216" s="23">
        <f t="shared" si="50"/>
        <v>8.3333333333333329E-2</v>
      </c>
      <c r="ER216" s="19">
        <f t="shared" si="48"/>
        <v>1395</v>
      </c>
      <c r="ES216" s="12">
        <f t="shared" si="47"/>
        <v>3</v>
      </c>
      <c r="ET216" s="23">
        <f t="shared" si="52"/>
        <v>0.5</v>
      </c>
      <c r="EU216" s="23">
        <f t="shared" si="51"/>
        <v>0.5</v>
      </c>
      <c r="EV216" s="23">
        <f t="shared" si="53"/>
        <v>0.27</v>
      </c>
      <c r="EW216" s="23"/>
      <c r="EX216" s="12">
        <v>14</v>
      </c>
      <c r="EY216" s="19" cm="1">
        <f t="array" ref="EY216:FC216">VLOOKUP(_xlfn.SINGLE(B:B),'[1]Price List'!$B:$N,{8,4,5,6,7},0)</f>
        <v>465</v>
      </c>
      <c r="EZ216" s="9" t="str">
        <v>Speck (Apple Exclusive) Presidio 2 Pro Case for iPhone 14 Plus - Charcoal/Cool Bronze</v>
      </c>
      <c r="FA216" s="12" t="str">
        <v>Cases iPhone</v>
      </c>
      <c r="FB216" s="12" t="str">
        <v>iPhone 14</v>
      </c>
      <c r="FC216" s="12" t="str">
        <v>iPhone 14 Plus</v>
      </c>
      <c r="FD216" s="23" t="str">
        <f>_xlfn.XLOOKUP(B:B,'[1]Price List'!$B:$B,'[1]Price List'!$A:$A)</f>
        <v>Speck</v>
      </c>
    </row>
    <row r="217" spans="1:160" s="9" customFormat="1" x14ac:dyDescent="0.2">
      <c r="A217" s="23" t="s">
        <v>599</v>
      </c>
      <c r="B217" s="23">
        <v>848709089946</v>
      </c>
      <c r="C217" s="9" t="s">
        <v>69</v>
      </c>
      <c r="D217" s="9" t="e">
        <v>#N/A</v>
      </c>
      <c r="E217" s="9" t="e">
        <v>#N/A</v>
      </c>
      <c r="F217" s="9" t="e">
        <v>#N/A</v>
      </c>
      <c r="G217" s="9" t="s">
        <v>312</v>
      </c>
      <c r="H217" s="12" t="s">
        <v>70</v>
      </c>
      <c r="I217" s="11">
        <v>1349</v>
      </c>
      <c r="J217" s="11">
        <v>697.76</v>
      </c>
      <c r="K217" s="62">
        <v>0</v>
      </c>
      <c r="L217" s="12">
        <v>944</v>
      </c>
      <c r="M217" s="13" t="s">
        <v>467</v>
      </c>
      <c r="N217" s="13" t="s">
        <v>656</v>
      </c>
      <c r="O217" s="27">
        <v>44410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0</v>
      </c>
      <c r="X217" s="12">
        <v>0</v>
      </c>
      <c r="Y217" s="12">
        <v>0</v>
      </c>
      <c r="Z217" s="12">
        <v>0</v>
      </c>
      <c r="AA217" s="12">
        <v>-1</v>
      </c>
      <c r="AB217" s="12">
        <v>0</v>
      </c>
      <c r="AC217" s="12">
        <v>0</v>
      </c>
      <c r="AD217" s="12">
        <v>1</v>
      </c>
      <c r="AE217" s="12">
        <v>0</v>
      </c>
      <c r="AF217" s="12">
        <v>0</v>
      </c>
      <c r="AG217" s="12">
        <v>1</v>
      </c>
      <c r="AH217" s="12">
        <v>0</v>
      </c>
      <c r="AI217" s="12">
        <v>0</v>
      </c>
      <c r="AJ217" s="12">
        <v>0</v>
      </c>
      <c r="AK217" s="12">
        <v>0</v>
      </c>
      <c r="AL217" s="12">
        <v>0</v>
      </c>
      <c r="AM217" s="12">
        <v>0</v>
      </c>
      <c r="AN217" s="12">
        <v>0</v>
      </c>
      <c r="AO217" s="12">
        <v>0</v>
      </c>
      <c r="AP217" s="12">
        <v>0</v>
      </c>
      <c r="AQ217" s="12">
        <v>1</v>
      </c>
      <c r="AR217" s="12">
        <v>0</v>
      </c>
      <c r="AS217" s="12">
        <v>0</v>
      </c>
      <c r="AT217" s="12">
        <v>0</v>
      </c>
      <c r="AU217" s="12">
        <v>0</v>
      </c>
      <c r="AV217" s="12">
        <v>0</v>
      </c>
      <c r="AW217" s="12">
        <v>1</v>
      </c>
      <c r="AX217" s="12">
        <v>0</v>
      </c>
      <c r="AY217" s="12">
        <v>2</v>
      </c>
      <c r="AZ217" s="12">
        <v>0</v>
      </c>
      <c r="BA217" s="12">
        <v>0</v>
      </c>
      <c r="BB217" s="12">
        <v>1</v>
      </c>
      <c r="BC217" s="12">
        <v>1</v>
      </c>
      <c r="BD217" s="12">
        <v>0</v>
      </c>
      <c r="BE217" s="12">
        <v>0</v>
      </c>
      <c r="BF217" s="12">
        <v>0</v>
      </c>
      <c r="BG217" s="12">
        <v>1</v>
      </c>
      <c r="BH217" s="12">
        <v>0</v>
      </c>
      <c r="BI217" s="12">
        <v>0</v>
      </c>
      <c r="BJ217" s="12">
        <v>0</v>
      </c>
      <c r="BK217" s="12">
        <v>0</v>
      </c>
      <c r="BL217" s="12">
        <v>1</v>
      </c>
      <c r="BM217" s="12">
        <v>0</v>
      </c>
      <c r="BN217" s="12">
        <v>0</v>
      </c>
      <c r="BO217" s="12">
        <v>2</v>
      </c>
      <c r="BP217" s="12">
        <v>1</v>
      </c>
      <c r="BQ217" s="12">
        <v>0</v>
      </c>
      <c r="BR217" s="12">
        <v>1</v>
      </c>
      <c r="BS217" s="12">
        <v>0</v>
      </c>
      <c r="BT217" s="12">
        <v>0</v>
      </c>
      <c r="BU217" s="12">
        <v>0</v>
      </c>
      <c r="BV217" s="12">
        <v>0</v>
      </c>
      <c r="BW217" s="12">
        <v>0</v>
      </c>
      <c r="BX217" s="12">
        <v>0</v>
      </c>
      <c r="BY217" s="12">
        <v>1</v>
      </c>
      <c r="BZ217" s="12">
        <v>1</v>
      </c>
      <c r="CA217" s="12">
        <v>0</v>
      </c>
      <c r="CB217" s="12">
        <v>0</v>
      </c>
      <c r="CC217" s="12">
        <v>0</v>
      </c>
      <c r="CD217" s="12">
        <v>0</v>
      </c>
      <c r="CE217" s="12">
        <v>0</v>
      </c>
      <c r="CF217" s="12">
        <v>0</v>
      </c>
      <c r="CG217" s="12">
        <v>1</v>
      </c>
      <c r="CH217" s="12">
        <v>1</v>
      </c>
      <c r="CI217" s="12">
        <v>0</v>
      </c>
      <c r="CJ217" s="12">
        <v>0</v>
      </c>
      <c r="CK217" s="12">
        <v>1</v>
      </c>
      <c r="CL217" s="12">
        <v>-1</v>
      </c>
      <c r="CM217" s="12">
        <v>1</v>
      </c>
      <c r="CN217" s="12">
        <v>0</v>
      </c>
      <c r="CO217" s="12">
        <v>0</v>
      </c>
      <c r="CP217" s="12">
        <v>0</v>
      </c>
      <c r="CQ217" s="12">
        <v>0</v>
      </c>
      <c r="CR217" s="12">
        <v>0</v>
      </c>
      <c r="CS217" s="12">
        <v>0</v>
      </c>
      <c r="CT217" s="12">
        <v>1</v>
      </c>
      <c r="CU217" s="12">
        <v>1</v>
      </c>
      <c r="CV217" s="12">
        <v>1</v>
      </c>
      <c r="CW217" s="12">
        <v>0</v>
      </c>
      <c r="CX217" s="12">
        <v>1</v>
      </c>
      <c r="CY217" s="12">
        <v>0</v>
      </c>
      <c r="CZ217" s="12">
        <v>1</v>
      </c>
      <c r="DA217" s="12">
        <v>1</v>
      </c>
      <c r="DB217" s="12">
        <v>0</v>
      </c>
      <c r="DC217" s="12">
        <v>0</v>
      </c>
      <c r="DD217" s="12">
        <v>0</v>
      </c>
      <c r="DE217" s="12">
        <v>1</v>
      </c>
      <c r="DF217" s="12">
        <v>0</v>
      </c>
      <c r="DG217" s="12">
        <v>0</v>
      </c>
      <c r="DH217" s="12">
        <v>1</v>
      </c>
      <c r="DI217" s="12">
        <v>0</v>
      </c>
      <c r="DJ217" s="12">
        <v>1</v>
      </c>
      <c r="DK217" s="12">
        <v>0</v>
      </c>
      <c r="DL217" s="12">
        <v>1</v>
      </c>
      <c r="DM217" s="12">
        <v>0</v>
      </c>
      <c r="DN217" s="12">
        <v>0</v>
      </c>
      <c r="DO217" s="12">
        <v>2</v>
      </c>
      <c r="DP217" s="12">
        <v>0</v>
      </c>
      <c r="DQ217" s="12">
        <v>0</v>
      </c>
      <c r="DR217" s="12">
        <v>1</v>
      </c>
      <c r="DS217" s="12">
        <v>0</v>
      </c>
      <c r="DT217" s="12">
        <v>0</v>
      </c>
      <c r="DU217" s="12">
        <v>2</v>
      </c>
      <c r="DV217" s="12">
        <v>0</v>
      </c>
      <c r="DW217" s="12">
        <v>-1</v>
      </c>
      <c r="DX217" s="12">
        <v>0</v>
      </c>
      <c r="DY217" s="12">
        <v>1</v>
      </c>
      <c r="DZ217" s="12">
        <v>0</v>
      </c>
      <c r="EA217" s="12">
        <v>0</v>
      </c>
      <c r="EB217" s="12">
        <v>0</v>
      </c>
      <c r="EC217" s="12">
        <v>0</v>
      </c>
      <c r="ED217" s="12">
        <v>0</v>
      </c>
      <c r="EE217" s="12">
        <v>0</v>
      </c>
      <c r="EF217" s="12">
        <v>0</v>
      </c>
      <c r="EG217" s="12">
        <v>1</v>
      </c>
      <c r="EH217" s="12">
        <v>1</v>
      </c>
      <c r="EI217" s="12">
        <v>1</v>
      </c>
      <c r="EJ217" s="12">
        <v>-1</v>
      </c>
      <c r="EK217" s="12">
        <v>0</v>
      </c>
      <c r="EL217" s="12">
        <v>0</v>
      </c>
      <c r="EM217" s="12">
        <v>1</v>
      </c>
      <c r="EN217" s="12">
        <v>0</v>
      </c>
      <c r="EO217" s="12">
        <v>0</v>
      </c>
      <c r="EP217" s="12" t="str">
        <f t="shared" si="49"/>
        <v>🔴 Sin venta</v>
      </c>
      <c r="EQ217" s="23">
        <f t="shared" si="50"/>
        <v>0.25</v>
      </c>
      <c r="ER217" s="19">
        <f t="shared" si="48"/>
        <v>4186.5599999999995</v>
      </c>
      <c r="ES217" s="12">
        <f t="shared" si="47"/>
        <v>6</v>
      </c>
      <c r="ET217" s="23">
        <f t="shared" si="52"/>
        <v>1.5</v>
      </c>
      <c r="EU217" s="23">
        <f t="shared" si="51"/>
        <v>2.5</v>
      </c>
      <c r="EV217" s="23">
        <f t="shared" si="53"/>
        <v>0.8</v>
      </c>
      <c r="EW217" s="23"/>
      <c r="EX217" s="12">
        <v>53</v>
      </c>
      <c r="EY217" s="19" cm="1">
        <f t="array" ref="EY217:FC217">VLOOKUP(_xlfn.SINGLE(B:B),'[1]Price List'!$B:$N,{8,4,5,6,7},0)</f>
        <v>697.76</v>
      </c>
      <c r="EZ217" s="9" t="str">
        <v>Speck Smartshell - Swell Blue Mb Pro 16</v>
      </c>
      <c r="FA217" s="12" t="str">
        <v>Cases Macbook</v>
      </c>
      <c r="FB217" s="12" t="str">
        <v>Macbook</v>
      </c>
      <c r="FC217" s="12" t="str">
        <v>MacBook Pro 16" M1/M2 Cases</v>
      </c>
      <c r="FD217" s="23" t="str">
        <f>_xlfn.XLOOKUP(B:B,'[1]Price List'!$B:$B,'[1]Price List'!$A:$A)</f>
        <v>Speck</v>
      </c>
    </row>
    <row r="218" spans="1:160" s="9" customFormat="1" x14ac:dyDescent="0.2">
      <c r="A218" s="23" t="s">
        <v>599</v>
      </c>
      <c r="B218" s="23">
        <v>848709091734</v>
      </c>
      <c r="C218" s="9" t="s">
        <v>90</v>
      </c>
      <c r="D218" s="9" t="e">
        <v>#N/A</v>
      </c>
      <c r="E218" s="9" t="e">
        <v>#N/A</v>
      </c>
      <c r="F218" s="9" t="e">
        <v>#N/A</v>
      </c>
      <c r="G218" s="9" t="s">
        <v>304</v>
      </c>
      <c r="H218" s="12" t="s">
        <v>91</v>
      </c>
      <c r="I218" s="11">
        <v>1099</v>
      </c>
      <c r="J218" s="11">
        <v>568.45000000000005</v>
      </c>
      <c r="K218" s="62">
        <v>0.55000000000000004</v>
      </c>
      <c r="L218" s="19">
        <f>I218*(1-K218)</f>
        <v>494.54999999999995</v>
      </c>
      <c r="M218" s="13" t="s">
        <v>467</v>
      </c>
      <c r="N218" s="13" t="s">
        <v>656</v>
      </c>
      <c r="O218" s="27">
        <v>44175</v>
      </c>
      <c r="P218" s="12">
        <v>0</v>
      </c>
      <c r="Q218" s="12">
        <v>0</v>
      </c>
      <c r="R218" s="12">
        <v>0</v>
      </c>
      <c r="S218" s="12">
        <v>1</v>
      </c>
      <c r="T218" s="12">
        <v>0</v>
      </c>
      <c r="U218" s="12">
        <v>1</v>
      </c>
      <c r="V218" s="12">
        <v>0</v>
      </c>
      <c r="W218" s="12">
        <v>0</v>
      </c>
      <c r="X218" s="12">
        <v>0</v>
      </c>
      <c r="Y218" s="12">
        <v>0</v>
      </c>
      <c r="Z218" s="12">
        <v>0</v>
      </c>
      <c r="AA218" s="12">
        <v>1</v>
      </c>
      <c r="AB218" s="12">
        <v>0</v>
      </c>
      <c r="AC218" s="12">
        <v>0</v>
      </c>
      <c r="AD218" s="12">
        <v>0</v>
      </c>
      <c r="AE218" s="12">
        <v>1</v>
      </c>
      <c r="AF218" s="12">
        <v>0</v>
      </c>
      <c r="AG218" s="12">
        <v>0</v>
      </c>
      <c r="AH218" s="12">
        <v>0</v>
      </c>
      <c r="AI218" s="12">
        <v>0</v>
      </c>
      <c r="AJ218" s="12">
        <v>0</v>
      </c>
      <c r="AK218" s="12">
        <v>1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2">
        <v>0</v>
      </c>
      <c r="AW218" s="12">
        <v>1</v>
      </c>
      <c r="AX218" s="12">
        <v>0</v>
      </c>
      <c r="AY218" s="12">
        <v>0</v>
      </c>
      <c r="AZ218" s="12">
        <v>0</v>
      </c>
      <c r="BA218" s="12">
        <v>0</v>
      </c>
      <c r="BB218" s="12">
        <v>0</v>
      </c>
      <c r="BC218" s="12">
        <v>0</v>
      </c>
      <c r="BD218" s="12">
        <v>0</v>
      </c>
      <c r="BE218" s="12">
        <v>0</v>
      </c>
      <c r="BF218" s="12">
        <v>0</v>
      </c>
      <c r="BG218" s="12">
        <v>0</v>
      </c>
      <c r="BH218" s="12">
        <v>0</v>
      </c>
      <c r="BI218" s="12">
        <v>0</v>
      </c>
      <c r="BJ218" s="12">
        <v>0</v>
      </c>
      <c r="BK218" s="12">
        <v>1</v>
      </c>
      <c r="BL218" s="12">
        <v>0</v>
      </c>
      <c r="BM218" s="12">
        <v>0</v>
      </c>
      <c r="BN218" s="12">
        <v>0</v>
      </c>
      <c r="BO218" s="12">
        <v>0</v>
      </c>
      <c r="BP218" s="12">
        <v>1</v>
      </c>
      <c r="BQ218" s="12">
        <v>0</v>
      </c>
      <c r="BR218" s="12">
        <v>0</v>
      </c>
      <c r="BS218" s="12">
        <v>0</v>
      </c>
      <c r="BT218" s="12">
        <v>0</v>
      </c>
      <c r="BU218" s="12">
        <v>1</v>
      </c>
      <c r="BV218" s="12">
        <v>0</v>
      </c>
      <c r="BW218" s="12">
        <v>0</v>
      </c>
      <c r="BX218" s="12">
        <v>0</v>
      </c>
      <c r="BY218" s="12">
        <v>0</v>
      </c>
      <c r="BZ218" s="12">
        <v>0</v>
      </c>
      <c r="CA218" s="12">
        <v>0</v>
      </c>
      <c r="CB218" s="12">
        <v>0</v>
      </c>
      <c r="CC218" s="12">
        <v>1</v>
      </c>
      <c r="CD218" s="12">
        <v>1</v>
      </c>
      <c r="CE218" s="12">
        <v>0</v>
      </c>
      <c r="CF218" s="12">
        <v>0</v>
      </c>
      <c r="CG218" s="12">
        <v>0</v>
      </c>
      <c r="CH218" s="12">
        <v>0</v>
      </c>
      <c r="CI218" s="12">
        <v>0</v>
      </c>
      <c r="CJ218" s="12">
        <v>0</v>
      </c>
      <c r="CK218" s="12">
        <v>0</v>
      </c>
      <c r="CL218" s="12">
        <v>0</v>
      </c>
      <c r="CM218" s="12">
        <v>0</v>
      </c>
      <c r="CN218" s="12">
        <v>0</v>
      </c>
      <c r="CO218" s="12">
        <v>0</v>
      </c>
      <c r="CP218" s="12">
        <v>0</v>
      </c>
      <c r="CQ218" s="12">
        <v>0</v>
      </c>
      <c r="CR218" s="12">
        <v>0</v>
      </c>
      <c r="CS218" s="12">
        <v>0</v>
      </c>
      <c r="CT218" s="12">
        <v>0</v>
      </c>
      <c r="CU218" s="12">
        <v>0</v>
      </c>
      <c r="CV218" s="12">
        <v>0</v>
      </c>
      <c r="CW218" s="12">
        <v>0</v>
      </c>
      <c r="CX218" s="12">
        <v>0</v>
      </c>
      <c r="CY218" s="12">
        <v>0</v>
      </c>
      <c r="CZ218" s="12">
        <v>0</v>
      </c>
      <c r="DA218" s="12">
        <v>0</v>
      </c>
      <c r="DB218" s="12">
        <v>0</v>
      </c>
      <c r="DC218" s="12">
        <v>0</v>
      </c>
      <c r="DD218" s="12">
        <v>0</v>
      </c>
      <c r="DE218" s="12">
        <v>0</v>
      </c>
      <c r="DF218" s="12">
        <v>0</v>
      </c>
      <c r="DG218" s="12">
        <v>0</v>
      </c>
      <c r="DH218" s="12">
        <v>0</v>
      </c>
      <c r="DI218" s="12">
        <v>0</v>
      </c>
      <c r="DJ218" s="12">
        <v>0</v>
      </c>
      <c r="DK218" s="12">
        <v>0</v>
      </c>
      <c r="DL218" s="12">
        <v>0</v>
      </c>
      <c r="DM218" s="12">
        <v>0</v>
      </c>
      <c r="DN218" s="12">
        <v>0</v>
      </c>
      <c r="DO218" s="12">
        <v>0</v>
      </c>
      <c r="DP218" s="12">
        <v>0</v>
      </c>
      <c r="DQ218" s="12">
        <v>0</v>
      </c>
      <c r="DR218" s="12">
        <v>0</v>
      </c>
      <c r="DS218" s="12">
        <v>0</v>
      </c>
      <c r="DT218" s="12">
        <v>0</v>
      </c>
      <c r="DU218" s="12">
        <v>0</v>
      </c>
      <c r="DV218" s="12">
        <v>0</v>
      </c>
      <c r="DW218" s="12">
        <v>0</v>
      </c>
      <c r="DX218" s="12">
        <v>0</v>
      </c>
      <c r="DY218" s="12">
        <v>0</v>
      </c>
      <c r="DZ218" s="12">
        <v>0</v>
      </c>
      <c r="EA218" s="12">
        <v>0</v>
      </c>
      <c r="EB218" s="12">
        <v>0</v>
      </c>
      <c r="EC218" s="12">
        <v>0</v>
      </c>
      <c r="ED218" s="12">
        <v>0</v>
      </c>
      <c r="EE218" s="12">
        <v>0</v>
      </c>
      <c r="EF218" s="12">
        <v>0</v>
      </c>
      <c r="EG218" s="12">
        <v>0</v>
      </c>
      <c r="EH218" s="12">
        <v>0</v>
      </c>
      <c r="EI218" s="12">
        <v>0</v>
      </c>
      <c r="EJ218" s="12">
        <v>0</v>
      </c>
      <c r="EK218" s="12">
        <v>0</v>
      </c>
      <c r="EL218" s="12">
        <v>0</v>
      </c>
      <c r="EM218" s="12">
        <v>0</v>
      </c>
      <c r="EN218" s="12">
        <v>0</v>
      </c>
      <c r="EO218" s="12">
        <v>0</v>
      </c>
      <c r="EP218" s="12" t="str">
        <f t="shared" si="49"/>
        <v>🔴 Sin venta</v>
      </c>
      <c r="EQ218" s="23">
        <f t="shared" si="50"/>
        <v>0</v>
      </c>
      <c r="ER218" s="19">
        <f t="shared" si="48"/>
        <v>0</v>
      </c>
      <c r="ES218" s="12">
        <f t="shared" si="47"/>
        <v>0</v>
      </c>
      <c r="ET218" s="23">
        <f t="shared" si="52"/>
        <v>0</v>
      </c>
      <c r="EU218" s="23">
        <f t="shared" si="51"/>
        <v>0</v>
      </c>
      <c r="EV218" s="23">
        <f t="shared" si="53"/>
        <v>0</v>
      </c>
      <c r="EW218" s="23"/>
      <c r="EX218" s="12">
        <v>0</v>
      </c>
      <c r="EY218" s="19" cm="1">
        <f t="array" ref="EY218:FC218">VLOOKUP(_xlfn.SINGLE(B:B),'[1]Price List'!$B:$N,{8,4,5,6,7},0)</f>
        <v>568.45000000000005</v>
      </c>
      <c r="EZ218" s="9" t="str">
        <v>Speck Presidio Perfect Clear Om Rse 12Pro</v>
      </c>
      <c r="FA218" s="12" t="str">
        <v>Cases iPhone</v>
      </c>
      <c r="FB218" s="12" t="str">
        <v>iPhone 12</v>
      </c>
      <c r="FC218" s="12" t="str">
        <v>iPhone 12 / 12 Pro</v>
      </c>
      <c r="FD218" s="23" t="str">
        <f>_xlfn.XLOOKUP(B:B,'[1]Price List'!$B:$B,'[1]Price List'!$A:$A)</f>
        <v>Speck</v>
      </c>
    </row>
    <row r="219" spans="1:160" s="9" customFormat="1" x14ac:dyDescent="0.2">
      <c r="A219" s="23" t="s">
        <v>599</v>
      </c>
      <c r="B219" s="23">
        <v>848709096098</v>
      </c>
      <c r="C219" s="9" t="s">
        <v>97</v>
      </c>
      <c r="D219" s="9" t="e">
        <v>#N/A</v>
      </c>
      <c r="E219" s="9" t="e">
        <v>#N/A</v>
      </c>
      <c r="F219" s="9" t="e">
        <v>#N/A</v>
      </c>
      <c r="G219" s="9" t="s">
        <v>676</v>
      </c>
      <c r="H219" s="12" t="s">
        <v>98</v>
      </c>
      <c r="I219" s="11">
        <v>999</v>
      </c>
      <c r="J219" s="11">
        <v>430.6</v>
      </c>
      <c r="K219" s="62">
        <v>0</v>
      </c>
      <c r="L219" s="12">
        <v>0</v>
      </c>
      <c r="M219" s="13" t="s">
        <v>467</v>
      </c>
      <c r="N219" s="13" t="s">
        <v>656</v>
      </c>
      <c r="O219" s="27" t="s">
        <v>99</v>
      </c>
      <c r="P219" s="12">
        <v>2</v>
      </c>
      <c r="Q219" s="12">
        <v>0</v>
      </c>
      <c r="R219" s="12">
        <v>1</v>
      </c>
      <c r="S219" s="12">
        <v>0</v>
      </c>
      <c r="T219" s="12">
        <v>2</v>
      </c>
      <c r="U219" s="12">
        <v>0</v>
      </c>
      <c r="V219" s="12">
        <v>3</v>
      </c>
      <c r="W219" s="12">
        <v>0</v>
      </c>
      <c r="X219" s="12">
        <v>1</v>
      </c>
      <c r="Y219" s="12">
        <v>0</v>
      </c>
      <c r="Z219" s="12">
        <v>2</v>
      </c>
      <c r="AA219" s="12">
        <v>3</v>
      </c>
      <c r="AB219" s="12">
        <v>1</v>
      </c>
      <c r="AC219" s="12">
        <v>2</v>
      </c>
      <c r="AD219" s="12">
        <v>1</v>
      </c>
      <c r="AE219" s="12">
        <v>1</v>
      </c>
      <c r="AF219" s="12">
        <v>0</v>
      </c>
      <c r="AG219" s="12">
        <v>0</v>
      </c>
      <c r="AH219" s="12">
        <v>0</v>
      </c>
      <c r="AI219" s="12">
        <v>2</v>
      </c>
      <c r="AJ219" s="12">
        <v>0</v>
      </c>
      <c r="AK219" s="12">
        <v>0</v>
      </c>
      <c r="AL219" s="12">
        <v>0</v>
      </c>
      <c r="AM219" s="12">
        <v>0</v>
      </c>
      <c r="AN219" s="12">
        <v>0</v>
      </c>
      <c r="AO219" s="12">
        <v>0</v>
      </c>
      <c r="AP219" s="12">
        <v>0</v>
      </c>
      <c r="AQ219" s="12">
        <v>0</v>
      </c>
      <c r="AR219" s="12">
        <v>1</v>
      </c>
      <c r="AS219" s="12">
        <v>0</v>
      </c>
      <c r="AT219" s="12">
        <v>1</v>
      </c>
      <c r="AU219" s="12">
        <v>0</v>
      </c>
      <c r="AV219" s="12">
        <v>0</v>
      </c>
      <c r="AW219" s="12">
        <v>1</v>
      </c>
      <c r="AX219" s="12">
        <v>0</v>
      </c>
      <c r="AY219" s="12">
        <v>0</v>
      </c>
      <c r="AZ219" s="12">
        <v>0</v>
      </c>
      <c r="BA219" s="12">
        <v>0</v>
      </c>
      <c r="BB219" s="12">
        <v>1</v>
      </c>
      <c r="BC219" s="12">
        <v>1</v>
      </c>
      <c r="BD219" s="12">
        <v>0</v>
      </c>
      <c r="BE219" s="12">
        <v>0</v>
      </c>
      <c r="BF219" s="12">
        <v>0</v>
      </c>
      <c r="BG219" s="12">
        <v>0</v>
      </c>
      <c r="BH219" s="12">
        <v>0</v>
      </c>
      <c r="BI219" s="12">
        <v>0</v>
      </c>
      <c r="BJ219" s="12">
        <v>0</v>
      </c>
      <c r="BK219" s="12">
        <v>0</v>
      </c>
      <c r="BL219" s="12">
        <v>0</v>
      </c>
      <c r="BM219" s="12">
        <v>0</v>
      </c>
      <c r="BN219" s="12">
        <v>0</v>
      </c>
      <c r="BO219" s="12">
        <v>0</v>
      </c>
      <c r="BP219" s="12">
        <v>0</v>
      </c>
      <c r="BQ219" s="12">
        <v>0</v>
      </c>
      <c r="BR219" s="12">
        <v>0</v>
      </c>
      <c r="BS219" s="12">
        <v>0</v>
      </c>
      <c r="BT219" s="12">
        <v>0</v>
      </c>
      <c r="BU219" s="12">
        <v>0</v>
      </c>
      <c r="BV219" s="12">
        <v>0</v>
      </c>
      <c r="BW219" s="12">
        <v>0</v>
      </c>
      <c r="BX219" s="12">
        <v>0</v>
      </c>
      <c r="BY219" s="12">
        <v>0</v>
      </c>
      <c r="BZ219" s="12">
        <v>0</v>
      </c>
      <c r="CA219" s="12">
        <v>0</v>
      </c>
      <c r="CB219" s="12">
        <v>0</v>
      </c>
      <c r="CC219" s="12">
        <v>0</v>
      </c>
      <c r="CD219" s="12">
        <v>0</v>
      </c>
      <c r="CE219" s="12">
        <v>0</v>
      </c>
      <c r="CF219" s="12">
        <v>0</v>
      </c>
      <c r="CG219" s="12">
        <v>0</v>
      </c>
      <c r="CH219" s="12">
        <v>0</v>
      </c>
      <c r="CI219" s="12">
        <v>0</v>
      </c>
      <c r="CJ219" s="12">
        <v>0</v>
      </c>
      <c r="CK219" s="12">
        <v>0</v>
      </c>
      <c r="CL219" s="12">
        <v>0</v>
      </c>
      <c r="CM219" s="12">
        <v>1</v>
      </c>
      <c r="CN219" s="12">
        <v>0</v>
      </c>
      <c r="CO219" s="12">
        <v>0</v>
      </c>
      <c r="CP219" s="12">
        <v>0</v>
      </c>
      <c r="CQ219" s="12">
        <v>0</v>
      </c>
      <c r="CR219" s="12">
        <v>0</v>
      </c>
      <c r="CS219" s="12">
        <v>0</v>
      </c>
      <c r="CT219" s="12">
        <v>0</v>
      </c>
      <c r="CU219" s="12">
        <v>0</v>
      </c>
      <c r="CV219" s="12">
        <v>0</v>
      </c>
      <c r="CW219" s="12">
        <v>0</v>
      </c>
      <c r="CX219" s="12">
        <v>0</v>
      </c>
      <c r="CY219" s="12">
        <v>0</v>
      </c>
      <c r="CZ219" s="12">
        <v>0</v>
      </c>
      <c r="DA219" s="12">
        <v>0</v>
      </c>
      <c r="DB219" s="12">
        <v>1</v>
      </c>
      <c r="DC219" s="12">
        <v>0</v>
      </c>
      <c r="DD219" s="12">
        <v>0</v>
      </c>
      <c r="DE219" s="12">
        <v>0</v>
      </c>
      <c r="DF219" s="12">
        <v>0</v>
      </c>
      <c r="DG219" s="12">
        <v>0</v>
      </c>
      <c r="DH219" s="12">
        <v>0</v>
      </c>
      <c r="DI219" s="12">
        <v>0</v>
      </c>
      <c r="DJ219" s="12">
        <v>0</v>
      </c>
      <c r="DK219" s="12">
        <v>0</v>
      </c>
      <c r="DL219" s="12">
        <v>0</v>
      </c>
      <c r="DM219" s="12">
        <v>0</v>
      </c>
      <c r="DN219" s="12">
        <v>0</v>
      </c>
      <c r="DO219" s="12">
        <v>0</v>
      </c>
      <c r="DP219" s="12">
        <v>0</v>
      </c>
      <c r="DQ219" s="12">
        <v>0</v>
      </c>
      <c r="DR219" s="12">
        <v>0</v>
      </c>
      <c r="DS219" s="12">
        <v>0</v>
      </c>
      <c r="DT219" s="12">
        <v>0</v>
      </c>
      <c r="DU219" s="12">
        <v>0</v>
      </c>
      <c r="DV219" s="12">
        <v>0</v>
      </c>
      <c r="DW219" s="12">
        <v>0</v>
      </c>
      <c r="DX219" s="12">
        <v>0</v>
      </c>
      <c r="DY219" s="12">
        <v>0</v>
      </c>
      <c r="DZ219" s="12">
        <v>0</v>
      </c>
      <c r="EA219" s="12">
        <v>0</v>
      </c>
      <c r="EB219" s="12">
        <v>0</v>
      </c>
      <c r="EC219" s="12">
        <v>0</v>
      </c>
      <c r="ED219" s="12">
        <v>0</v>
      </c>
      <c r="EE219" s="12">
        <v>0</v>
      </c>
      <c r="EF219" s="12">
        <v>0</v>
      </c>
      <c r="EG219" s="12">
        <v>0</v>
      </c>
      <c r="EH219" s="12">
        <v>0</v>
      </c>
      <c r="EI219" s="12">
        <v>0</v>
      </c>
      <c r="EJ219" s="12">
        <v>0</v>
      </c>
      <c r="EK219" s="12">
        <v>0</v>
      </c>
      <c r="EL219" s="12">
        <v>0</v>
      </c>
      <c r="EM219" s="12">
        <v>0</v>
      </c>
      <c r="EN219" s="12">
        <v>0</v>
      </c>
      <c r="EO219" s="12">
        <v>0</v>
      </c>
      <c r="EP219" s="12" t="str">
        <f t="shared" si="49"/>
        <v>🔴 Sin venta</v>
      </c>
      <c r="EQ219" s="23">
        <f t="shared" si="50"/>
        <v>0</v>
      </c>
      <c r="ER219" s="19">
        <f t="shared" si="48"/>
        <v>0</v>
      </c>
      <c r="ES219" s="12">
        <f t="shared" si="47"/>
        <v>0</v>
      </c>
      <c r="ET219" s="23">
        <f t="shared" si="52"/>
        <v>0.5</v>
      </c>
      <c r="EU219" s="23">
        <f t="shared" si="51"/>
        <v>0</v>
      </c>
      <c r="EV219" s="23">
        <f t="shared" si="53"/>
        <v>0</v>
      </c>
      <c r="EW219" s="23"/>
      <c r="EX219" s="12">
        <v>2</v>
      </c>
      <c r="EY219" s="19" cm="1">
        <f t="array" ref="EY219:FC219">VLOOKUP(_xlfn.SINGLE(B:B),'[1]Price List'!$B:$N,{8,4,5,6,7},0)</f>
        <v>430.6</v>
      </c>
      <c r="EZ219" s="9" t="str">
        <v>Speck Balance Folio for iPad Air 10.9"/Pro 11" - Black/Black</v>
      </c>
      <c r="FA219" s="12" t="str">
        <v>Cases iPad</v>
      </c>
      <c r="FB219" s="12" t="str">
        <v>iPad</v>
      </c>
      <c r="FC219" s="12" t="str">
        <v>iPad Pro 11" 2/3/4/Air 4/5</v>
      </c>
      <c r="FD219" s="23" t="str">
        <f>_xlfn.XLOOKUP(B:B,'[1]Price List'!$B:$B,'[1]Price List'!$A:$A)</f>
        <v>Speck</v>
      </c>
    </row>
    <row r="220" spans="1:160" s="9" customFormat="1" x14ac:dyDescent="0.2">
      <c r="A220" s="23" t="s">
        <v>599</v>
      </c>
      <c r="B220" s="23">
        <v>848709070142</v>
      </c>
      <c r="C220" s="9" t="s">
        <v>14</v>
      </c>
      <c r="D220" s="9" t="e">
        <v>#N/A</v>
      </c>
      <c r="E220" s="9" t="e">
        <v>#N/A</v>
      </c>
      <c r="F220" s="9" t="e">
        <v>#N/A</v>
      </c>
      <c r="G220" s="9" t="s">
        <v>694</v>
      </c>
      <c r="H220" s="12" t="s">
        <v>15</v>
      </c>
      <c r="I220" s="12">
        <v>449</v>
      </c>
      <c r="J220" s="11">
        <v>232.24</v>
      </c>
      <c r="K220" s="62">
        <v>0</v>
      </c>
      <c r="L220" s="12">
        <v>0</v>
      </c>
      <c r="M220" s="13" t="s">
        <v>467</v>
      </c>
      <c r="N220" s="13" t="s">
        <v>656</v>
      </c>
      <c r="O220" s="27" t="s">
        <v>9</v>
      </c>
      <c r="P220" s="12">
        <v>0</v>
      </c>
      <c r="Q220" s="12">
        <v>0</v>
      </c>
      <c r="R220" s="12">
        <v>0</v>
      </c>
      <c r="S220" s="12">
        <v>0</v>
      </c>
      <c r="T220" s="12">
        <v>0</v>
      </c>
      <c r="U220" s="12">
        <v>0</v>
      </c>
      <c r="V220" s="12">
        <v>0</v>
      </c>
      <c r="W220" s="12">
        <v>0</v>
      </c>
      <c r="X220" s="12">
        <v>0</v>
      </c>
      <c r="Y220" s="12">
        <v>0</v>
      </c>
      <c r="Z220" s="12">
        <v>1</v>
      </c>
      <c r="AA220" s="12">
        <v>0</v>
      </c>
      <c r="AB220" s="12">
        <v>2</v>
      </c>
      <c r="AC220" s="12">
        <v>0</v>
      </c>
      <c r="AD220" s="12">
        <v>0</v>
      </c>
      <c r="AE220" s="12">
        <v>0</v>
      </c>
      <c r="AF220" s="12">
        <v>0</v>
      </c>
      <c r="AG220" s="12">
        <v>1</v>
      </c>
      <c r="AH220" s="12">
        <v>0</v>
      </c>
      <c r="AI220" s="12">
        <v>0</v>
      </c>
      <c r="AJ220" s="12">
        <v>1</v>
      </c>
      <c r="AK220" s="12">
        <v>0</v>
      </c>
      <c r="AL220" s="12">
        <v>0</v>
      </c>
      <c r="AM220" s="12">
        <v>1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2">
        <v>0</v>
      </c>
      <c r="AW220" s="12">
        <v>0</v>
      </c>
      <c r="AX220" s="12">
        <v>0</v>
      </c>
      <c r="AY220" s="12">
        <v>0</v>
      </c>
      <c r="AZ220" s="12">
        <v>0</v>
      </c>
      <c r="BA220" s="12">
        <v>0</v>
      </c>
      <c r="BB220" s="12">
        <v>0</v>
      </c>
      <c r="BC220" s="12">
        <v>0</v>
      </c>
      <c r="BD220" s="12">
        <v>0</v>
      </c>
      <c r="BE220" s="12">
        <v>0</v>
      </c>
      <c r="BF220" s="12">
        <v>0</v>
      </c>
      <c r="BG220" s="12">
        <v>1</v>
      </c>
      <c r="BH220" s="12">
        <v>0</v>
      </c>
      <c r="BI220" s="12">
        <v>0</v>
      </c>
      <c r="BJ220" s="12">
        <v>0</v>
      </c>
      <c r="BK220" s="12">
        <v>0</v>
      </c>
      <c r="BL220" s="12">
        <v>0</v>
      </c>
      <c r="BM220" s="12">
        <v>0</v>
      </c>
      <c r="BN220" s="12">
        <v>0</v>
      </c>
      <c r="BO220" s="12">
        <v>0</v>
      </c>
      <c r="BP220" s="12">
        <v>0</v>
      </c>
      <c r="BQ220" s="12">
        <v>0</v>
      </c>
      <c r="BR220" s="12">
        <v>0</v>
      </c>
      <c r="BS220" s="12">
        <v>0</v>
      </c>
      <c r="BT220" s="12">
        <v>0</v>
      </c>
      <c r="BU220" s="12">
        <v>0</v>
      </c>
      <c r="BV220" s="12">
        <v>0</v>
      </c>
      <c r="BW220" s="12">
        <v>0</v>
      </c>
      <c r="BX220" s="12">
        <v>0</v>
      </c>
      <c r="BY220" s="12">
        <v>0</v>
      </c>
      <c r="BZ220" s="12">
        <v>0</v>
      </c>
      <c r="CA220" s="12">
        <v>0</v>
      </c>
      <c r="CB220" s="12">
        <v>0</v>
      </c>
      <c r="CC220" s="12">
        <v>0</v>
      </c>
      <c r="CD220" s="12">
        <v>0</v>
      </c>
      <c r="CE220" s="12">
        <v>0</v>
      </c>
      <c r="CF220" s="12">
        <v>0</v>
      </c>
      <c r="CG220" s="12">
        <v>0</v>
      </c>
      <c r="CH220" s="12">
        <v>0</v>
      </c>
      <c r="CI220" s="12">
        <v>0</v>
      </c>
      <c r="CJ220" s="12">
        <v>0</v>
      </c>
      <c r="CK220" s="12">
        <v>0</v>
      </c>
      <c r="CL220" s="12">
        <v>0</v>
      </c>
      <c r="CM220" s="12">
        <v>0</v>
      </c>
      <c r="CN220" s="12">
        <v>0</v>
      </c>
      <c r="CO220" s="12">
        <v>0</v>
      </c>
      <c r="CP220" s="12">
        <v>0</v>
      </c>
      <c r="CQ220" s="12">
        <v>0</v>
      </c>
      <c r="CR220" s="12">
        <v>0</v>
      </c>
      <c r="CS220" s="12">
        <v>0</v>
      </c>
      <c r="CT220" s="12">
        <v>0</v>
      </c>
      <c r="CU220" s="12">
        <v>0</v>
      </c>
      <c r="CV220" s="12">
        <v>0</v>
      </c>
      <c r="CW220" s="12">
        <v>0</v>
      </c>
      <c r="CX220" s="12">
        <v>0</v>
      </c>
      <c r="CY220" s="12">
        <v>0</v>
      </c>
      <c r="CZ220" s="12">
        <v>0</v>
      </c>
      <c r="DA220" s="12">
        <v>0</v>
      </c>
      <c r="DB220" s="12">
        <v>0</v>
      </c>
      <c r="DC220" s="12">
        <v>0</v>
      </c>
      <c r="DD220" s="12">
        <v>0</v>
      </c>
      <c r="DE220" s="12">
        <v>0</v>
      </c>
      <c r="DF220" s="12">
        <v>0</v>
      </c>
      <c r="DG220" s="12">
        <v>0</v>
      </c>
      <c r="DH220" s="12">
        <v>0</v>
      </c>
      <c r="DI220" s="12">
        <v>0</v>
      </c>
      <c r="DJ220" s="12">
        <v>0</v>
      </c>
      <c r="DK220" s="12">
        <v>0</v>
      </c>
      <c r="DL220" s="12">
        <v>0</v>
      </c>
      <c r="DM220" s="12">
        <v>0</v>
      </c>
      <c r="DN220" s="12">
        <v>0</v>
      </c>
      <c r="DO220" s="12">
        <v>0</v>
      </c>
      <c r="DP220" s="12">
        <v>0</v>
      </c>
      <c r="DQ220" s="12">
        <v>0</v>
      </c>
      <c r="DR220" s="12">
        <v>0</v>
      </c>
      <c r="DS220" s="12">
        <v>0</v>
      </c>
      <c r="DT220" s="12">
        <v>0</v>
      </c>
      <c r="DU220" s="12">
        <v>0</v>
      </c>
      <c r="DV220" s="12">
        <v>0</v>
      </c>
      <c r="DW220" s="12">
        <v>0</v>
      </c>
      <c r="DX220" s="12">
        <v>0</v>
      </c>
      <c r="DY220" s="12">
        <v>0</v>
      </c>
      <c r="DZ220" s="12">
        <v>0</v>
      </c>
      <c r="EA220" s="12">
        <v>0</v>
      </c>
      <c r="EB220" s="12">
        <v>0</v>
      </c>
      <c r="EC220" s="12">
        <v>0</v>
      </c>
      <c r="ED220" s="12">
        <v>0</v>
      </c>
      <c r="EE220" s="12">
        <v>0</v>
      </c>
      <c r="EF220" s="12">
        <v>0</v>
      </c>
      <c r="EG220" s="12">
        <v>0</v>
      </c>
      <c r="EH220" s="12">
        <v>0</v>
      </c>
      <c r="EI220" s="12">
        <v>0</v>
      </c>
      <c r="EJ220" s="12">
        <v>0</v>
      </c>
      <c r="EK220" s="12">
        <v>0</v>
      </c>
      <c r="EL220" s="12">
        <v>0</v>
      </c>
      <c r="EM220" s="12">
        <v>0</v>
      </c>
      <c r="EN220" s="12">
        <v>0</v>
      </c>
      <c r="EO220" s="12">
        <v>0</v>
      </c>
      <c r="EP220" s="12" t="str">
        <f t="shared" si="49"/>
        <v>🔴 Sin venta</v>
      </c>
      <c r="EQ220" s="23">
        <f t="shared" si="50"/>
        <v>0</v>
      </c>
      <c r="ER220" s="19">
        <f t="shared" si="48"/>
        <v>0</v>
      </c>
      <c r="ES220" s="12">
        <f t="shared" si="47"/>
        <v>0</v>
      </c>
      <c r="ET220" s="23">
        <f t="shared" si="52"/>
        <v>0</v>
      </c>
      <c r="EU220" s="23">
        <f t="shared" si="51"/>
        <v>0</v>
      </c>
      <c r="EV220" s="23">
        <f t="shared" si="53"/>
        <v>0</v>
      </c>
      <c r="EW220" s="23"/>
      <c r="EX220" s="12">
        <v>0</v>
      </c>
      <c r="EY220" s="19" cm="1">
        <f t="array" ref="EY220:FC220">VLOOKUP(_xlfn.SINGLE(B:B),'[1]Price List'!$B:$N,{8,4,5,6,7},0)</f>
        <v>232.24</v>
      </c>
      <c r="EZ220" s="9" t="str">
        <v>Speck Candyshell Lite Case for iPhone 6/6s/7/8/SE 2/SE 3 - Quartz Pink</v>
      </c>
      <c r="FA220" s="12" t="str">
        <v>Cases iPhone</v>
      </c>
      <c r="FB220" s="12" t="str">
        <v>iPhone 6</v>
      </c>
      <c r="FC220" s="12" t="str">
        <v>iPhone 6/6S/7/8/SE 2/SE 3 Cases</v>
      </c>
      <c r="FD220" s="23" t="str">
        <f>_xlfn.XLOOKUP(B:B,'[1]Price List'!$B:$B,'[1]Price List'!$A:$A)</f>
        <v>Speck</v>
      </c>
    </row>
    <row r="221" spans="1:160" s="9" customFormat="1" x14ac:dyDescent="0.2">
      <c r="A221" s="23" t="s">
        <v>599</v>
      </c>
      <c r="B221" s="23">
        <v>848709096111</v>
      </c>
      <c r="C221" s="9" t="s">
        <v>103</v>
      </c>
      <c r="D221" s="9" t="e">
        <v>#N/A</v>
      </c>
      <c r="E221" s="9" t="e">
        <v>#N/A</v>
      </c>
      <c r="F221" s="9" t="e">
        <v>#N/A</v>
      </c>
      <c r="G221" s="9" t="s">
        <v>676</v>
      </c>
      <c r="H221" s="12" t="s">
        <v>104</v>
      </c>
      <c r="I221" s="11">
        <v>999</v>
      </c>
      <c r="J221" s="11">
        <v>430.6</v>
      </c>
      <c r="K221" s="62">
        <v>0</v>
      </c>
      <c r="L221" s="12">
        <v>0</v>
      </c>
      <c r="M221" s="13" t="s">
        <v>467</v>
      </c>
      <c r="N221" s="13" t="s">
        <v>656</v>
      </c>
      <c r="O221" s="27" t="s">
        <v>99</v>
      </c>
      <c r="P221" s="12">
        <v>3</v>
      </c>
      <c r="Q221" s="12">
        <v>0</v>
      </c>
      <c r="R221" s="12">
        <v>0</v>
      </c>
      <c r="S221" s="12">
        <v>0</v>
      </c>
      <c r="T221" s="12">
        <v>2</v>
      </c>
      <c r="U221" s="12">
        <v>1</v>
      </c>
      <c r="V221" s="12">
        <v>0</v>
      </c>
      <c r="W221" s="12">
        <v>2</v>
      </c>
      <c r="X221" s="12">
        <v>2</v>
      </c>
      <c r="Y221" s="12">
        <v>0</v>
      </c>
      <c r="Z221" s="12">
        <v>0</v>
      </c>
      <c r="AA221" s="12">
        <v>0</v>
      </c>
      <c r="AB221" s="12">
        <v>2</v>
      </c>
      <c r="AC221" s="12">
        <v>3</v>
      </c>
      <c r="AD221" s="12">
        <v>0</v>
      </c>
      <c r="AE221" s="12">
        <v>0</v>
      </c>
      <c r="AF221" s="12">
        <v>0</v>
      </c>
      <c r="AG221" s="12">
        <v>0</v>
      </c>
      <c r="AH221" s="12">
        <v>0</v>
      </c>
      <c r="AI221" s="12">
        <v>0</v>
      </c>
      <c r="AJ221" s="12">
        <v>0</v>
      </c>
      <c r="AK221" s="12">
        <v>0</v>
      </c>
      <c r="AL221" s="12">
        <v>1</v>
      </c>
      <c r="AM221" s="12">
        <v>2</v>
      </c>
      <c r="AN221" s="12">
        <v>0</v>
      </c>
      <c r="AO221" s="12">
        <v>0</v>
      </c>
      <c r="AP221" s="12">
        <v>0</v>
      </c>
      <c r="AQ221" s="12">
        <v>0</v>
      </c>
      <c r="AR221" s="12">
        <v>1</v>
      </c>
      <c r="AS221" s="12">
        <v>0</v>
      </c>
      <c r="AT221" s="12">
        <v>0</v>
      </c>
      <c r="AU221" s="12">
        <v>0</v>
      </c>
      <c r="AV221" s="12">
        <v>0</v>
      </c>
      <c r="AW221" s="12">
        <v>0</v>
      </c>
      <c r="AX221" s="12">
        <v>0</v>
      </c>
      <c r="AY221" s="12">
        <v>0</v>
      </c>
      <c r="AZ221" s="12">
        <v>0</v>
      </c>
      <c r="BA221" s="12">
        <v>0</v>
      </c>
      <c r="BB221" s="12">
        <v>1</v>
      </c>
      <c r="BC221" s="12">
        <v>0</v>
      </c>
      <c r="BD221" s="12">
        <v>0</v>
      </c>
      <c r="BE221" s="12">
        <v>0</v>
      </c>
      <c r="BF221" s="12">
        <v>0</v>
      </c>
      <c r="BG221" s="12">
        <v>0</v>
      </c>
      <c r="BH221" s="12">
        <v>0</v>
      </c>
      <c r="BI221" s="12">
        <v>0</v>
      </c>
      <c r="BJ221" s="12">
        <v>0</v>
      </c>
      <c r="BK221" s="12">
        <v>0</v>
      </c>
      <c r="BL221" s="12">
        <v>0</v>
      </c>
      <c r="BM221" s="12">
        <v>0</v>
      </c>
      <c r="BN221" s="12">
        <v>0</v>
      </c>
      <c r="BO221" s="12">
        <v>0</v>
      </c>
      <c r="BP221" s="12">
        <v>1</v>
      </c>
      <c r="BQ221" s="12">
        <v>0</v>
      </c>
      <c r="BR221" s="12">
        <v>0</v>
      </c>
      <c r="BS221" s="12">
        <v>0</v>
      </c>
      <c r="BT221" s="12">
        <v>1</v>
      </c>
      <c r="BU221" s="12">
        <v>1</v>
      </c>
      <c r="BV221" s="12">
        <v>0</v>
      </c>
      <c r="BW221" s="12">
        <v>0</v>
      </c>
      <c r="BX221" s="12">
        <v>0</v>
      </c>
      <c r="BY221" s="12">
        <v>0</v>
      </c>
      <c r="BZ221" s="12">
        <v>1</v>
      </c>
      <c r="CA221" s="12">
        <v>0</v>
      </c>
      <c r="CB221" s="12">
        <v>0</v>
      </c>
      <c r="CC221" s="12">
        <v>0</v>
      </c>
      <c r="CD221" s="12">
        <v>0</v>
      </c>
      <c r="CE221" s="12">
        <v>0</v>
      </c>
      <c r="CF221" s="12">
        <v>0</v>
      </c>
      <c r="CG221" s="12">
        <v>0</v>
      </c>
      <c r="CH221" s="12">
        <v>0</v>
      </c>
      <c r="CI221" s="12">
        <v>0</v>
      </c>
      <c r="CJ221" s="12">
        <v>0</v>
      </c>
      <c r="CK221" s="12">
        <v>0</v>
      </c>
      <c r="CL221" s="12">
        <v>0</v>
      </c>
      <c r="CM221" s="12">
        <v>0</v>
      </c>
      <c r="CN221" s="12">
        <v>0</v>
      </c>
      <c r="CO221" s="12">
        <v>0</v>
      </c>
      <c r="CP221" s="12">
        <v>0</v>
      </c>
      <c r="CQ221" s="12">
        <v>0</v>
      </c>
      <c r="CR221" s="12">
        <v>0</v>
      </c>
      <c r="CS221" s="12">
        <v>0</v>
      </c>
      <c r="CT221" s="12">
        <v>0</v>
      </c>
      <c r="CU221" s="12">
        <v>0</v>
      </c>
      <c r="CV221" s="12">
        <v>0</v>
      </c>
      <c r="CW221" s="12">
        <v>0</v>
      </c>
      <c r="CX221" s="12">
        <v>0</v>
      </c>
      <c r="CY221" s="12">
        <v>0</v>
      </c>
      <c r="CZ221" s="12">
        <v>0</v>
      </c>
      <c r="DA221" s="12">
        <v>0</v>
      </c>
      <c r="DB221" s="12">
        <v>0</v>
      </c>
      <c r="DC221" s="12">
        <v>0</v>
      </c>
      <c r="DD221" s="12">
        <v>0</v>
      </c>
      <c r="DE221" s="12">
        <v>1</v>
      </c>
      <c r="DF221" s="12">
        <v>0</v>
      </c>
      <c r="DG221" s="12">
        <v>0</v>
      </c>
      <c r="DH221" s="12">
        <v>0</v>
      </c>
      <c r="DI221" s="12">
        <v>0</v>
      </c>
      <c r="DJ221" s="12">
        <v>0</v>
      </c>
      <c r="DK221" s="12">
        <v>0</v>
      </c>
      <c r="DL221" s="12">
        <v>0</v>
      </c>
      <c r="DM221" s="12">
        <v>0</v>
      </c>
      <c r="DN221" s="12">
        <v>0</v>
      </c>
      <c r="DO221" s="12">
        <v>1</v>
      </c>
      <c r="DP221" s="12">
        <v>0</v>
      </c>
      <c r="DQ221" s="12">
        <v>0</v>
      </c>
      <c r="DR221" s="12">
        <v>0</v>
      </c>
      <c r="DS221" s="12">
        <v>0</v>
      </c>
      <c r="DT221" s="12">
        <v>0</v>
      </c>
      <c r="DU221" s="12">
        <v>0</v>
      </c>
      <c r="DV221" s="12">
        <v>0</v>
      </c>
      <c r="DW221" s="12">
        <v>0</v>
      </c>
      <c r="DX221" s="12">
        <v>0</v>
      </c>
      <c r="DY221" s="12">
        <v>0</v>
      </c>
      <c r="DZ221" s="12">
        <v>0</v>
      </c>
      <c r="EA221" s="12">
        <v>0</v>
      </c>
      <c r="EB221" s="12">
        <v>0</v>
      </c>
      <c r="EC221" s="12">
        <v>0</v>
      </c>
      <c r="ED221" s="12">
        <v>0</v>
      </c>
      <c r="EE221" s="12">
        <v>0</v>
      </c>
      <c r="EF221" s="12">
        <v>0</v>
      </c>
      <c r="EG221" s="12">
        <v>0</v>
      </c>
      <c r="EH221" s="12">
        <v>0</v>
      </c>
      <c r="EI221" s="12">
        <v>0</v>
      </c>
      <c r="EJ221" s="12">
        <v>0</v>
      </c>
      <c r="EK221" s="12">
        <v>0</v>
      </c>
      <c r="EL221" s="12">
        <v>0</v>
      </c>
      <c r="EM221" s="12">
        <v>0</v>
      </c>
      <c r="EN221" s="12">
        <v>0</v>
      </c>
      <c r="EO221" s="12">
        <v>0</v>
      </c>
      <c r="EP221" s="12" t="str">
        <f t="shared" si="49"/>
        <v>🔴 Sin venta</v>
      </c>
      <c r="EQ221" s="23">
        <f t="shared" si="50"/>
        <v>0</v>
      </c>
      <c r="ER221" s="19">
        <f t="shared" si="48"/>
        <v>0</v>
      </c>
      <c r="ES221" s="12">
        <f t="shared" si="47"/>
        <v>0</v>
      </c>
      <c r="ET221" s="23">
        <f t="shared" si="52"/>
        <v>0.5</v>
      </c>
      <c r="EU221" s="23">
        <f t="shared" si="51"/>
        <v>0.5</v>
      </c>
      <c r="EV221" s="23">
        <f t="shared" si="53"/>
        <v>0</v>
      </c>
      <c r="EW221" s="23"/>
      <c r="EX221" s="12">
        <v>0</v>
      </c>
      <c r="EY221" s="19" cm="1">
        <f t="array" ref="EY221:FC221">VLOOKUP(_xlfn.SINGLE(B:B),'[1]Price List'!$B:$N,{8,4,5,6,7},0)</f>
        <v>430.6</v>
      </c>
      <c r="EZ221" s="9" t="str">
        <v>Speck Balance Folio for iPad Air 10.9"/Pro 11" - Arcadia Navy/Moody Grey</v>
      </c>
      <c r="FA221" s="12" t="str">
        <v>Cases iPad</v>
      </c>
      <c r="FB221" s="12" t="str">
        <v>iPad</v>
      </c>
      <c r="FC221" s="12" t="str">
        <v>iPad Pro 11" 2/3/4/Air 4/5</v>
      </c>
      <c r="FD221" s="23" t="str">
        <f>_xlfn.XLOOKUP(B:B,'[1]Price List'!$B:$B,'[1]Price List'!$A:$A)</f>
        <v>Speck</v>
      </c>
    </row>
    <row r="222" spans="1:160" s="9" customFormat="1" x14ac:dyDescent="0.2">
      <c r="A222" s="23" t="s">
        <v>599</v>
      </c>
      <c r="B222" s="23">
        <v>848709073143</v>
      </c>
      <c r="C222" s="9" t="s">
        <v>23</v>
      </c>
      <c r="D222" s="9" t="e">
        <v>#N/A</v>
      </c>
      <c r="E222" s="9" t="e">
        <v>#N/A</v>
      </c>
      <c r="F222" s="9" t="e">
        <v>#N/A</v>
      </c>
      <c r="G222" s="9" t="s">
        <v>308</v>
      </c>
      <c r="H222" s="12" t="s">
        <v>24</v>
      </c>
      <c r="I222" s="12">
        <v>999</v>
      </c>
      <c r="J222" s="11">
        <v>430.6</v>
      </c>
      <c r="K222" s="62">
        <v>0</v>
      </c>
      <c r="L222" s="12">
        <v>0</v>
      </c>
      <c r="M222" s="13" t="s">
        <v>467</v>
      </c>
      <c r="N222" s="13" t="s">
        <v>656</v>
      </c>
      <c r="O222" s="27">
        <v>44653</v>
      </c>
      <c r="P222" s="12">
        <v>1</v>
      </c>
      <c r="Q222" s="12">
        <v>0</v>
      </c>
      <c r="R222" s="12">
        <v>0</v>
      </c>
      <c r="S222" s="12">
        <v>0</v>
      </c>
      <c r="T222" s="12">
        <v>0</v>
      </c>
      <c r="U222" s="12">
        <v>0</v>
      </c>
      <c r="V222" s="12">
        <v>0</v>
      </c>
      <c r="W222" s="12">
        <v>0</v>
      </c>
      <c r="X222" s="12">
        <v>0</v>
      </c>
      <c r="Y222" s="12">
        <v>0</v>
      </c>
      <c r="Z222" s="12">
        <v>0</v>
      </c>
      <c r="AA222" s="12">
        <v>0</v>
      </c>
      <c r="AB222" s="12">
        <v>0</v>
      </c>
      <c r="AC222" s="12">
        <v>1</v>
      </c>
      <c r="AD222" s="12">
        <v>0</v>
      </c>
      <c r="AE222" s="12">
        <v>0</v>
      </c>
      <c r="AF222" s="12">
        <v>1</v>
      </c>
      <c r="AG222" s="12">
        <v>0</v>
      </c>
      <c r="AH222" s="12">
        <v>0</v>
      </c>
      <c r="AI222" s="12">
        <v>0</v>
      </c>
      <c r="AJ222" s="12">
        <v>0</v>
      </c>
      <c r="AK222" s="12">
        <v>0</v>
      </c>
      <c r="AL222" s="12">
        <v>1</v>
      </c>
      <c r="AM222" s="12">
        <v>0</v>
      </c>
      <c r="AN222" s="12">
        <v>2</v>
      </c>
      <c r="AO222" s="12">
        <v>0</v>
      </c>
      <c r="AP222" s="12">
        <v>0</v>
      </c>
      <c r="AQ222" s="12">
        <v>0</v>
      </c>
      <c r="AR222" s="12">
        <v>1</v>
      </c>
      <c r="AS222" s="12">
        <v>1</v>
      </c>
      <c r="AT222" s="12">
        <v>0</v>
      </c>
      <c r="AU222" s="12">
        <v>1</v>
      </c>
      <c r="AV222" s="12">
        <v>0</v>
      </c>
      <c r="AW222" s="12">
        <v>0</v>
      </c>
      <c r="AX222" s="12">
        <v>1</v>
      </c>
      <c r="AY222" s="12">
        <v>2</v>
      </c>
      <c r="AZ222" s="12">
        <v>1</v>
      </c>
      <c r="BA222" s="12">
        <v>0</v>
      </c>
      <c r="BB222" s="12">
        <v>0</v>
      </c>
      <c r="BC222" s="12">
        <v>0</v>
      </c>
      <c r="BD222" s="12">
        <v>0</v>
      </c>
      <c r="BE222" s="12">
        <v>0</v>
      </c>
      <c r="BF222" s="12">
        <v>0</v>
      </c>
      <c r="BG222" s="12">
        <v>0</v>
      </c>
      <c r="BH222" s="12">
        <v>0</v>
      </c>
      <c r="BI222" s="12">
        <v>0</v>
      </c>
      <c r="BJ222" s="12">
        <v>0</v>
      </c>
      <c r="BK222" s="12">
        <v>0</v>
      </c>
      <c r="BL222" s="12">
        <v>0</v>
      </c>
      <c r="BM222" s="12">
        <v>0</v>
      </c>
      <c r="BN222" s="12">
        <v>1</v>
      </c>
      <c r="BO222" s="12">
        <v>0</v>
      </c>
      <c r="BP222" s="12">
        <v>1</v>
      </c>
      <c r="BQ222" s="12">
        <v>0</v>
      </c>
      <c r="BR222" s="12">
        <v>0</v>
      </c>
      <c r="BS222" s="12">
        <v>0</v>
      </c>
      <c r="BT222" s="12">
        <v>1</v>
      </c>
      <c r="BU222" s="12">
        <v>0</v>
      </c>
      <c r="BV222" s="12">
        <v>0</v>
      </c>
      <c r="BW222" s="12">
        <v>0</v>
      </c>
      <c r="BX222" s="12">
        <v>0</v>
      </c>
      <c r="BY222" s="12">
        <v>0</v>
      </c>
      <c r="BZ222" s="12">
        <v>0</v>
      </c>
      <c r="CA222" s="12">
        <v>0</v>
      </c>
      <c r="CB222" s="12">
        <v>0</v>
      </c>
      <c r="CC222" s="12">
        <v>0</v>
      </c>
      <c r="CD222" s="12">
        <v>0</v>
      </c>
      <c r="CE222" s="12">
        <v>0</v>
      </c>
      <c r="CF222" s="12">
        <v>0</v>
      </c>
      <c r="CG222" s="12">
        <v>0</v>
      </c>
      <c r="CH222" s="12">
        <v>0</v>
      </c>
      <c r="CI222" s="12">
        <v>0</v>
      </c>
      <c r="CJ222" s="12">
        <v>0</v>
      </c>
      <c r="CK222" s="12">
        <v>0</v>
      </c>
      <c r="CL222" s="12">
        <v>0</v>
      </c>
      <c r="CM222" s="12">
        <v>0</v>
      </c>
      <c r="CN222" s="12">
        <v>0</v>
      </c>
      <c r="CO222" s="12">
        <v>0</v>
      </c>
      <c r="CP222" s="12">
        <v>0</v>
      </c>
      <c r="CQ222" s="12">
        <v>0</v>
      </c>
      <c r="CR222" s="12">
        <v>0</v>
      </c>
      <c r="CS222" s="12">
        <v>0</v>
      </c>
      <c r="CT222" s="12">
        <v>0</v>
      </c>
      <c r="CU222" s="12">
        <v>0</v>
      </c>
      <c r="CV222" s="12">
        <v>0</v>
      </c>
      <c r="CW222" s="12">
        <v>0</v>
      </c>
      <c r="CX222" s="12">
        <v>0</v>
      </c>
      <c r="CY222" s="12">
        <v>1</v>
      </c>
      <c r="CZ222" s="12">
        <v>0</v>
      </c>
      <c r="DA222" s="12">
        <v>0</v>
      </c>
      <c r="DB222" s="12">
        <v>0</v>
      </c>
      <c r="DC222" s="12">
        <v>0</v>
      </c>
      <c r="DD222" s="12">
        <v>0</v>
      </c>
      <c r="DE222" s="12">
        <v>0</v>
      </c>
      <c r="DF222" s="12">
        <v>0</v>
      </c>
      <c r="DG222" s="12">
        <v>0</v>
      </c>
      <c r="DH222" s="12">
        <v>0</v>
      </c>
      <c r="DI222" s="12">
        <v>0</v>
      </c>
      <c r="DJ222" s="12">
        <v>0</v>
      </c>
      <c r="DK222" s="12">
        <v>0</v>
      </c>
      <c r="DL222" s="12">
        <v>0</v>
      </c>
      <c r="DM222" s="12">
        <v>0</v>
      </c>
      <c r="DN222" s="12">
        <v>0</v>
      </c>
      <c r="DO222" s="12">
        <v>0</v>
      </c>
      <c r="DP222" s="12">
        <v>0</v>
      </c>
      <c r="DQ222" s="12">
        <v>0</v>
      </c>
      <c r="DR222" s="12">
        <v>0</v>
      </c>
      <c r="DS222" s="12">
        <v>0</v>
      </c>
      <c r="DT222" s="12">
        <v>0</v>
      </c>
      <c r="DU222" s="12">
        <v>0</v>
      </c>
      <c r="DV222" s="12">
        <v>0</v>
      </c>
      <c r="DW222" s="12">
        <v>1</v>
      </c>
      <c r="DX222" s="12">
        <v>0</v>
      </c>
      <c r="DY222" s="12">
        <v>0</v>
      </c>
      <c r="DZ222" s="12">
        <v>0</v>
      </c>
      <c r="EA222" s="12">
        <v>0</v>
      </c>
      <c r="EB222" s="12">
        <v>0</v>
      </c>
      <c r="EC222" s="12">
        <v>0</v>
      </c>
      <c r="ED222" s="12">
        <v>0</v>
      </c>
      <c r="EE222" s="12">
        <v>0</v>
      </c>
      <c r="EF222" s="12">
        <v>0</v>
      </c>
      <c r="EG222" s="12">
        <v>0</v>
      </c>
      <c r="EH222" s="12">
        <v>0</v>
      </c>
      <c r="EI222" s="12">
        <v>0</v>
      </c>
      <c r="EJ222" s="12">
        <v>0</v>
      </c>
      <c r="EK222" s="12">
        <v>0</v>
      </c>
      <c r="EL222" s="12">
        <v>0</v>
      </c>
      <c r="EM222" s="12">
        <v>0</v>
      </c>
      <c r="EN222" s="12">
        <v>0</v>
      </c>
      <c r="EO222" s="12">
        <v>0</v>
      </c>
      <c r="EP222" s="12" t="str">
        <f t="shared" si="49"/>
        <v>🔴 Sin venta</v>
      </c>
      <c r="EQ222" s="23">
        <f t="shared" si="50"/>
        <v>4.1666666666666664E-2</v>
      </c>
      <c r="ER222" s="19">
        <f t="shared" si="48"/>
        <v>430.6</v>
      </c>
      <c r="ES222" s="12">
        <f t="shared" si="47"/>
        <v>1</v>
      </c>
      <c r="ET222" s="23">
        <f t="shared" si="52"/>
        <v>0</v>
      </c>
      <c r="EU222" s="23">
        <f t="shared" si="51"/>
        <v>0</v>
      </c>
      <c r="EV222" s="23">
        <f t="shared" si="53"/>
        <v>0.27</v>
      </c>
      <c r="EW222" s="23"/>
      <c r="EX222" s="12">
        <v>2</v>
      </c>
      <c r="EY222" s="19" cm="1">
        <f t="array" ref="EY222:FC222">VLOOKUP(_xlfn.SINGLE(B:B),'[1]Price List'!$B:$N,{8,4,5,6,7},0)</f>
        <v>430.6</v>
      </c>
      <c r="EZ222" s="9" t="str">
        <v>Speck Transfer Pro Pocket Universal Sleeve 13"/14" - City Grey/Rose Gold Pink</v>
      </c>
      <c r="FA222" s="12" t="str">
        <v>Cases Sleeves</v>
      </c>
      <c r="FB222" s="12" t="str">
        <v>Sleeves</v>
      </c>
      <c r="FC222" s="12" t="str">
        <v>13" Sleeves</v>
      </c>
      <c r="FD222" s="23" t="str">
        <f>_xlfn.XLOOKUP(B:B,'[1]Price List'!$B:$B,'[1]Price List'!$A:$A)</f>
        <v>Speck</v>
      </c>
    </row>
    <row r="223" spans="1:160" s="9" customFormat="1" x14ac:dyDescent="0.2">
      <c r="A223" s="23" t="s">
        <v>599</v>
      </c>
      <c r="B223" s="23">
        <v>848709080615</v>
      </c>
      <c r="C223" s="9" t="s">
        <v>34</v>
      </c>
      <c r="D223" s="9" t="e">
        <v>#N/A</v>
      </c>
      <c r="E223" s="9" t="e">
        <v>#N/A</v>
      </c>
      <c r="F223" s="9" t="e">
        <v>#N/A</v>
      </c>
      <c r="G223" s="9" t="s">
        <v>686</v>
      </c>
      <c r="H223" s="12" t="s">
        <v>35</v>
      </c>
      <c r="I223" s="11">
        <v>999</v>
      </c>
      <c r="J223" s="11">
        <v>430.6</v>
      </c>
      <c r="K223" s="62">
        <v>0</v>
      </c>
      <c r="L223" s="12">
        <v>0</v>
      </c>
      <c r="M223" s="13" t="s">
        <v>467</v>
      </c>
      <c r="N223" s="13" t="s">
        <v>656</v>
      </c>
      <c r="O223" s="27">
        <v>43597</v>
      </c>
      <c r="P223" s="12">
        <v>1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2</v>
      </c>
      <c r="W223" s="12">
        <v>0</v>
      </c>
      <c r="X223" s="12">
        <v>0</v>
      </c>
      <c r="Y223" s="12">
        <v>0</v>
      </c>
      <c r="Z223" s="12">
        <v>1</v>
      </c>
      <c r="AA223" s="12">
        <v>0</v>
      </c>
      <c r="AB223" s="12">
        <v>0</v>
      </c>
      <c r="AC223" s="12">
        <v>0</v>
      </c>
      <c r="AD223" s="12">
        <v>1</v>
      </c>
      <c r="AE223" s="12">
        <v>0</v>
      </c>
      <c r="AF223" s="12">
        <v>0</v>
      </c>
      <c r="AG223" s="12">
        <v>0</v>
      </c>
      <c r="AH223" s="12">
        <v>0</v>
      </c>
      <c r="AI223" s="12">
        <v>0</v>
      </c>
      <c r="AJ223" s="12">
        <v>0</v>
      </c>
      <c r="AK223" s="12">
        <v>1</v>
      </c>
      <c r="AL223" s="12">
        <v>0</v>
      </c>
      <c r="AM223" s="12">
        <v>0</v>
      </c>
      <c r="AN223" s="12">
        <v>2</v>
      </c>
      <c r="AO223" s="12">
        <v>0</v>
      </c>
      <c r="AP223" s="12">
        <v>0</v>
      </c>
      <c r="AQ223" s="12">
        <v>0</v>
      </c>
      <c r="AR223" s="12">
        <v>0</v>
      </c>
      <c r="AS223" s="12">
        <v>1</v>
      </c>
      <c r="AT223" s="12">
        <v>0</v>
      </c>
      <c r="AU223" s="12">
        <v>0</v>
      </c>
      <c r="AV223" s="12">
        <v>0</v>
      </c>
      <c r="AW223" s="12">
        <v>0</v>
      </c>
      <c r="AX223" s="12">
        <v>0</v>
      </c>
      <c r="AY223" s="12">
        <v>1</v>
      </c>
      <c r="AZ223" s="12">
        <v>1</v>
      </c>
      <c r="BA223" s="12">
        <v>0</v>
      </c>
      <c r="BB223" s="12">
        <v>0</v>
      </c>
      <c r="BC223" s="12">
        <v>0</v>
      </c>
      <c r="BD223" s="12">
        <v>0</v>
      </c>
      <c r="BE223" s="12">
        <v>0</v>
      </c>
      <c r="BF223" s="12">
        <v>0</v>
      </c>
      <c r="BG223" s="12">
        <v>0</v>
      </c>
      <c r="BH223" s="12">
        <v>0</v>
      </c>
      <c r="BI223" s="12">
        <v>0</v>
      </c>
      <c r="BJ223" s="12">
        <v>1</v>
      </c>
      <c r="BK223" s="12">
        <v>0</v>
      </c>
      <c r="BL223" s="12">
        <v>0</v>
      </c>
      <c r="BM223" s="12">
        <v>0</v>
      </c>
      <c r="BN223" s="12">
        <v>0</v>
      </c>
      <c r="BO223" s="12">
        <v>0</v>
      </c>
      <c r="BP223" s="12">
        <v>0</v>
      </c>
      <c r="BQ223" s="12">
        <v>0</v>
      </c>
      <c r="BR223" s="12">
        <v>0</v>
      </c>
      <c r="BS223" s="12">
        <v>0</v>
      </c>
      <c r="BT223" s="12">
        <v>0</v>
      </c>
      <c r="BU223" s="12">
        <v>0</v>
      </c>
      <c r="BV223" s="12">
        <v>0</v>
      </c>
      <c r="BW223" s="12">
        <v>0</v>
      </c>
      <c r="BX223" s="12">
        <v>0</v>
      </c>
      <c r="BY223" s="12">
        <v>0</v>
      </c>
      <c r="BZ223" s="12">
        <v>0</v>
      </c>
      <c r="CA223" s="12">
        <v>0</v>
      </c>
      <c r="CB223" s="12">
        <v>0</v>
      </c>
      <c r="CC223" s="12">
        <v>0</v>
      </c>
      <c r="CD223" s="12">
        <v>0</v>
      </c>
      <c r="CE223" s="12">
        <v>0</v>
      </c>
      <c r="CF223" s="12">
        <v>0</v>
      </c>
      <c r="CG223" s="12">
        <v>0</v>
      </c>
      <c r="CH223" s="12">
        <v>0</v>
      </c>
      <c r="CI223" s="12">
        <v>0</v>
      </c>
      <c r="CJ223" s="12">
        <v>1</v>
      </c>
      <c r="CK223" s="12">
        <v>0</v>
      </c>
      <c r="CL223" s="12">
        <v>0</v>
      </c>
      <c r="CM223" s="12">
        <v>0</v>
      </c>
      <c r="CN223" s="12">
        <v>0</v>
      </c>
      <c r="CO223" s="12">
        <v>0</v>
      </c>
      <c r="CP223" s="12">
        <v>0</v>
      </c>
      <c r="CQ223" s="12">
        <v>0</v>
      </c>
      <c r="CR223" s="12">
        <v>0</v>
      </c>
      <c r="CS223" s="12">
        <v>0</v>
      </c>
      <c r="CT223" s="12">
        <v>0</v>
      </c>
      <c r="CU223" s="12">
        <v>0</v>
      </c>
      <c r="CV223" s="12">
        <v>0</v>
      </c>
      <c r="CW223" s="12">
        <v>0</v>
      </c>
      <c r="CX223" s="12">
        <v>0</v>
      </c>
      <c r="CY223" s="12">
        <v>0</v>
      </c>
      <c r="CZ223" s="12">
        <v>0</v>
      </c>
      <c r="DA223" s="12">
        <v>0</v>
      </c>
      <c r="DB223" s="12">
        <v>0</v>
      </c>
      <c r="DC223" s="12">
        <v>0</v>
      </c>
      <c r="DD223" s="12">
        <v>0</v>
      </c>
      <c r="DE223" s="12">
        <v>0</v>
      </c>
      <c r="DF223" s="12">
        <v>0</v>
      </c>
      <c r="DG223" s="12">
        <v>0</v>
      </c>
      <c r="DH223" s="12">
        <v>0</v>
      </c>
      <c r="DI223" s="12">
        <v>1</v>
      </c>
      <c r="DJ223" s="12">
        <v>0</v>
      </c>
      <c r="DK223" s="12">
        <v>0</v>
      </c>
      <c r="DL223" s="12">
        <v>0</v>
      </c>
      <c r="DM223" s="12">
        <v>0</v>
      </c>
      <c r="DN223" s="12">
        <v>0</v>
      </c>
      <c r="DO223" s="12">
        <v>0</v>
      </c>
      <c r="DP223" s="12">
        <v>0</v>
      </c>
      <c r="DQ223" s="12">
        <v>0</v>
      </c>
      <c r="DR223" s="12">
        <v>0</v>
      </c>
      <c r="DS223" s="12">
        <v>0</v>
      </c>
      <c r="DT223" s="12">
        <v>0</v>
      </c>
      <c r="DU223" s="12">
        <v>0</v>
      </c>
      <c r="DV223" s="12">
        <v>0</v>
      </c>
      <c r="DW223" s="12">
        <v>0</v>
      </c>
      <c r="DX223" s="12">
        <v>0</v>
      </c>
      <c r="DY223" s="12">
        <v>0</v>
      </c>
      <c r="DZ223" s="12">
        <v>0</v>
      </c>
      <c r="EA223" s="12">
        <v>0</v>
      </c>
      <c r="EB223" s="12">
        <v>0</v>
      </c>
      <c r="EC223" s="12">
        <v>0</v>
      </c>
      <c r="ED223" s="12">
        <v>0</v>
      </c>
      <c r="EE223" s="12">
        <v>0</v>
      </c>
      <c r="EF223" s="12">
        <v>0</v>
      </c>
      <c r="EG223" s="12">
        <v>0</v>
      </c>
      <c r="EH223" s="12">
        <v>0</v>
      </c>
      <c r="EI223" s="12">
        <v>0</v>
      </c>
      <c r="EJ223" s="12">
        <v>0</v>
      </c>
      <c r="EK223" s="12">
        <v>0</v>
      </c>
      <c r="EL223" s="12">
        <v>0</v>
      </c>
      <c r="EM223" s="12">
        <v>0</v>
      </c>
      <c r="EN223" s="12">
        <v>0</v>
      </c>
      <c r="EO223" s="12">
        <v>0</v>
      </c>
      <c r="EP223" s="12" t="str">
        <f t="shared" si="49"/>
        <v>🔴 Sin venta</v>
      </c>
      <c r="EQ223" s="23">
        <f t="shared" si="50"/>
        <v>0</v>
      </c>
      <c r="ER223" s="19">
        <f t="shared" si="48"/>
        <v>0</v>
      </c>
      <c r="ES223" s="12">
        <f t="shared" si="47"/>
        <v>0</v>
      </c>
      <c r="ET223" s="23">
        <f t="shared" si="52"/>
        <v>0</v>
      </c>
      <c r="EU223" s="23">
        <f t="shared" si="51"/>
        <v>0.5</v>
      </c>
      <c r="EV223" s="23">
        <f t="shared" si="53"/>
        <v>0</v>
      </c>
      <c r="EW223" s="23"/>
      <c r="EX223" s="12">
        <v>5</v>
      </c>
      <c r="EY223" s="19" cm="1">
        <f t="array" ref="EY223:FC223">VLOOKUP(_xlfn.SINGLE(B:B),'[1]Price List'!$B:$N,{8,4,5,6,7},0)</f>
        <v>430.6</v>
      </c>
      <c r="EZ223" s="9" t="str">
        <v>Speck Balance Folio Case for iPad 10.2" 7/8 Gen - Black/Black</v>
      </c>
      <c r="FA223" s="12" t="str">
        <v>Cases iPad</v>
      </c>
      <c r="FB223" s="12" t="str">
        <v>iPad</v>
      </c>
      <c r="FC223" s="12" t="str">
        <v>iPad 10.2"</v>
      </c>
      <c r="FD223" s="23" t="str">
        <f>_xlfn.XLOOKUP(B:B,'[1]Price List'!$B:$B,'[1]Price List'!$A:$A)</f>
        <v>Speck</v>
      </c>
    </row>
    <row r="224" spans="1:160" s="9" customFormat="1" x14ac:dyDescent="0.2">
      <c r="A224" s="23" t="s">
        <v>599</v>
      </c>
      <c r="B224" s="23">
        <v>848709082893</v>
      </c>
      <c r="C224" s="9" t="s">
        <v>51</v>
      </c>
      <c r="D224" s="9" t="e">
        <v>#N/A</v>
      </c>
      <c r="E224" s="9" t="e">
        <v>#N/A</v>
      </c>
      <c r="F224" s="9" t="e">
        <v>#N/A</v>
      </c>
      <c r="G224" s="9" t="s">
        <v>692</v>
      </c>
      <c r="H224" s="12" t="s">
        <v>52</v>
      </c>
      <c r="I224" s="11">
        <v>1099</v>
      </c>
      <c r="J224" s="11">
        <v>568.45000000000005</v>
      </c>
      <c r="K224" s="62">
        <v>0</v>
      </c>
      <c r="L224" s="12">
        <v>0</v>
      </c>
      <c r="M224" s="13" t="s">
        <v>467</v>
      </c>
      <c r="N224" s="13" t="s">
        <v>656</v>
      </c>
      <c r="O224" s="27" t="s">
        <v>53</v>
      </c>
      <c r="P224" s="12">
        <v>0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  <c r="V224" s="12">
        <v>0</v>
      </c>
      <c r="W224" s="12">
        <v>0</v>
      </c>
      <c r="X224" s="12">
        <v>0</v>
      </c>
      <c r="Y224" s="12">
        <v>0</v>
      </c>
      <c r="Z224" s="12">
        <v>0</v>
      </c>
      <c r="AA224" s="12">
        <v>1</v>
      </c>
      <c r="AB224" s="12">
        <v>0</v>
      </c>
      <c r="AC224" s="12">
        <v>0</v>
      </c>
      <c r="AD224" s="12">
        <v>0</v>
      </c>
      <c r="AE224" s="12">
        <v>1</v>
      </c>
      <c r="AF224" s="12">
        <v>0</v>
      </c>
      <c r="AG224" s="12">
        <v>1</v>
      </c>
      <c r="AH224" s="12">
        <v>0</v>
      </c>
      <c r="AI224" s="12">
        <v>1</v>
      </c>
      <c r="AJ224" s="12">
        <v>0</v>
      </c>
      <c r="AK224" s="12">
        <v>0</v>
      </c>
      <c r="AL224" s="12">
        <v>0</v>
      </c>
      <c r="AM224" s="12">
        <v>0</v>
      </c>
      <c r="AN224" s="12">
        <v>0</v>
      </c>
      <c r="AO224" s="12">
        <v>0</v>
      </c>
      <c r="AP224" s="12">
        <v>0</v>
      </c>
      <c r="AQ224" s="12">
        <v>0</v>
      </c>
      <c r="AR224" s="12">
        <v>0</v>
      </c>
      <c r="AS224" s="12">
        <v>0</v>
      </c>
      <c r="AT224" s="12">
        <v>0</v>
      </c>
      <c r="AU224" s="12">
        <v>0</v>
      </c>
      <c r="AV224" s="12">
        <v>0</v>
      </c>
      <c r="AW224" s="12">
        <v>0</v>
      </c>
      <c r="AX224" s="12">
        <v>0</v>
      </c>
      <c r="AY224" s="12">
        <v>0</v>
      </c>
      <c r="AZ224" s="12">
        <v>0</v>
      </c>
      <c r="BA224" s="12">
        <v>0</v>
      </c>
      <c r="BB224" s="12">
        <v>0</v>
      </c>
      <c r="BC224" s="12">
        <v>0</v>
      </c>
      <c r="BD224" s="12">
        <v>0</v>
      </c>
      <c r="BE224" s="12">
        <v>0</v>
      </c>
      <c r="BF224" s="12">
        <v>0</v>
      </c>
      <c r="BG224" s="12">
        <v>0</v>
      </c>
      <c r="BH224" s="12">
        <v>0</v>
      </c>
      <c r="BI224" s="12">
        <v>0</v>
      </c>
      <c r="BJ224" s="12">
        <v>0</v>
      </c>
      <c r="BK224" s="12">
        <v>0</v>
      </c>
      <c r="BL224" s="12">
        <v>0</v>
      </c>
      <c r="BM224" s="12">
        <v>0</v>
      </c>
      <c r="BN224" s="12">
        <v>0</v>
      </c>
      <c r="BO224" s="12">
        <v>0</v>
      </c>
      <c r="BP224" s="12">
        <v>0</v>
      </c>
      <c r="BQ224" s="12">
        <v>0</v>
      </c>
      <c r="BR224" s="12">
        <v>0</v>
      </c>
      <c r="BS224" s="12">
        <v>0</v>
      </c>
      <c r="BT224" s="12">
        <v>0</v>
      </c>
      <c r="BU224" s="12">
        <v>0</v>
      </c>
      <c r="BV224" s="12">
        <v>0</v>
      </c>
      <c r="BW224" s="12">
        <v>0</v>
      </c>
      <c r="BX224" s="12">
        <v>0</v>
      </c>
      <c r="BY224" s="12">
        <v>0</v>
      </c>
      <c r="BZ224" s="12">
        <v>0</v>
      </c>
      <c r="CA224" s="12">
        <v>0</v>
      </c>
      <c r="CB224" s="12">
        <v>0</v>
      </c>
      <c r="CC224" s="12">
        <v>0</v>
      </c>
      <c r="CD224" s="12">
        <v>0</v>
      </c>
      <c r="CE224" s="12">
        <v>0</v>
      </c>
      <c r="CF224" s="12">
        <v>0</v>
      </c>
      <c r="CG224" s="12">
        <v>0</v>
      </c>
      <c r="CH224" s="12">
        <v>0</v>
      </c>
      <c r="CI224" s="12">
        <v>0</v>
      </c>
      <c r="CJ224" s="12">
        <v>0</v>
      </c>
      <c r="CK224" s="12">
        <v>0</v>
      </c>
      <c r="CL224" s="12">
        <v>0</v>
      </c>
      <c r="CM224" s="12">
        <v>0</v>
      </c>
      <c r="CN224" s="12">
        <v>0</v>
      </c>
      <c r="CO224" s="12">
        <v>0</v>
      </c>
      <c r="CP224" s="12">
        <v>0</v>
      </c>
      <c r="CQ224" s="12">
        <v>0</v>
      </c>
      <c r="CR224" s="12">
        <v>0</v>
      </c>
      <c r="CS224" s="12">
        <v>0</v>
      </c>
      <c r="CT224" s="12">
        <v>0</v>
      </c>
      <c r="CU224" s="12">
        <v>0</v>
      </c>
      <c r="CV224" s="12">
        <v>0</v>
      </c>
      <c r="CW224" s="12">
        <v>0</v>
      </c>
      <c r="CX224" s="12">
        <v>0</v>
      </c>
      <c r="CY224" s="12">
        <v>0</v>
      </c>
      <c r="CZ224" s="12">
        <v>0</v>
      </c>
      <c r="DA224" s="12">
        <v>0</v>
      </c>
      <c r="DB224" s="12">
        <v>0</v>
      </c>
      <c r="DC224" s="12">
        <v>0</v>
      </c>
      <c r="DD224" s="12">
        <v>0</v>
      </c>
      <c r="DE224" s="12">
        <v>0</v>
      </c>
      <c r="DF224" s="12">
        <v>0</v>
      </c>
      <c r="DG224" s="12">
        <v>0</v>
      </c>
      <c r="DH224" s="12">
        <v>0</v>
      </c>
      <c r="DI224" s="12">
        <v>0</v>
      </c>
      <c r="DJ224" s="12">
        <v>0</v>
      </c>
      <c r="DK224" s="12">
        <v>0</v>
      </c>
      <c r="DL224" s="12">
        <v>0</v>
      </c>
      <c r="DM224" s="12">
        <v>0</v>
      </c>
      <c r="DN224" s="12">
        <v>0</v>
      </c>
      <c r="DO224" s="12">
        <v>0</v>
      </c>
      <c r="DP224" s="12">
        <v>0</v>
      </c>
      <c r="DQ224" s="12">
        <v>0</v>
      </c>
      <c r="DR224" s="12">
        <v>0</v>
      </c>
      <c r="DS224" s="12">
        <v>0</v>
      </c>
      <c r="DT224" s="12">
        <v>0</v>
      </c>
      <c r="DU224" s="12">
        <v>0</v>
      </c>
      <c r="DV224" s="12">
        <v>0</v>
      </c>
      <c r="DW224" s="12">
        <v>0</v>
      </c>
      <c r="DX224" s="12">
        <v>0</v>
      </c>
      <c r="DY224" s="12">
        <v>0</v>
      </c>
      <c r="DZ224" s="12">
        <v>0</v>
      </c>
      <c r="EA224" s="12">
        <v>0</v>
      </c>
      <c r="EB224" s="12">
        <v>0</v>
      </c>
      <c r="EC224" s="12">
        <v>0</v>
      </c>
      <c r="ED224" s="12">
        <v>0</v>
      </c>
      <c r="EE224" s="12">
        <v>0</v>
      </c>
      <c r="EF224" s="12">
        <v>0</v>
      </c>
      <c r="EG224" s="12">
        <v>0</v>
      </c>
      <c r="EH224" s="12">
        <v>0</v>
      </c>
      <c r="EI224" s="12">
        <v>0</v>
      </c>
      <c r="EJ224" s="12">
        <v>0</v>
      </c>
      <c r="EK224" s="12">
        <v>0</v>
      </c>
      <c r="EL224" s="12">
        <v>0</v>
      </c>
      <c r="EM224" s="12">
        <v>0</v>
      </c>
      <c r="EN224" s="12">
        <v>0</v>
      </c>
      <c r="EO224" s="12">
        <v>0</v>
      </c>
      <c r="EP224" s="12" t="str">
        <f t="shared" si="49"/>
        <v>🔴 Sin venta</v>
      </c>
      <c r="EQ224" s="23">
        <f t="shared" si="50"/>
        <v>0</v>
      </c>
      <c r="ER224" s="19">
        <f t="shared" si="48"/>
        <v>0</v>
      </c>
      <c r="ES224" s="12">
        <f t="shared" si="47"/>
        <v>0</v>
      </c>
      <c r="ET224" s="23">
        <f t="shared" si="52"/>
        <v>0</v>
      </c>
      <c r="EU224" s="23">
        <f t="shared" si="51"/>
        <v>0</v>
      </c>
      <c r="EV224" s="23">
        <f t="shared" si="53"/>
        <v>0</v>
      </c>
      <c r="EW224" s="23"/>
      <c r="EX224" s="12">
        <v>0</v>
      </c>
      <c r="EY224" s="19" cm="1">
        <f t="array" ref="EY224:FC224">VLOOKUP(_xlfn.SINGLE(B:B),'[1]Price List'!$B:$N,{8,4,5,6,7},0)</f>
        <v>568.45000000000005</v>
      </c>
      <c r="EZ224" s="9" t="str">
        <v>Speck Presidio 2 Pro Case - Purple iPhone hone SE2</v>
      </c>
      <c r="FA224" s="12" t="str">
        <v>Cases iPhone</v>
      </c>
      <c r="FB224" s="12" t="str">
        <v>iPhone SE</v>
      </c>
      <c r="FC224" s="12" t="str">
        <v>iPhone SE 2020 -2022</v>
      </c>
      <c r="FD224" s="23" t="str">
        <f>_xlfn.XLOOKUP(B:B,'[1]Price List'!$B:$B,'[1]Price List'!$A:$A)</f>
        <v>Speck</v>
      </c>
    </row>
    <row r="225" spans="1:160" s="9" customFormat="1" x14ac:dyDescent="0.2">
      <c r="A225" s="23" t="s">
        <v>599</v>
      </c>
      <c r="B225" s="23">
        <v>848709082916</v>
      </c>
      <c r="C225" s="9" t="s">
        <v>54</v>
      </c>
      <c r="D225" s="9" t="e">
        <v>#N/A</v>
      </c>
      <c r="E225" s="9" t="e">
        <v>#N/A</v>
      </c>
      <c r="F225" s="9" t="e">
        <v>#N/A</v>
      </c>
      <c r="G225" s="9" t="s">
        <v>692</v>
      </c>
      <c r="H225" s="12" t="s">
        <v>55</v>
      </c>
      <c r="I225" s="11">
        <v>1099</v>
      </c>
      <c r="J225" s="11">
        <v>568.45000000000005</v>
      </c>
      <c r="K225" s="62">
        <v>0</v>
      </c>
      <c r="L225" s="12">
        <v>0</v>
      </c>
      <c r="M225" s="13" t="s">
        <v>467</v>
      </c>
      <c r="N225" s="13" t="s">
        <v>656</v>
      </c>
      <c r="O225" s="27" t="s">
        <v>53</v>
      </c>
      <c r="P225" s="12">
        <v>0</v>
      </c>
      <c r="Q225" s="12">
        <v>0</v>
      </c>
      <c r="R225" s="12">
        <v>0</v>
      </c>
      <c r="S225" s="12">
        <v>0</v>
      </c>
      <c r="T225" s="12">
        <v>0</v>
      </c>
      <c r="U225" s="12">
        <v>0</v>
      </c>
      <c r="V225" s="12">
        <v>1</v>
      </c>
      <c r="W225" s="12">
        <v>0</v>
      </c>
      <c r="X225" s="12">
        <v>1</v>
      </c>
      <c r="Y225" s="12">
        <v>1</v>
      </c>
      <c r="Z225" s="12">
        <v>0</v>
      </c>
      <c r="AA225" s="12">
        <v>1</v>
      </c>
      <c r="AB225" s="12">
        <v>0</v>
      </c>
      <c r="AC225" s="12">
        <v>0</v>
      </c>
      <c r="AD225" s="12">
        <v>0</v>
      </c>
      <c r="AE225" s="12">
        <v>0</v>
      </c>
      <c r="AF225" s="12">
        <v>0</v>
      </c>
      <c r="AG225" s="12">
        <v>0</v>
      </c>
      <c r="AH225" s="12">
        <v>0</v>
      </c>
      <c r="AI225" s="12">
        <v>0</v>
      </c>
      <c r="AJ225" s="12">
        <v>0</v>
      </c>
      <c r="AK225" s="12">
        <v>0</v>
      </c>
      <c r="AL225" s="12">
        <v>1</v>
      </c>
      <c r="AM225" s="12">
        <v>0</v>
      </c>
      <c r="AN225" s="12">
        <v>1</v>
      </c>
      <c r="AO225" s="12">
        <v>0</v>
      </c>
      <c r="AP225" s="12">
        <v>0</v>
      </c>
      <c r="AQ225" s="12">
        <v>1</v>
      </c>
      <c r="AR225" s="12">
        <v>0</v>
      </c>
      <c r="AS225" s="12">
        <v>0</v>
      </c>
      <c r="AT225" s="12">
        <v>0</v>
      </c>
      <c r="AU225" s="12">
        <v>0</v>
      </c>
      <c r="AV225" s="12">
        <v>0</v>
      </c>
      <c r="AW225" s="12">
        <v>0</v>
      </c>
      <c r="AX225" s="12">
        <v>0</v>
      </c>
      <c r="AY225" s="12">
        <v>0</v>
      </c>
      <c r="AZ225" s="12">
        <v>0</v>
      </c>
      <c r="BA225" s="12">
        <v>0</v>
      </c>
      <c r="BB225" s="12">
        <v>1</v>
      </c>
      <c r="BC225" s="12">
        <v>0</v>
      </c>
      <c r="BD225" s="12">
        <v>0</v>
      </c>
      <c r="BE225" s="12">
        <v>0</v>
      </c>
      <c r="BF225" s="12">
        <v>0</v>
      </c>
      <c r="BG225" s="12">
        <v>0</v>
      </c>
      <c r="BH225" s="12">
        <v>0</v>
      </c>
      <c r="BI225" s="12">
        <v>0</v>
      </c>
      <c r="BJ225" s="12">
        <v>1</v>
      </c>
      <c r="BK225" s="12">
        <v>0</v>
      </c>
      <c r="BL225" s="12">
        <v>0</v>
      </c>
      <c r="BM225" s="12">
        <v>0</v>
      </c>
      <c r="BN225" s="12">
        <v>0</v>
      </c>
      <c r="BO225" s="12">
        <v>0</v>
      </c>
      <c r="BP225" s="12">
        <v>0</v>
      </c>
      <c r="BQ225" s="12">
        <v>0</v>
      </c>
      <c r="BR225" s="12">
        <v>0</v>
      </c>
      <c r="BS225" s="12">
        <v>0</v>
      </c>
      <c r="BT225" s="12">
        <v>0</v>
      </c>
      <c r="BU225" s="12">
        <v>0</v>
      </c>
      <c r="BV225" s="12">
        <v>0</v>
      </c>
      <c r="BW225" s="12">
        <v>0</v>
      </c>
      <c r="BX225" s="12">
        <v>0</v>
      </c>
      <c r="BY225" s="12">
        <v>0</v>
      </c>
      <c r="BZ225" s="12">
        <v>0</v>
      </c>
      <c r="CA225" s="12">
        <v>0</v>
      </c>
      <c r="CB225" s="12">
        <v>0</v>
      </c>
      <c r="CC225" s="12">
        <v>0</v>
      </c>
      <c r="CD225" s="12">
        <v>0</v>
      </c>
      <c r="CE225" s="12">
        <v>0</v>
      </c>
      <c r="CF225" s="12">
        <v>0</v>
      </c>
      <c r="CG225" s="12">
        <v>0</v>
      </c>
      <c r="CH225" s="12">
        <v>0</v>
      </c>
      <c r="CI225" s="12">
        <v>0</v>
      </c>
      <c r="CJ225" s="12">
        <v>0</v>
      </c>
      <c r="CK225" s="12">
        <v>0</v>
      </c>
      <c r="CL225" s="12">
        <v>0</v>
      </c>
      <c r="CM225" s="12">
        <v>0</v>
      </c>
      <c r="CN225" s="12">
        <v>0</v>
      </c>
      <c r="CO225" s="12">
        <v>0</v>
      </c>
      <c r="CP225" s="12">
        <v>0</v>
      </c>
      <c r="CQ225" s="12">
        <v>0</v>
      </c>
      <c r="CR225" s="12">
        <v>0</v>
      </c>
      <c r="CS225" s="12">
        <v>0</v>
      </c>
      <c r="CT225" s="12">
        <v>0</v>
      </c>
      <c r="CU225" s="12">
        <v>0</v>
      </c>
      <c r="CV225" s="12">
        <v>0</v>
      </c>
      <c r="CW225" s="12">
        <v>0</v>
      </c>
      <c r="CX225" s="12">
        <v>0</v>
      </c>
      <c r="CY225" s="12">
        <v>0</v>
      </c>
      <c r="CZ225" s="12">
        <v>0</v>
      </c>
      <c r="DA225" s="12">
        <v>0</v>
      </c>
      <c r="DB225" s="12">
        <v>0</v>
      </c>
      <c r="DC225" s="12">
        <v>0</v>
      </c>
      <c r="DD225" s="12">
        <v>0</v>
      </c>
      <c r="DE225" s="12">
        <v>0</v>
      </c>
      <c r="DF225" s="12">
        <v>0</v>
      </c>
      <c r="DG225" s="12">
        <v>0</v>
      </c>
      <c r="DH225" s="12">
        <v>0</v>
      </c>
      <c r="DI225" s="12">
        <v>0</v>
      </c>
      <c r="DJ225" s="12">
        <v>0</v>
      </c>
      <c r="DK225" s="12">
        <v>0</v>
      </c>
      <c r="DL225" s="12">
        <v>0</v>
      </c>
      <c r="DM225" s="12">
        <v>0</v>
      </c>
      <c r="DN225" s="12">
        <v>0</v>
      </c>
      <c r="DO225" s="12">
        <v>0</v>
      </c>
      <c r="DP225" s="12">
        <v>0</v>
      </c>
      <c r="DQ225" s="12">
        <v>0</v>
      </c>
      <c r="DR225" s="12">
        <v>0</v>
      </c>
      <c r="DS225" s="12">
        <v>0</v>
      </c>
      <c r="DT225" s="12">
        <v>0</v>
      </c>
      <c r="DU225" s="12">
        <v>0</v>
      </c>
      <c r="DV225" s="12">
        <v>0</v>
      </c>
      <c r="DW225" s="12">
        <v>0</v>
      </c>
      <c r="DX225" s="12">
        <v>0</v>
      </c>
      <c r="DY225" s="12">
        <v>0</v>
      </c>
      <c r="DZ225" s="12">
        <v>0</v>
      </c>
      <c r="EA225" s="12">
        <v>0</v>
      </c>
      <c r="EB225" s="12">
        <v>0</v>
      </c>
      <c r="EC225" s="12">
        <v>0</v>
      </c>
      <c r="ED225" s="12">
        <v>0</v>
      </c>
      <c r="EE225" s="12">
        <v>0</v>
      </c>
      <c r="EF225" s="12">
        <v>0</v>
      </c>
      <c r="EG225" s="12">
        <v>0</v>
      </c>
      <c r="EH225" s="12">
        <v>0</v>
      </c>
      <c r="EI225" s="12">
        <v>0</v>
      </c>
      <c r="EJ225" s="12">
        <v>0</v>
      </c>
      <c r="EK225" s="12">
        <v>0</v>
      </c>
      <c r="EL225" s="12">
        <v>0</v>
      </c>
      <c r="EM225" s="12">
        <v>0</v>
      </c>
      <c r="EN225" s="12">
        <v>0</v>
      </c>
      <c r="EO225" s="12">
        <v>0</v>
      </c>
      <c r="EP225" s="12" t="str">
        <f t="shared" si="49"/>
        <v>🔴 Sin venta</v>
      </c>
      <c r="EQ225" s="23">
        <f t="shared" si="50"/>
        <v>0</v>
      </c>
      <c r="ER225" s="19">
        <f t="shared" si="48"/>
        <v>0</v>
      </c>
      <c r="ES225" s="12">
        <f t="shared" si="47"/>
        <v>0</v>
      </c>
      <c r="ET225" s="23">
        <f t="shared" si="52"/>
        <v>0</v>
      </c>
      <c r="EU225" s="23">
        <f t="shared" si="51"/>
        <v>0</v>
      </c>
      <c r="EV225" s="23">
        <f t="shared" si="53"/>
        <v>0</v>
      </c>
      <c r="EW225" s="23"/>
      <c r="EX225" s="12">
        <v>0</v>
      </c>
      <c r="EY225" s="19" cm="1">
        <f t="array" ref="EY225:FC225">VLOOKUP(_xlfn.SINGLE(B:B),'[1]Price List'!$B:$N,{8,4,5,6,7},0)</f>
        <v>568.45000000000005</v>
      </c>
      <c r="EZ225" s="9" t="str">
        <v>Speck Presidio 2 Pro Case - Black iPhone hone SE2</v>
      </c>
      <c r="FA225" s="12" t="str">
        <v>Cases iPhone</v>
      </c>
      <c r="FB225" s="12" t="str">
        <v>iPhone SE</v>
      </c>
      <c r="FC225" s="12" t="str">
        <v>iPhone SE 2020 -2022</v>
      </c>
      <c r="FD225" s="23" t="str">
        <f>_xlfn.XLOOKUP(B:B,'[1]Price List'!$B:$B,'[1]Price List'!$A:$A)</f>
        <v>Speck</v>
      </c>
    </row>
    <row r="226" spans="1:160" s="9" customFormat="1" x14ac:dyDescent="0.2">
      <c r="A226" s="23" t="s">
        <v>599</v>
      </c>
      <c r="B226" s="23">
        <v>848709096760</v>
      </c>
      <c r="C226" s="9" t="s">
        <v>88</v>
      </c>
      <c r="D226" s="9" t="e">
        <v>#N/A</v>
      </c>
      <c r="E226" s="9" t="e">
        <v>#N/A</v>
      </c>
      <c r="F226" s="9" t="e">
        <v>#N/A</v>
      </c>
      <c r="G226" s="9" t="s">
        <v>691</v>
      </c>
      <c r="H226" s="12" t="s">
        <v>89</v>
      </c>
      <c r="I226" s="11">
        <v>1099</v>
      </c>
      <c r="J226" s="11">
        <v>568.45000000000005</v>
      </c>
      <c r="K226" s="62">
        <v>0</v>
      </c>
      <c r="L226" s="12">
        <v>0</v>
      </c>
      <c r="M226" s="13" t="s">
        <v>467</v>
      </c>
      <c r="N226" s="13" t="s">
        <v>656</v>
      </c>
      <c r="O226" s="27" t="s">
        <v>58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>
        <v>0</v>
      </c>
      <c r="X226" s="12">
        <v>0</v>
      </c>
      <c r="Y226" s="12">
        <v>0</v>
      </c>
      <c r="Z226" s="12">
        <v>0</v>
      </c>
      <c r="AA226" s="12">
        <v>1</v>
      </c>
      <c r="AB226" s="12">
        <v>0</v>
      </c>
      <c r="AC226" s="12">
        <v>0</v>
      </c>
      <c r="AD226" s="12">
        <v>0</v>
      </c>
      <c r="AE226" s="12">
        <v>0</v>
      </c>
      <c r="AF226" s="12">
        <v>0</v>
      </c>
      <c r="AG226" s="12">
        <v>0</v>
      </c>
      <c r="AH226" s="12">
        <v>1</v>
      </c>
      <c r="AI226" s="12">
        <v>0</v>
      </c>
      <c r="AJ226" s="12">
        <v>0</v>
      </c>
      <c r="AK226" s="12">
        <v>0</v>
      </c>
      <c r="AL226" s="12">
        <v>0</v>
      </c>
      <c r="AM226" s="12">
        <v>1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2">
        <v>1</v>
      </c>
      <c r="AW226" s="12">
        <v>0</v>
      </c>
      <c r="AX226" s="12">
        <v>1</v>
      </c>
      <c r="AY226" s="12">
        <v>0</v>
      </c>
      <c r="AZ226" s="12">
        <v>0</v>
      </c>
      <c r="BA226" s="12">
        <v>0</v>
      </c>
      <c r="BB226" s="12">
        <v>0</v>
      </c>
      <c r="BC226" s="12">
        <v>0</v>
      </c>
      <c r="BD226" s="12">
        <v>0</v>
      </c>
      <c r="BE226" s="12">
        <v>0</v>
      </c>
      <c r="BF226" s="12">
        <v>1</v>
      </c>
      <c r="BG226" s="12">
        <v>0</v>
      </c>
      <c r="BH226" s="12">
        <v>1</v>
      </c>
      <c r="BI226" s="12">
        <v>0</v>
      </c>
      <c r="BJ226" s="12">
        <v>0</v>
      </c>
      <c r="BK226" s="12">
        <v>0</v>
      </c>
      <c r="BL226" s="12">
        <v>0</v>
      </c>
      <c r="BM226" s="12">
        <v>0</v>
      </c>
      <c r="BN226" s="12">
        <v>0</v>
      </c>
      <c r="BO226" s="12">
        <v>1</v>
      </c>
      <c r="BP226" s="12">
        <v>1</v>
      </c>
      <c r="BQ226" s="12">
        <v>0</v>
      </c>
      <c r="BR226" s="12">
        <v>0</v>
      </c>
      <c r="BS226" s="12">
        <v>0</v>
      </c>
      <c r="BT226" s="12">
        <v>0</v>
      </c>
      <c r="BU226" s="12">
        <v>0</v>
      </c>
      <c r="BV226" s="12">
        <v>0</v>
      </c>
      <c r="BW226" s="12">
        <v>0</v>
      </c>
      <c r="BX226" s="12">
        <v>0</v>
      </c>
      <c r="BY226" s="12">
        <v>0</v>
      </c>
      <c r="BZ226" s="12">
        <v>0</v>
      </c>
      <c r="CA226" s="12">
        <v>0</v>
      </c>
      <c r="CB226" s="12">
        <v>0</v>
      </c>
      <c r="CC226" s="12">
        <v>0</v>
      </c>
      <c r="CD226" s="12">
        <v>0</v>
      </c>
      <c r="CE226" s="12">
        <v>0</v>
      </c>
      <c r="CF226" s="12">
        <v>0</v>
      </c>
      <c r="CG226" s="12">
        <v>0</v>
      </c>
      <c r="CH226" s="12">
        <v>0</v>
      </c>
      <c r="CI226" s="12">
        <v>0</v>
      </c>
      <c r="CJ226" s="12">
        <v>0</v>
      </c>
      <c r="CK226" s="12">
        <v>0</v>
      </c>
      <c r="CL226" s="12">
        <v>0</v>
      </c>
      <c r="CM226" s="12">
        <v>0</v>
      </c>
      <c r="CN226" s="12">
        <v>0</v>
      </c>
      <c r="CO226" s="12">
        <v>0</v>
      </c>
      <c r="CP226" s="12">
        <v>0</v>
      </c>
      <c r="CQ226" s="12">
        <v>0</v>
      </c>
      <c r="CR226" s="12">
        <v>0</v>
      </c>
      <c r="CS226" s="12">
        <v>0</v>
      </c>
      <c r="CT226" s="12">
        <v>0</v>
      </c>
      <c r="CU226" s="12">
        <v>0</v>
      </c>
      <c r="CV226" s="12">
        <v>0</v>
      </c>
      <c r="CW226" s="12">
        <v>0</v>
      </c>
      <c r="CX226" s="12">
        <v>0</v>
      </c>
      <c r="CY226" s="12">
        <v>0</v>
      </c>
      <c r="CZ226" s="12">
        <v>0</v>
      </c>
      <c r="DA226" s="12">
        <v>0</v>
      </c>
      <c r="DB226" s="12">
        <v>0</v>
      </c>
      <c r="DC226" s="12">
        <v>0</v>
      </c>
      <c r="DD226" s="12">
        <v>0</v>
      </c>
      <c r="DE226" s="12">
        <v>0</v>
      </c>
      <c r="DF226" s="12">
        <v>0</v>
      </c>
      <c r="DG226" s="12">
        <v>0</v>
      </c>
      <c r="DH226" s="12">
        <v>0</v>
      </c>
      <c r="DI226" s="12">
        <v>0</v>
      </c>
      <c r="DJ226" s="12">
        <v>0</v>
      </c>
      <c r="DK226" s="12">
        <v>0</v>
      </c>
      <c r="DL226" s="12">
        <v>0</v>
      </c>
      <c r="DM226" s="12">
        <v>0</v>
      </c>
      <c r="DN226" s="12">
        <v>0</v>
      </c>
      <c r="DO226" s="12">
        <v>0</v>
      </c>
      <c r="DP226" s="12">
        <v>0</v>
      </c>
      <c r="DQ226" s="12">
        <v>0</v>
      </c>
      <c r="DR226" s="12">
        <v>0</v>
      </c>
      <c r="DS226" s="12">
        <v>0</v>
      </c>
      <c r="DT226" s="12">
        <v>0</v>
      </c>
      <c r="DU226" s="12">
        <v>0</v>
      </c>
      <c r="DV226" s="12">
        <v>0</v>
      </c>
      <c r="DW226" s="12">
        <v>0</v>
      </c>
      <c r="DX226" s="12">
        <v>0</v>
      </c>
      <c r="DY226" s="12">
        <v>0</v>
      </c>
      <c r="DZ226" s="12">
        <v>0</v>
      </c>
      <c r="EA226" s="12">
        <v>0</v>
      </c>
      <c r="EB226" s="12">
        <v>0</v>
      </c>
      <c r="EC226" s="12">
        <v>0</v>
      </c>
      <c r="ED226" s="12">
        <v>0</v>
      </c>
      <c r="EE226" s="12">
        <v>0</v>
      </c>
      <c r="EF226" s="12">
        <v>0</v>
      </c>
      <c r="EG226" s="12">
        <v>0</v>
      </c>
      <c r="EH226" s="12">
        <v>0</v>
      </c>
      <c r="EI226" s="12">
        <v>0</v>
      </c>
      <c r="EJ226" s="12">
        <v>0</v>
      </c>
      <c r="EK226" s="12">
        <v>0</v>
      </c>
      <c r="EL226" s="12">
        <v>0</v>
      </c>
      <c r="EM226" s="12">
        <v>0</v>
      </c>
      <c r="EN226" s="12">
        <v>0</v>
      </c>
      <c r="EO226" s="12">
        <v>0</v>
      </c>
      <c r="EP226" s="12" t="str">
        <f t="shared" si="49"/>
        <v>🔴 Sin venta</v>
      </c>
      <c r="EQ226" s="23">
        <f t="shared" si="50"/>
        <v>0</v>
      </c>
      <c r="ER226" s="19">
        <f t="shared" si="48"/>
        <v>0</v>
      </c>
      <c r="ES226" s="12">
        <f t="shared" si="47"/>
        <v>0</v>
      </c>
      <c r="ET226" s="23">
        <f t="shared" si="52"/>
        <v>0</v>
      </c>
      <c r="EU226" s="23">
        <f t="shared" si="51"/>
        <v>0</v>
      </c>
      <c r="EV226" s="23">
        <f t="shared" si="53"/>
        <v>0</v>
      </c>
      <c r="EW226" s="23"/>
      <c r="EX226" s="12">
        <v>0</v>
      </c>
      <c r="EY226" s="19" cm="1">
        <f t="array" ref="EY226:FC226">VLOOKUP(_xlfn.SINGLE(B:B),'[1]Price List'!$B:$N,{8,4,5,6,7},0)</f>
        <v>568.45000000000005</v>
      </c>
      <c r="EZ226" s="9" t="str">
        <v>Speck Presidio Perfect Clear Geometry for iPhone 12/12 Pro - Clear/Black</v>
      </c>
      <c r="FA226" s="12" t="str">
        <v>Cases iPhone</v>
      </c>
      <c r="FB226" s="12" t="str">
        <v>iPhone 12</v>
      </c>
      <c r="FC226" s="12" t="str">
        <v xml:space="preserve">iPhone 12/12 Pro </v>
      </c>
      <c r="FD226" s="23" t="str">
        <f>_xlfn.XLOOKUP(B:B,'[1]Price List'!$B:$B,'[1]Price List'!$A:$A)</f>
        <v>Speck</v>
      </c>
    </row>
    <row r="227" spans="1:160" s="9" customFormat="1" x14ac:dyDescent="0.2">
      <c r="A227" s="23" t="s">
        <v>599</v>
      </c>
      <c r="B227" s="23">
        <v>848709097934</v>
      </c>
      <c r="C227" s="9" t="s">
        <v>115</v>
      </c>
      <c r="D227" s="9" t="e">
        <v>#N/A</v>
      </c>
      <c r="E227" s="9" t="e">
        <v>#N/A</v>
      </c>
      <c r="F227" s="9" t="e">
        <v>#N/A</v>
      </c>
      <c r="G227" s="9" t="s">
        <v>307</v>
      </c>
      <c r="H227" s="12" t="s">
        <v>116</v>
      </c>
      <c r="I227" s="11">
        <v>1349</v>
      </c>
      <c r="J227" s="11">
        <v>697.76</v>
      </c>
      <c r="K227" s="62">
        <v>0</v>
      </c>
      <c r="L227" s="12">
        <v>0</v>
      </c>
      <c r="M227" s="13" t="s">
        <v>467</v>
      </c>
      <c r="N227" s="13" t="s">
        <v>656</v>
      </c>
      <c r="O227" s="27" t="s">
        <v>114</v>
      </c>
      <c r="P227" s="12">
        <v>0</v>
      </c>
      <c r="Q227" s="12">
        <v>0</v>
      </c>
      <c r="R227" s="12">
        <v>0</v>
      </c>
      <c r="S227" s="12">
        <v>0</v>
      </c>
      <c r="T227" s="12">
        <v>0</v>
      </c>
      <c r="U227" s="12">
        <v>0</v>
      </c>
      <c r="V227" s="12">
        <v>0</v>
      </c>
      <c r="W227" s="12">
        <v>0</v>
      </c>
      <c r="X227" s="12">
        <v>0</v>
      </c>
      <c r="Y227" s="12">
        <v>0</v>
      </c>
      <c r="Z227" s="12">
        <v>0</v>
      </c>
      <c r="AA227" s="12">
        <v>0</v>
      </c>
      <c r="AB227" s="12">
        <v>0</v>
      </c>
      <c r="AC227" s="12">
        <v>0</v>
      </c>
      <c r="AD227" s="12">
        <v>0</v>
      </c>
      <c r="AE227" s="12">
        <v>0</v>
      </c>
      <c r="AF227" s="12">
        <v>0</v>
      </c>
      <c r="AG227" s="12">
        <v>0</v>
      </c>
      <c r="AH227" s="12">
        <v>0</v>
      </c>
      <c r="AI227" s="12">
        <v>0</v>
      </c>
      <c r="AJ227" s="12">
        <v>0</v>
      </c>
      <c r="AK227" s="12">
        <v>0</v>
      </c>
      <c r="AL227" s="12">
        <v>0</v>
      </c>
      <c r="AM227" s="12">
        <v>0</v>
      </c>
      <c r="AN227" s="12">
        <v>0</v>
      </c>
      <c r="AO227" s="12">
        <v>0</v>
      </c>
      <c r="AP227" s="12">
        <v>0</v>
      </c>
      <c r="AQ227" s="12">
        <v>0</v>
      </c>
      <c r="AR227" s="12">
        <v>0</v>
      </c>
      <c r="AS227" s="12">
        <v>0</v>
      </c>
      <c r="AT227" s="12">
        <v>1</v>
      </c>
      <c r="AU227" s="12">
        <v>0</v>
      </c>
      <c r="AV227" s="12">
        <v>0</v>
      </c>
      <c r="AW227" s="12">
        <v>0</v>
      </c>
      <c r="AX227" s="12">
        <v>0</v>
      </c>
      <c r="AY227" s="12">
        <v>0</v>
      </c>
      <c r="AZ227" s="12">
        <v>0</v>
      </c>
      <c r="BA227" s="12">
        <v>1</v>
      </c>
      <c r="BB227" s="12">
        <v>0</v>
      </c>
      <c r="BC227" s="12">
        <v>0</v>
      </c>
      <c r="BD227" s="12">
        <v>0</v>
      </c>
      <c r="BE227" s="12">
        <v>0</v>
      </c>
      <c r="BF227" s="12">
        <v>0</v>
      </c>
      <c r="BG227" s="12">
        <v>0</v>
      </c>
      <c r="BH227" s="12">
        <v>0</v>
      </c>
      <c r="BI227" s="12">
        <v>0</v>
      </c>
      <c r="BJ227" s="12">
        <v>1</v>
      </c>
      <c r="BK227" s="12">
        <v>1</v>
      </c>
      <c r="BL227" s="12">
        <v>0</v>
      </c>
      <c r="BM227" s="12">
        <v>0</v>
      </c>
      <c r="BN227" s="12">
        <v>0</v>
      </c>
      <c r="BO227" s="12">
        <v>0</v>
      </c>
      <c r="BP227" s="12">
        <v>0</v>
      </c>
      <c r="BQ227" s="12">
        <v>0</v>
      </c>
      <c r="BR227" s="12">
        <v>0</v>
      </c>
      <c r="BS227" s="12">
        <v>0</v>
      </c>
      <c r="BT227" s="12">
        <v>0</v>
      </c>
      <c r="BU227" s="12">
        <v>0</v>
      </c>
      <c r="BV227" s="12">
        <v>0</v>
      </c>
      <c r="BW227" s="12">
        <v>0</v>
      </c>
      <c r="BX227" s="12">
        <v>0</v>
      </c>
      <c r="BY227" s="12">
        <v>0</v>
      </c>
      <c r="BZ227" s="12">
        <v>0</v>
      </c>
      <c r="CA227" s="12">
        <v>0</v>
      </c>
      <c r="CB227" s="12">
        <v>0</v>
      </c>
      <c r="CC227" s="12">
        <v>0</v>
      </c>
      <c r="CD227" s="12">
        <v>0</v>
      </c>
      <c r="CE227" s="12">
        <v>0</v>
      </c>
      <c r="CF227" s="12">
        <v>0</v>
      </c>
      <c r="CG227" s="12">
        <v>0</v>
      </c>
      <c r="CH227" s="12">
        <v>0</v>
      </c>
      <c r="CI227" s="12">
        <v>0</v>
      </c>
      <c r="CJ227" s="12">
        <v>0</v>
      </c>
      <c r="CK227" s="12">
        <v>0</v>
      </c>
      <c r="CL227" s="12">
        <v>0</v>
      </c>
      <c r="CM227" s="12">
        <v>0</v>
      </c>
      <c r="CN227" s="12">
        <v>0</v>
      </c>
      <c r="CO227" s="12">
        <v>0</v>
      </c>
      <c r="CP227" s="12">
        <v>0</v>
      </c>
      <c r="CQ227" s="12">
        <v>0</v>
      </c>
      <c r="CR227" s="12">
        <v>0</v>
      </c>
      <c r="CS227" s="12">
        <v>0</v>
      </c>
      <c r="CT227" s="12">
        <v>0</v>
      </c>
      <c r="CU227" s="12">
        <v>0</v>
      </c>
      <c r="CV227" s="12">
        <v>0</v>
      </c>
      <c r="CW227" s="12">
        <v>0</v>
      </c>
      <c r="CX227" s="12">
        <v>0</v>
      </c>
      <c r="CY227" s="12">
        <v>0</v>
      </c>
      <c r="CZ227" s="12">
        <v>0</v>
      </c>
      <c r="DA227" s="12">
        <v>0</v>
      </c>
      <c r="DB227" s="12">
        <v>0</v>
      </c>
      <c r="DC227" s="12">
        <v>0</v>
      </c>
      <c r="DD227" s="12">
        <v>0</v>
      </c>
      <c r="DE227" s="12">
        <v>0</v>
      </c>
      <c r="DF227" s="12">
        <v>0</v>
      </c>
      <c r="DG227" s="12">
        <v>0</v>
      </c>
      <c r="DH227" s="12">
        <v>0</v>
      </c>
      <c r="DI227" s="12">
        <v>0</v>
      </c>
      <c r="DJ227" s="12">
        <v>0</v>
      </c>
      <c r="DK227" s="12">
        <v>0</v>
      </c>
      <c r="DL227" s="12">
        <v>0</v>
      </c>
      <c r="DM227" s="12">
        <v>0</v>
      </c>
      <c r="DN227" s="12">
        <v>1</v>
      </c>
      <c r="DO227" s="12">
        <v>0</v>
      </c>
      <c r="DP227" s="12">
        <v>0</v>
      </c>
      <c r="DQ227" s="12">
        <v>0</v>
      </c>
      <c r="DR227" s="12">
        <v>0</v>
      </c>
      <c r="DS227" s="12">
        <v>0</v>
      </c>
      <c r="DT227" s="12">
        <v>0</v>
      </c>
      <c r="DU227" s="12">
        <v>0</v>
      </c>
      <c r="DV227" s="12">
        <v>0</v>
      </c>
      <c r="DW227" s="12">
        <v>0</v>
      </c>
      <c r="DX227" s="12">
        <v>0</v>
      </c>
      <c r="DY227" s="12">
        <v>0</v>
      </c>
      <c r="DZ227" s="12">
        <v>0</v>
      </c>
      <c r="EA227" s="12">
        <v>0</v>
      </c>
      <c r="EB227" s="12">
        <v>0</v>
      </c>
      <c r="EC227" s="12">
        <v>0</v>
      </c>
      <c r="ED227" s="12">
        <v>0</v>
      </c>
      <c r="EE227" s="12">
        <v>0</v>
      </c>
      <c r="EF227" s="12">
        <v>0</v>
      </c>
      <c r="EG227" s="12">
        <v>0</v>
      </c>
      <c r="EH227" s="12">
        <v>0</v>
      </c>
      <c r="EI227" s="12">
        <v>0</v>
      </c>
      <c r="EJ227" s="12">
        <v>0</v>
      </c>
      <c r="EK227" s="12">
        <v>0</v>
      </c>
      <c r="EL227" s="12">
        <v>0</v>
      </c>
      <c r="EM227" s="12">
        <v>0</v>
      </c>
      <c r="EN227" s="12">
        <v>0</v>
      </c>
      <c r="EO227" s="12">
        <v>0</v>
      </c>
      <c r="EP227" s="12" t="str">
        <f t="shared" si="49"/>
        <v>🔴 Sin venta</v>
      </c>
      <c r="EQ227" s="23">
        <f t="shared" si="50"/>
        <v>0</v>
      </c>
      <c r="ER227" s="19">
        <f t="shared" si="48"/>
        <v>0</v>
      </c>
      <c r="ES227" s="12">
        <f t="shared" si="47"/>
        <v>0</v>
      </c>
      <c r="ET227" s="23">
        <f t="shared" si="52"/>
        <v>0</v>
      </c>
      <c r="EU227" s="23">
        <f t="shared" si="51"/>
        <v>0.5</v>
      </c>
      <c r="EV227" s="23">
        <f t="shared" si="53"/>
        <v>0</v>
      </c>
      <c r="EW227" s="23"/>
      <c r="EX227" s="12">
        <v>5</v>
      </c>
      <c r="EY227" s="19" cm="1">
        <f t="array" ref="EY227:FC227">VLOOKUP(_xlfn.SINGLE(B:B),'[1]Price List'!$B:$N,{8,4,5,6,7},0)</f>
        <v>697.76</v>
      </c>
      <c r="EZ227" s="9" t="str">
        <v>Speck Smartshell Case Crystal Pink MacBook Pro  13</v>
      </c>
      <c r="FA227" s="12" t="str">
        <v>Cases Macbook</v>
      </c>
      <c r="FB227" s="12" t="str">
        <v>Macbook</v>
      </c>
      <c r="FC227" s="12" t="str">
        <v>MacBook Pro 13" M1/M2 Cases</v>
      </c>
      <c r="FD227" s="23" t="str">
        <f>_xlfn.XLOOKUP(B:B,'[1]Price List'!$B:$B,'[1]Price List'!$A:$A)</f>
        <v>Speck</v>
      </c>
    </row>
    <row r="228" spans="1:160" s="9" customFormat="1" x14ac:dyDescent="0.2">
      <c r="A228" s="23" t="s">
        <v>599</v>
      </c>
      <c r="B228" s="23">
        <v>848709086112</v>
      </c>
      <c r="C228" s="9" t="s">
        <v>59</v>
      </c>
      <c r="D228" s="9" t="e">
        <v>#N/A</v>
      </c>
      <c r="E228" s="9" t="e">
        <v>#N/A</v>
      </c>
      <c r="F228" s="9" t="e">
        <v>#N/A</v>
      </c>
      <c r="G228" s="9" t="s">
        <v>309</v>
      </c>
      <c r="H228" s="12" t="s">
        <v>60</v>
      </c>
      <c r="I228" s="11">
        <v>1099</v>
      </c>
      <c r="J228" s="11">
        <v>568.45000000000005</v>
      </c>
      <c r="K228" s="62">
        <v>0</v>
      </c>
      <c r="L228" s="12">
        <v>0</v>
      </c>
      <c r="M228" s="13" t="s">
        <v>467</v>
      </c>
      <c r="N228" s="13" t="s">
        <v>656</v>
      </c>
      <c r="O228" s="27" t="s">
        <v>61</v>
      </c>
      <c r="P228" s="12">
        <v>0</v>
      </c>
      <c r="Q228" s="12">
        <v>0</v>
      </c>
      <c r="R228" s="12">
        <v>0</v>
      </c>
      <c r="S228" s="12">
        <v>0</v>
      </c>
      <c r="T228" s="12">
        <v>0</v>
      </c>
      <c r="U228" s="12">
        <v>0</v>
      </c>
      <c r="V228" s="12">
        <v>0</v>
      </c>
      <c r="W228" s="12">
        <v>1</v>
      </c>
      <c r="X228" s="12">
        <v>0</v>
      </c>
      <c r="Y228" s="12">
        <v>0</v>
      </c>
      <c r="Z228" s="12">
        <v>0</v>
      </c>
      <c r="AA228" s="12">
        <v>1</v>
      </c>
      <c r="AB228" s="12">
        <v>0</v>
      </c>
      <c r="AC228" s="12">
        <v>0</v>
      </c>
      <c r="AD228" s="12">
        <v>0</v>
      </c>
      <c r="AE228" s="12">
        <v>0</v>
      </c>
      <c r="AF228" s="12">
        <v>0</v>
      </c>
      <c r="AG228" s="12">
        <v>0</v>
      </c>
      <c r="AH228" s="12">
        <v>0</v>
      </c>
      <c r="AI228" s="12">
        <v>0</v>
      </c>
      <c r="AJ228" s="12">
        <v>0</v>
      </c>
      <c r="AK228" s="12">
        <v>0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1</v>
      </c>
      <c r="AU228" s="12">
        <v>0</v>
      </c>
      <c r="AV228" s="12">
        <v>0</v>
      </c>
      <c r="AW228" s="12">
        <v>0</v>
      </c>
      <c r="AX228" s="12">
        <v>0</v>
      </c>
      <c r="AY228" s="12">
        <v>0</v>
      </c>
      <c r="AZ228" s="12">
        <v>0</v>
      </c>
      <c r="BA228" s="12">
        <v>0</v>
      </c>
      <c r="BB228" s="12">
        <v>0</v>
      </c>
      <c r="BC228" s="12">
        <v>1</v>
      </c>
      <c r="BD228" s="12">
        <v>0</v>
      </c>
      <c r="BE228" s="12">
        <v>0</v>
      </c>
      <c r="BF228" s="12">
        <v>0</v>
      </c>
      <c r="BG228" s="12">
        <v>0</v>
      </c>
      <c r="BH228" s="12">
        <v>0</v>
      </c>
      <c r="BI228" s="12">
        <v>0</v>
      </c>
      <c r="BJ228" s="12">
        <v>0</v>
      </c>
      <c r="BK228" s="12">
        <v>0</v>
      </c>
      <c r="BL228" s="12">
        <v>0</v>
      </c>
      <c r="BM228" s="12">
        <v>0</v>
      </c>
      <c r="BN228" s="12">
        <v>0</v>
      </c>
      <c r="BO228" s="12">
        <v>0</v>
      </c>
      <c r="BP228" s="12">
        <v>0</v>
      </c>
      <c r="BQ228" s="12">
        <v>0</v>
      </c>
      <c r="BR228" s="12">
        <v>0</v>
      </c>
      <c r="BS228" s="12">
        <v>0</v>
      </c>
      <c r="BT228" s="12">
        <v>0</v>
      </c>
      <c r="BU228" s="12">
        <v>0</v>
      </c>
      <c r="BV228" s="12">
        <v>0</v>
      </c>
      <c r="BW228" s="12">
        <v>0</v>
      </c>
      <c r="BX228" s="12">
        <v>0</v>
      </c>
      <c r="BY228" s="12">
        <v>0</v>
      </c>
      <c r="BZ228" s="12">
        <v>0</v>
      </c>
      <c r="CA228" s="12">
        <v>0</v>
      </c>
      <c r="CB228" s="12">
        <v>0</v>
      </c>
      <c r="CC228" s="12">
        <v>0</v>
      </c>
      <c r="CD228" s="12">
        <v>0</v>
      </c>
      <c r="CE228" s="12">
        <v>0</v>
      </c>
      <c r="CF228" s="12">
        <v>0</v>
      </c>
      <c r="CG228" s="12">
        <v>0</v>
      </c>
      <c r="CH228" s="12">
        <v>0</v>
      </c>
      <c r="CI228" s="12">
        <v>0</v>
      </c>
      <c r="CJ228" s="12">
        <v>0</v>
      </c>
      <c r="CK228" s="12">
        <v>0</v>
      </c>
      <c r="CL228" s="12">
        <v>0</v>
      </c>
      <c r="CM228" s="12">
        <v>0</v>
      </c>
      <c r="CN228" s="12">
        <v>0</v>
      </c>
      <c r="CO228" s="12">
        <v>0</v>
      </c>
      <c r="CP228" s="12">
        <v>0</v>
      </c>
      <c r="CQ228" s="12">
        <v>0</v>
      </c>
      <c r="CR228" s="12">
        <v>0</v>
      </c>
      <c r="CS228" s="12">
        <v>0</v>
      </c>
      <c r="CT228" s="12">
        <v>0</v>
      </c>
      <c r="CU228" s="12">
        <v>0</v>
      </c>
      <c r="CV228" s="12">
        <v>0</v>
      </c>
      <c r="CW228" s="12">
        <v>0</v>
      </c>
      <c r="CX228" s="12">
        <v>0</v>
      </c>
      <c r="CY228" s="12">
        <v>0</v>
      </c>
      <c r="CZ228" s="12">
        <v>0</v>
      </c>
      <c r="DA228" s="12">
        <v>0</v>
      </c>
      <c r="DB228" s="12">
        <v>0</v>
      </c>
      <c r="DC228" s="12">
        <v>0</v>
      </c>
      <c r="DD228" s="12">
        <v>0</v>
      </c>
      <c r="DE228" s="12">
        <v>0</v>
      </c>
      <c r="DF228" s="12">
        <v>0</v>
      </c>
      <c r="DG228" s="12">
        <v>0</v>
      </c>
      <c r="DH228" s="12">
        <v>0</v>
      </c>
      <c r="DI228" s="12">
        <v>0</v>
      </c>
      <c r="DJ228" s="12">
        <v>0</v>
      </c>
      <c r="DK228" s="12">
        <v>0</v>
      </c>
      <c r="DL228" s="12">
        <v>0</v>
      </c>
      <c r="DM228" s="12">
        <v>0</v>
      </c>
      <c r="DN228" s="12">
        <v>0</v>
      </c>
      <c r="DO228" s="12">
        <v>0</v>
      </c>
      <c r="DP228" s="12">
        <v>0</v>
      </c>
      <c r="DQ228" s="12">
        <v>0</v>
      </c>
      <c r="DR228" s="12">
        <v>0</v>
      </c>
      <c r="DS228" s="12">
        <v>0</v>
      </c>
      <c r="DT228" s="12">
        <v>0</v>
      </c>
      <c r="DU228" s="12">
        <v>0</v>
      </c>
      <c r="DV228" s="12">
        <v>0</v>
      </c>
      <c r="DW228" s="12">
        <v>0</v>
      </c>
      <c r="DX228" s="12">
        <v>0</v>
      </c>
      <c r="DY228" s="12">
        <v>0</v>
      </c>
      <c r="DZ228" s="12">
        <v>0</v>
      </c>
      <c r="EA228" s="12">
        <v>0</v>
      </c>
      <c r="EB228" s="12">
        <v>1</v>
      </c>
      <c r="EC228" s="12">
        <v>0</v>
      </c>
      <c r="ED228" s="12">
        <v>0</v>
      </c>
      <c r="EE228" s="12">
        <v>0</v>
      </c>
      <c r="EF228" s="12">
        <v>0</v>
      </c>
      <c r="EG228" s="12">
        <v>0</v>
      </c>
      <c r="EH228" s="12">
        <v>0</v>
      </c>
      <c r="EI228" s="12">
        <v>0</v>
      </c>
      <c r="EJ228" s="12">
        <v>0</v>
      </c>
      <c r="EK228" s="12">
        <v>0</v>
      </c>
      <c r="EL228" s="12">
        <v>0</v>
      </c>
      <c r="EM228" s="12">
        <v>0</v>
      </c>
      <c r="EN228" s="12">
        <v>0</v>
      </c>
      <c r="EO228" s="12">
        <v>0</v>
      </c>
      <c r="EP228" s="12" t="str">
        <f t="shared" si="49"/>
        <v>🔴 Sin venta</v>
      </c>
      <c r="EQ228" s="23">
        <f t="shared" si="50"/>
        <v>4.1666666666666664E-2</v>
      </c>
      <c r="ER228" s="19">
        <f t="shared" si="48"/>
        <v>568.45000000000005</v>
      </c>
      <c r="ES228" s="12">
        <f t="shared" si="47"/>
        <v>1</v>
      </c>
      <c r="ET228" s="23">
        <f t="shared" si="52"/>
        <v>0</v>
      </c>
      <c r="EU228" s="23">
        <f t="shared" si="51"/>
        <v>0</v>
      </c>
      <c r="EV228" s="23">
        <f t="shared" si="53"/>
        <v>0.27</v>
      </c>
      <c r="EW228" s="23"/>
      <c r="EX228" s="12">
        <v>0</v>
      </c>
      <c r="EY228" s="19" cm="1">
        <f t="array" ref="EY228:FC228">VLOOKUP(_xlfn.SINGLE(B:B),'[1]Price List'!$B:$N,{8,4,5,6,7},0)</f>
        <v>568.45000000000005</v>
      </c>
      <c r="EZ228" s="9" t="str">
        <v>Speck Presidio2 GriPhone  - Blue/Black iPhone 11</v>
      </c>
      <c r="FA228" s="12" t="str">
        <v>Cases iPhone</v>
      </c>
      <c r="FB228" s="12" t="str">
        <v>iPhone 11</v>
      </c>
      <c r="FC228" s="12" t="str">
        <v>iPhone 11</v>
      </c>
      <c r="FD228" s="23" t="str">
        <f>_xlfn.XLOOKUP(B:B,'[1]Price List'!$B:$B,'[1]Price List'!$A:$A)</f>
        <v>Speck</v>
      </c>
    </row>
    <row r="229" spans="1:160" s="9" customFormat="1" x14ac:dyDescent="0.2">
      <c r="A229" s="23" t="s">
        <v>599</v>
      </c>
      <c r="B229" s="23">
        <v>848709091161</v>
      </c>
      <c r="C229" s="9" t="s">
        <v>80</v>
      </c>
      <c r="D229" s="9" t="e">
        <v>#N/A</v>
      </c>
      <c r="E229" s="9" t="e">
        <v>#N/A</v>
      </c>
      <c r="F229" s="9" t="e">
        <v>#N/A</v>
      </c>
      <c r="G229" s="9" t="s">
        <v>317</v>
      </c>
      <c r="H229" s="12" t="s">
        <v>81</v>
      </c>
      <c r="I229" s="11">
        <v>1099</v>
      </c>
      <c r="J229" s="11">
        <v>568.45000000000005</v>
      </c>
      <c r="K229" s="62">
        <v>0</v>
      </c>
      <c r="L229" s="12">
        <v>0</v>
      </c>
      <c r="M229" s="13" t="s">
        <v>467</v>
      </c>
      <c r="N229" s="13" t="s">
        <v>656</v>
      </c>
      <c r="O229" s="27">
        <v>44175</v>
      </c>
      <c r="P229" s="12">
        <v>0</v>
      </c>
      <c r="Q229" s="12">
        <v>0</v>
      </c>
      <c r="R229" s="12">
        <v>1</v>
      </c>
      <c r="S229" s="12">
        <v>1</v>
      </c>
      <c r="T229" s="12">
        <v>0</v>
      </c>
      <c r="U229" s="12">
        <v>0</v>
      </c>
      <c r="V229" s="12">
        <v>0</v>
      </c>
      <c r="W229" s="12">
        <v>0</v>
      </c>
      <c r="X229" s="12">
        <v>0</v>
      </c>
      <c r="Y229" s="12">
        <v>0</v>
      </c>
      <c r="Z229" s="12">
        <v>0</v>
      </c>
      <c r="AA229" s="12">
        <v>0</v>
      </c>
      <c r="AB229" s="12">
        <v>0</v>
      </c>
      <c r="AC229" s="12">
        <v>0</v>
      </c>
      <c r="AD229" s="12">
        <v>0</v>
      </c>
      <c r="AE229" s="12">
        <v>0</v>
      </c>
      <c r="AF229" s="12">
        <v>0</v>
      </c>
      <c r="AG229" s="12">
        <v>0</v>
      </c>
      <c r="AH229" s="12">
        <v>0</v>
      </c>
      <c r="AI229" s="12">
        <v>0</v>
      </c>
      <c r="AJ229" s="12">
        <v>0</v>
      </c>
      <c r="AK229" s="12">
        <v>1</v>
      </c>
      <c r="AL229" s="12">
        <v>0</v>
      </c>
      <c r="AM229" s="12">
        <v>0</v>
      </c>
      <c r="AN229" s="12">
        <v>2</v>
      </c>
      <c r="AO229" s="12">
        <v>0</v>
      </c>
      <c r="AP229" s="12">
        <v>0</v>
      </c>
      <c r="AQ229" s="12">
        <v>0</v>
      </c>
      <c r="AR229" s="12">
        <v>0</v>
      </c>
      <c r="AS229" s="12">
        <v>0</v>
      </c>
      <c r="AT229" s="12">
        <v>0</v>
      </c>
      <c r="AU229" s="12">
        <v>0</v>
      </c>
      <c r="AV229" s="12">
        <v>0</v>
      </c>
      <c r="AW229" s="12">
        <v>0</v>
      </c>
      <c r="AX229" s="12">
        <v>0</v>
      </c>
      <c r="AY229" s="12">
        <v>1</v>
      </c>
      <c r="AZ229" s="12">
        <v>0</v>
      </c>
      <c r="BA229" s="12">
        <v>0</v>
      </c>
      <c r="BB229" s="12">
        <v>0</v>
      </c>
      <c r="BC229" s="12">
        <v>0</v>
      </c>
      <c r="BD229" s="12">
        <v>0</v>
      </c>
      <c r="BE229" s="12">
        <v>0</v>
      </c>
      <c r="BF229" s="12">
        <v>0</v>
      </c>
      <c r="BG229" s="12">
        <v>0</v>
      </c>
      <c r="BH229" s="12">
        <v>0</v>
      </c>
      <c r="BI229" s="12">
        <v>0</v>
      </c>
      <c r="BJ229" s="12">
        <v>0</v>
      </c>
      <c r="BK229" s="12">
        <v>0</v>
      </c>
      <c r="BL229" s="12">
        <v>0</v>
      </c>
      <c r="BM229" s="12">
        <v>0</v>
      </c>
      <c r="BN229" s="12">
        <v>0</v>
      </c>
      <c r="BO229" s="12">
        <v>0</v>
      </c>
      <c r="BP229" s="12">
        <v>0</v>
      </c>
      <c r="BQ229" s="12">
        <v>0</v>
      </c>
      <c r="BR229" s="12">
        <v>0</v>
      </c>
      <c r="BS229" s="12">
        <v>0</v>
      </c>
      <c r="BT229" s="12">
        <v>0</v>
      </c>
      <c r="BU229" s="12">
        <v>0</v>
      </c>
      <c r="BV229" s="12">
        <v>0</v>
      </c>
      <c r="BW229" s="12">
        <v>0</v>
      </c>
      <c r="BX229" s="12">
        <v>0</v>
      </c>
      <c r="BY229" s="12">
        <v>0</v>
      </c>
      <c r="BZ229" s="12">
        <v>0</v>
      </c>
      <c r="CA229" s="12">
        <v>0</v>
      </c>
      <c r="CB229" s="12">
        <v>0</v>
      </c>
      <c r="CC229" s="12">
        <v>0</v>
      </c>
      <c r="CD229" s="12">
        <v>0</v>
      </c>
      <c r="CE229" s="12">
        <v>0</v>
      </c>
      <c r="CF229" s="12">
        <v>0</v>
      </c>
      <c r="CG229" s="12">
        <v>0</v>
      </c>
      <c r="CH229" s="12">
        <v>0</v>
      </c>
      <c r="CI229" s="12">
        <v>0</v>
      </c>
      <c r="CJ229" s="12">
        <v>0</v>
      </c>
      <c r="CK229" s="12">
        <v>0</v>
      </c>
      <c r="CL229" s="12">
        <v>0</v>
      </c>
      <c r="CM229" s="12">
        <v>0</v>
      </c>
      <c r="CN229" s="12">
        <v>0</v>
      </c>
      <c r="CO229" s="12">
        <v>0</v>
      </c>
      <c r="CP229" s="12">
        <v>0</v>
      </c>
      <c r="CQ229" s="12">
        <v>0</v>
      </c>
      <c r="CR229" s="12">
        <v>0</v>
      </c>
      <c r="CS229" s="12">
        <v>0</v>
      </c>
      <c r="CT229" s="12">
        <v>0</v>
      </c>
      <c r="CU229" s="12">
        <v>0</v>
      </c>
      <c r="CV229" s="12">
        <v>0</v>
      </c>
      <c r="CW229" s="12">
        <v>0</v>
      </c>
      <c r="CX229" s="12">
        <v>0</v>
      </c>
      <c r="CY229" s="12">
        <v>0</v>
      </c>
      <c r="CZ229" s="12">
        <v>0</v>
      </c>
      <c r="DA229" s="12">
        <v>0</v>
      </c>
      <c r="DB229" s="12">
        <v>0</v>
      </c>
      <c r="DC229" s="12">
        <v>0</v>
      </c>
      <c r="DD229" s="12">
        <v>0</v>
      </c>
      <c r="DE229" s="12">
        <v>0</v>
      </c>
      <c r="DF229" s="12">
        <v>0</v>
      </c>
      <c r="DG229" s="12">
        <v>0</v>
      </c>
      <c r="DH229" s="12">
        <v>0</v>
      </c>
      <c r="DI229" s="12">
        <v>0</v>
      </c>
      <c r="DJ229" s="12">
        <v>0</v>
      </c>
      <c r="DK229" s="12">
        <v>0</v>
      </c>
      <c r="DL229" s="12">
        <v>0</v>
      </c>
      <c r="DM229" s="12">
        <v>0</v>
      </c>
      <c r="DN229" s="12">
        <v>0</v>
      </c>
      <c r="DO229" s="12">
        <v>0</v>
      </c>
      <c r="DP229" s="12">
        <v>0</v>
      </c>
      <c r="DQ229" s="12">
        <v>0</v>
      </c>
      <c r="DR229" s="12">
        <v>0</v>
      </c>
      <c r="DS229" s="12">
        <v>0</v>
      </c>
      <c r="DT229" s="12">
        <v>0</v>
      </c>
      <c r="DU229" s="12">
        <v>0</v>
      </c>
      <c r="DV229" s="12">
        <v>0</v>
      </c>
      <c r="DW229" s="12">
        <v>0</v>
      </c>
      <c r="DX229" s="12">
        <v>0</v>
      </c>
      <c r="DY229" s="12">
        <v>0</v>
      </c>
      <c r="DZ229" s="12">
        <v>0</v>
      </c>
      <c r="EA229" s="12">
        <v>0</v>
      </c>
      <c r="EB229" s="12">
        <v>0</v>
      </c>
      <c r="EC229" s="12">
        <v>0</v>
      </c>
      <c r="ED229" s="12">
        <v>0</v>
      </c>
      <c r="EE229" s="12">
        <v>0</v>
      </c>
      <c r="EF229" s="12">
        <v>0</v>
      </c>
      <c r="EG229" s="12">
        <v>0</v>
      </c>
      <c r="EH229" s="12">
        <v>0</v>
      </c>
      <c r="EI229" s="12">
        <v>0</v>
      </c>
      <c r="EJ229" s="12">
        <v>0</v>
      </c>
      <c r="EK229" s="12">
        <v>0</v>
      </c>
      <c r="EL229" s="12">
        <v>0</v>
      </c>
      <c r="EM229" s="12">
        <v>0</v>
      </c>
      <c r="EN229" s="12">
        <v>0</v>
      </c>
      <c r="EO229" s="12">
        <v>0</v>
      </c>
      <c r="EP229" s="12" t="str">
        <f t="shared" si="49"/>
        <v>🔴 Sin venta</v>
      </c>
      <c r="EQ229" s="23">
        <f t="shared" si="50"/>
        <v>0</v>
      </c>
      <c r="ER229" s="19">
        <f t="shared" si="48"/>
        <v>0</v>
      </c>
      <c r="ES229" s="12">
        <f t="shared" si="47"/>
        <v>0</v>
      </c>
      <c r="ET229" s="23">
        <f t="shared" si="52"/>
        <v>0</v>
      </c>
      <c r="EU229" s="23">
        <f t="shared" si="51"/>
        <v>0</v>
      </c>
      <c r="EV229" s="23">
        <f t="shared" si="53"/>
        <v>0</v>
      </c>
      <c r="EW229" s="23"/>
      <c r="EX229" s="12">
        <v>0</v>
      </c>
      <c r="EY229" s="19" cm="1">
        <f t="array" ref="EY229:FC229">VLOOKUP(_xlfn.SINGLE(B:B),'[1]Price List'!$B:$N,{8,4,5,6,7},0)</f>
        <v>568.45000000000005</v>
      </c>
      <c r="EZ229" s="9" t="str">
        <v>Speck Presidio2 Pro Case for iPhone 12/12 Pro - Coastal Blue/Black/Stormblue</v>
      </c>
      <c r="FA229" s="12" t="str">
        <v>Cases iPhone</v>
      </c>
      <c r="FB229" s="12" t="str">
        <v>iPhone 12/12 Pro</v>
      </c>
      <c r="FC229" s="12" t="str">
        <v>iPhone 12/12 Pro Cases</v>
      </c>
      <c r="FD229" s="23" t="str">
        <f>_xlfn.XLOOKUP(B:B,'[1]Price List'!$B:$B,'[1]Price List'!$A:$A)</f>
        <v>Speck</v>
      </c>
    </row>
    <row r="230" spans="1:160" s="9" customFormat="1" x14ac:dyDescent="0.2">
      <c r="A230" s="23" t="s">
        <v>599</v>
      </c>
      <c r="B230" s="23">
        <v>840168501045</v>
      </c>
      <c r="C230" s="9" t="s">
        <v>122</v>
      </c>
      <c r="D230" s="9" t="e">
        <v>#N/A</v>
      </c>
      <c r="E230" s="9" t="e">
        <v>#N/A</v>
      </c>
      <c r="F230" s="9" t="e">
        <v>#N/A</v>
      </c>
      <c r="G230" s="9" t="s">
        <v>318</v>
      </c>
      <c r="H230" s="12" t="s">
        <v>123</v>
      </c>
      <c r="I230" s="11">
        <v>1649</v>
      </c>
      <c r="J230" s="11">
        <v>852.93</v>
      </c>
      <c r="K230" s="62">
        <v>0</v>
      </c>
      <c r="L230" s="12">
        <v>0</v>
      </c>
      <c r="M230" s="13" t="s">
        <v>467</v>
      </c>
      <c r="N230" s="13" t="s">
        <v>656</v>
      </c>
      <c r="O230" s="27" t="s">
        <v>121</v>
      </c>
      <c r="P230" s="12">
        <v>1</v>
      </c>
      <c r="Q230" s="12">
        <v>0</v>
      </c>
      <c r="R230" s="12">
        <v>0</v>
      </c>
      <c r="S230" s="12">
        <v>1</v>
      </c>
      <c r="T230" s="12">
        <v>1</v>
      </c>
      <c r="U230" s="12">
        <v>1</v>
      </c>
      <c r="V230" s="12">
        <v>0</v>
      </c>
      <c r="W230" s="12">
        <v>0</v>
      </c>
      <c r="X230" s="12">
        <v>0</v>
      </c>
      <c r="Y230" s="12">
        <v>0</v>
      </c>
      <c r="Z230" s="12">
        <v>0</v>
      </c>
      <c r="AA230" s="12">
        <v>0</v>
      </c>
      <c r="AB230" s="12">
        <v>0</v>
      </c>
      <c r="AC230" s="12">
        <v>0</v>
      </c>
      <c r="AD230" s="12">
        <v>0</v>
      </c>
      <c r="AE230" s="12">
        <v>0</v>
      </c>
      <c r="AF230" s="12">
        <v>0</v>
      </c>
      <c r="AG230" s="12">
        <v>0</v>
      </c>
      <c r="AH230" s="12">
        <v>1</v>
      </c>
      <c r="AI230" s="12">
        <v>1</v>
      </c>
      <c r="AJ230" s="12">
        <v>1</v>
      </c>
      <c r="AK230" s="12">
        <v>0</v>
      </c>
      <c r="AL230" s="12">
        <v>0</v>
      </c>
      <c r="AM230" s="12">
        <v>0</v>
      </c>
      <c r="AN230" s="12">
        <v>0</v>
      </c>
      <c r="AO230" s="12">
        <v>0</v>
      </c>
      <c r="AP230" s="12">
        <v>0</v>
      </c>
      <c r="AQ230" s="12">
        <v>0</v>
      </c>
      <c r="AR230" s="12">
        <v>0</v>
      </c>
      <c r="AS230" s="12">
        <v>0</v>
      </c>
      <c r="AT230" s="12">
        <v>0</v>
      </c>
      <c r="AU230" s="12">
        <v>0</v>
      </c>
      <c r="AV230" s="12">
        <v>0</v>
      </c>
      <c r="AW230" s="12">
        <v>0</v>
      </c>
      <c r="AX230" s="12">
        <v>0</v>
      </c>
      <c r="AY230" s="12">
        <v>0</v>
      </c>
      <c r="AZ230" s="12">
        <v>1</v>
      </c>
      <c r="BA230" s="12">
        <v>0</v>
      </c>
      <c r="BB230" s="12">
        <v>0</v>
      </c>
      <c r="BC230" s="12">
        <v>0</v>
      </c>
      <c r="BD230" s="12">
        <v>0</v>
      </c>
      <c r="BE230" s="12">
        <v>0</v>
      </c>
      <c r="BF230" s="12">
        <v>0</v>
      </c>
      <c r="BG230" s="12">
        <v>0</v>
      </c>
      <c r="BH230" s="12">
        <v>0</v>
      </c>
      <c r="BI230" s="12">
        <v>0</v>
      </c>
      <c r="BJ230" s="12">
        <v>0</v>
      </c>
      <c r="BK230" s="12">
        <v>0</v>
      </c>
      <c r="BL230" s="12">
        <v>0</v>
      </c>
      <c r="BM230" s="12">
        <v>0</v>
      </c>
      <c r="BN230" s="12">
        <v>0</v>
      </c>
      <c r="BO230" s="12">
        <v>0</v>
      </c>
      <c r="BP230" s="12">
        <v>0</v>
      </c>
      <c r="BQ230" s="12">
        <v>0</v>
      </c>
      <c r="BR230" s="12">
        <v>0</v>
      </c>
      <c r="BS230" s="12">
        <v>0</v>
      </c>
      <c r="BT230" s="12">
        <v>0</v>
      </c>
      <c r="BU230" s="12">
        <v>0</v>
      </c>
      <c r="BV230" s="12">
        <v>0</v>
      </c>
      <c r="BW230" s="12">
        <v>0</v>
      </c>
      <c r="BX230" s="12">
        <v>0</v>
      </c>
      <c r="BY230" s="12">
        <v>0</v>
      </c>
      <c r="BZ230" s="12">
        <v>0</v>
      </c>
      <c r="CA230" s="12">
        <v>0</v>
      </c>
      <c r="CB230" s="12">
        <v>0</v>
      </c>
      <c r="CC230" s="12">
        <v>0</v>
      </c>
      <c r="CD230" s="12">
        <v>0</v>
      </c>
      <c r="CE230" s="12">
        <v>0</v>
      </c>
      <c r="CF230" s="12">
        <v>0</v>
      </c>
      <c r="CG230" s="12">
        <v>0</v>
      </c>
      <c r="CH230" s="12">
        <v>0</v>
      </c>
      <c r="CI230" s="12">
        <v>0</v>
      </c>
      <c r="CJ230" s="12">
        <v>0</v>
      </c>
      <c r="CK230" s="12">
        <v>0</v>
      </c>
      <c r="CL230" s="12">
        <v>0</v>
      </c>
      <c r="CM230" s="12">
        <v>0</v>
      </c>
      <c r="CN230" s="12">
        <v>0</v>
      </c>
      <c r="CO230" s="12">
        <v>0</v>
      </c>
      <c r="CP230" s="12">
        <v>0</v>
      </c>
      <c r="CQ230" s="12">
        <v>0</v>
      </c>
      <c r="CR230" s="12">
        <v>0</v>
      </c>
      <c r="CS230" s="12">
        <v>0</v>
      </c>
      <c r="CT230" s="12">
        <v>0</v>
      </c>
      <c r="CU230" s="12">
        <v>0</v>
      </c>
      <c r="CV230" s="12">
        <v>0</v>
      </c>
      <c r="CW230" s="12">
        <v>0</v>
      </c>
      <c r="CX230" s="12">
        <v>0</v>
      </c>
      <c r="CY230" s="12">
        <v>0</v>
      </c>
      <c r="CZ230" s="12">
        <v>0</v>
      </c>
      <c r="DA230" s="12">
        <v>0</v>
      </c>
      <c r="DB230" s="12">
        <v>0</v>
      </c>
      <c r="DC230" s="12">
        <v>0</v>
      </c>
      <c r="DD230" s="12">
        <v>0</v>
      </c>
      <c r="DE230" s="12">
        <v>0</v>
      </c>
      <c r="DF230" s="12">
        <v>0</v>
      </c>
      <c r="DG230" s="12">
        <v>0</v>
      </c>
      <c r="DH230" s="12">
        <v>0</v>
      </c>
      <c r="DI230" s="12">
        <v>0</v>
      </c>
      <c r="DJ230" s="12">
        <v>0</v>
      </c>
      <c r="DK230" s="12">
        <v>0</v>
      </c>
      <c r="DL230" s="12">
        <v>0</v>
      </c>
      <c r="DM230" s="12">
        <v>0</v>
      </c>
      <c r="DN230" s="12">
        <v>0</v>
      </c>
      <c r="DO230" s="12">
        <v>0</v>
      </c>
      <c r="DP230" s="12">
        <v>0</v>
      </c>
      <c r="DQ230" s="12">
        <v>0</v>
      </c>
      <c r="DR230" s="12">
        <v>0</v>
      </c>
      <c r="DS230" s="12">
        <v>0</v>
      </c>
      <c r="DT230" s="12">
        <v>0</v>
      </c>
      <c r="DU230" s="12">
        <v>0</v>
      </c>
      <c r="DV230" s="12">
        <v>0</v>
      </c>
      <c r="DW230" s="12">
        <v>0</v>
      </c>
      <c r="DX230" s="12">
        <v>0</v>
      </c>
      <c r="DY230" s="12">
        <v>0</v>
      </c>
      <c r="DZ230" s="12">
        <v>0</v>
      </c>
      <c r="EA230" s="12">
        <v>0</v>
      </c>
      <c r="EB230" s="12">
        <v>0</v>
      </c>
      <c r="EC230" s="12">
        <v>0</v>
      </c>
      <c r="ED230" s="12">
        <v>0</v>
      </c>
      <c r="EE230" s="12">
        <v>0</v>
      </c>
      <c r="EF230" s="12">
        <v>0</v>
      </c>
      <c r="EG230" s="12">
        <v>0</v>
      </c>
      <c r="EH230" s="12">
        <v>0</v>
      </c>
      <c r="EI230" s="12">
        <v>0</v>
      </c>
      <c r="EJ230" s="12">
        <v>0</v>
      </c>
      <c r="EK230" s="12">
        <v>0</v>
      </c>
      <c r="EL230" s="12">
        <v>0</v>
      </c>
      <c r="EM230" s="12">
        <v>0</v>
      </c>
      <c r="EN230" s="12">
        <v>0</v>
      </c>
      <c r="EO230" s="12">
        <v>0</v>
      </c>
      <c r="EP230" s="12" t="str">
        <f t="shared" si="49"/>
        <v>🔴 Sin venta</v>
      </c>
      <c r="EQ230" s="23">
        <f t="shared" si="50"/>
        <v>0</v>
      </c>
      <c r="ER230" s="19">
        <f t="shared" si="48"/>
        <v>0</v>
      </c>
      <c r="ES230" s="12">
        <f t="shared" si="47"/>
        <v>0</v>
      </c>
      <c r="ET230" s="23">
        <f t="shared" si="52"/>
        <v>0</v>
      </c>
      <c r="EU230" s="23">
        <f t="shared" si="51"/>
        <v>0</v>
      </c>
      <c r="EV230" s="23">
        <f t="shared" si="53"/>
        <v>0</v>
      </c>
      <c r="EW230" s="23"/>
      <c r="EX230" s="12">
        <v>0</v>
      </c>
      <c r="EY230" s="19" cm="1">
        <f t="array" ref="EY230:FC230">VLOOKUP(_xlfn.SINGLE(B:B),'[1]Price List'!$B:$N,{8,4,5,6,7},0)</f>
        <v>852.93</v>
      </c>
      <c r="EZ230" s="9" t="str">
        <v>Speck Balance Folio with Microban for iPad Pro 12.9" 4/M1 - Stormy Grey/Charcoal</v>
      </c>
      <c r="FA230" s="12" t="str">
        <v>Cases iPad</v>
      </c>
      <c r="FB230" s="12" t="str">
        <v>iPad</v>
      </c>
      <c r="FC230" s="12" t="str">
        <v>iPad Pro 12.9" 4/5 Cases</v>
      </c>
      <c r="FD230" s="23" t="str">
        <f>_xlfn.XLOOKUP(B:B,'[1]Price List'!$B:$B,'[1]Price List'!$A:$A)</f>
        <v>Speck</v>
      </c>
    </row>
    <row r="231" spans="1:160" s="9" customFormat="1" x14ac:dyDescent="0.2">
      <c r="A231" s="23" t="s">
        <v>599</v>
      </c>
      <c r="B231" s="23">
        <v>848709082862</v>
      </c>
      <c r="C231" s="9" t="s">
        <v>48</v>
      </c>
      <c r="D231" s="9" t="e">
        <v>#N/A</v>
      </c>
      <c r="E231" s="9" t="e">
        <v>#N/A</v>
      </c>
      <c r="F231" s="9" t="e">
        <v>#N/A</v>
      </c>
      <c r="G231" s="9" t="s">
        <v>692</v>
      </c>
      <c r="H231" s="12" t="s">
        <v>49</v>
      </c>
      <c r="I231" s="11">
        <v>1099</v>
      </c>
      <c r="J231" s="11">
        <v>568.45000000000005</v>
      </c>
      <c r="K231" s="62">
        <v>0</v>
      </c>
      <c r="L231" s="12">
        <v>0</v>
      </c>
      <c r="M231" s="13" t="s">
        <v>467</v>
      </c>
      <c r="N231" s="13" t="s">
        <v>656</v>
      </c>
      <c r="O231" s="27" t="s">
        <v>50</v>
      </c>
      <c r="P231" s="12">
        <v>0</v>
      </c>
      <c r="Q231" s="12">
        <v>0</v>
      </c>
      <c r="R231" s="12">
        <v>0</v>
      </c>
      <c r="S231" s="12">
        <v>0</v>
      </c>
      <c r="T231" s="12">
        <v>1</v>
      </c>
      <c r="U231" s="12">
        <v>0</v>
      </c>
      <c r="V231" s="12">
        <v>1</v>
      </c>
      <c r="W231" s="12">
        <v>0</v>
      </c>
      <c r="X231" s="12">
        <v>0</v>
      </c>
      <c r="Y231" s="12">
        <v>0</v>
      </c>
      <c r="Z231" s="12">
        <v>0</v>
      </c>
      <c r="AA231" s="12">
        <v>0</v>
      </c>
      <c r="AB231" s="12">
        <v>0</v>
      </c>
      <c r="AC231" s="12">
        <v>1</v>
      </c>
      <c r="AD231" s="12">
        <v>0</v>
      </c>
      <c r="AE231" s="12">
        <v>0</v>
      </c>
      <c r="AF231" s="12">
        <v>0</v>
      </c>
      <c r="AG231" s="12">
        <v>0</v>
      </c>
      <c r="AH231" s="12">
        <v>0</v>
      </c>
      <c r="AI231" s="12">
        <v>0</v>
      </c>
      <c r="AJ231" s="12">
        <v>0</v>
      </c>
      <c r="AK231" s="12">
        <v>1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2">
        <v>0</v>
      </c>
      <c r="AW231" s="12">
        <v>1</v>
      </c>
      <c r="AX231" s="12">
        <v>0</v>
      </c>
      <c r="AY231" s="12">
        <v>0</v>
      </c>
      <c r="AZ231" s="12">
        <v>0</v>
      </c>
      <c r="BA231" s="12">
        <v>0</v>
      </c>
      <c r="BB231" s="12">
        <v>0</v>
      </c>
      <c r="BC231" s="12">
        <v>0</v>
      </c>
      <c r="BD231" s="12">
        <v>0</v>
      </c>
      <c r="BE231" s="12">
        <v>0</v>
      </c>
      <c r="BF231" s="12">
        <v>0</v>
      </c>
      <c r="BG231" s="12">
        <v>0</v>
      </c>
      <c r="BH231" s="12">
        <v>0</v>
      </c>
      <c r="BI231" s="12">
        <v>0</v>
      </c>
      <c r="BJ231" s="12">
        <v>0</v>
      </c>
      <c r="BK231" s="12">
        <v>0</v>
      </c>
      <c r="BL231" s="12">
        <v>0</v>
      </c>
      <c r="BM231" s="12">
        <v>0</v>
      </c>
      <c r="BN231" s="12">
        <v>0</v>
      </c>
      <c r="BO231" s="12">
        <v>0</v>
      </c>
      <c r="BP231" s="12">
        <v>0</v>
      </c>
      <c r="BQ231" s="12">
        <v>0</v>
      </c>
      <c r="BR231" s="12">
        <v>0</v>
      </c>
      <c r="BS231" s="12">
        <v>0</v>
      </c>
      <c r="BT231" s="12">
        <v>0</v>
      </c>
      <c r="BU231" s="12">
        <v>0</v>
      </c>
      <c r="BV231" s="12">
        <v>0</v>
      </c>
      <c r="BW231" s="12">
        <v>0</v>
      </c>
      <c r="BX231" s="12">
        <v>0</v>
      </c>
      <c r="BY231" s="12">
        <v>0</v>
      </c>
      <c r="BZ231" s="12">
        <v>0</v>
      </c>
      <c r="CA231" s="12">
        <v>0</v>
      </c>
      <c r="CB231" s="12">
        <v>0</v>
      </c>
      <c r="CC231" s="12">
        <v>0</v>
      </c>
      <c r="CD231" s="12">
        <v>0</v>
      </c>
      <c r="CE231" s="12">
        <v>0</v>
      </c>
      <c r="CF231" s="12">
        <v>0</v>
      </c>
      <c r="CG231" s="12">
        <v>0</v>
      </c>
      <c r="CH231" s="12">
        <v>0</v>
      </c>
      <c r="CI231" s="12">
        <v>0</v>
      </c>
      <c r="CJ231" s="12">
        <v>0</v>
      </c>
      <c r="CK231" s="12">
        <v>0</v>
      </c>
      <c r="CL231" s="12">
        <v>0</v>
      </c>
      <c r="CM231" s="12">
        <v>0</v>
      </c>
      <c r="CN231" s="12">
        <v>0</v>
      </c>
      <c r="CO231" s="12">
        <v>0</v>
      </c>
      <c r="CP231" s="12">
        <v>0</v>
      </c>
      <c r="CQ231" s="12">
        <v>0</v>
      </c>
      <c r="CR231" s="12">
        <v>0</v>
      </c>
      <c r="CS231" s="12">
        <v>0</v>
      </c>
      <c r="CT231" s="12">
        <v>0</v>
      </c>
      <c r="CU231" s="12">
        <v>0</v>
      </c>
      <c r="CV231" s="12">
        <v>0</v>
      </c>
      <c r="CW231" s="12">
        <v>0</v>
      </c>
      <c r="CX231" s="12">
        <v>0</v>
      </c>
      <c r="CY231" s="12">
        <v>0</v>
      </c>
      <c r="CZ231" s="12">
        <v>0</v>
      </c>
      <c r="DA231" s="12">
        <v>0</v>
      </c>
      <c r="DB231" s="12">
        <v>0</v>
      </c>
      <c r="DC231" s="12">
        <v>0</v>
      </c>
      <c r="DD231" s="12">
        <v>0</v>
      </c>
      <c r="DE231" s="12">
        <v>0</v>
      </c>
      <c r="DF231" s="12">
        <v>0</v>
      </c>
      <c r="DG231" s="12">
        <v>0</v>
      </c>
      <c r="DH231" s="12">
        <v>0</v>
      </c>
      <c r="DI231" s="12">
        <v>0</v>
      </c>
      <c r="DJ231" s="12">
        <v>0</v>
      </c>
      <c r="DK231" s="12">
        <v>0</v>
      </c>
      <c r="DL231" s="12">
        <v>0</v>
      </c>
      <c r="DM231" s="12">
        <v>0</v>
      </c>
      <c r="DN231" s="12">
        <v>0</v>
      </c>
      <c r="DO231" s="12">
        <v>0</v>
      </c>
      <c r="DP231" s="12">
        <v>0</v>
      </c>
      <c r="DQ231" s="12">
        <v>0</v>
      </c>
      <c r="DR231" s="12">
        <v>0</v>
      </c>
      <c r="DS231" s="12">
        <v>0</v>
      </c>
      <c r="DT231" s="12">
        <v>0</v>
      </c>
      <c r="DU231" s="12">
        <v>0</v>
      </c>
      <c r="DV231" s="12">
        <v>0</v>
      </c>
      <c r="DW231" s="12">
        <v>0</v>
      </c>
      <c r="DX231" s="12">
        <v>0</v>
      </c>
      <c r="DY231" s="12">
        <v>0</v>
      </c>
      <c r="DZ231" s="12">
        <v>0</v>
      </c>
      <c r="EA231" s="12">
        <v>0</v>
      </c>
      <c r="EB231" s="12">
        <v>0</v>
      </c>
      <c r="EC231" s="12">
        <v>0</v>
      </c>
      <c r="ED231" s="12">
        <v>0</v>
      </c>
      <c r="EE231" s="12">
        <v>0</v>
      </c>
      <c r="EF231" s="12">
        <v>0</v>
      </c>
      <c r="EG231" s="12">
        <v>0</v>
      </c>
      <c r="EH231" s="12">
        <v>0</v>
      </c>
      <c r="EI231" s="12">
        <v>0</v>
      </c>
      <c r="EJ231" s="12">
        <v>0</v>
      </c>
      <c r="EK231" s="12">
        <v>0</v>
      </c>
      <c r="EL231" s="12">
        <v>0</v>
      </c>
      <c r="EM231" s="12">
        <v>0</v>
      </c>
      <c r="EN231" s="12">
        <v>0</v>
      </c>
      <c r="EO231" s="12">
        <v>0</v>
      </c>
      <c r="EP231" s="12" t="str">
        <f t="shared" si="49"/>
        <v>🔴 Sin venta</v>
      </c>
      <c r="EQ231" s="23">
        <f t="shared" si="50"/>
        <v>0</v>
      </c>
      <c r="ER231" s="19">
        <f t="shared" si="48"/>
        <v>0</v>
      </c>
      <c r="ES231" s="12">
        <f t="shared" si="47"/>
        <v>0</v>
      </c>
      <c r="ET231" s="23">
        <f t="shared" si="52"/>
        <v>0</v>
      </c>
      <c r="EU231" s="23">
        <f t="shared" si="51"/>
        <v>0</v>
      </c>
      <c r="EV231" s="23">
        <f t="shared" si="53"/>
        <v>0</v>
      </c>
      <c r="EW231" s="23"/>
      <c r="EX231" s="12">
        <v>0</v>
      </c>
      <c r="EY231" s="19" cm="1">
        <f t="array" ref="EY231:FC231">VLOOKUP(_xlfn.SINGLE(B:B),'[1]Price List'!$B:$N,{8,4,5,6,7},0)</f>
        <v>568.45000000000005</v>
      </c>
      <c r="EZ231" s="9" t="str">
        <v>Speck Presidio 2 Pro Case - Blue iPhone SE2</v>
      </c>
      <c r="FA231" s="12" t="str">
        <v>Cases iPhone</v>
      </c>
      <c r="FB231" s="12" t="str">
        <v>iPhone SE</v>
      </c>
      <c r="FC231" s="12" t="str">
        <v>iPhone SE 2020 -2022</v>
      </c>
      <c r="FD231" s="23" t="str">
        <f>_xlfn.XLOOKUP(B:B,'[1]Price List'!$B:$B,'[1]Price List'!$A:$A)</f>
        <v>Speck</v>
      </c>
    </row>
    <row r="232" spans="1:160" s="9" customFormat="1" x14ac:dyDescent="0.2">
      <c r="A232" s="23" t="s">
        <v>599</v>
      </c>
      <c r="B232" s="23">
        <v>848709091239</v>
      </c>
      <c r="C232" s="9" t="s">
        <v>84</v>
      </c>
      <c r="D232" s="9" t="e">
        <v>#N/A</v>
      </c>
      <c r="E232" s="9" t="e">
        <v>#N/A</v>
      </c>
      <c r="F232" s="9" t="e">
        <v>#N/A</v>
      </c>
      <c r="G232" s="9" t="s">
        <v>304</v>
      </c>
      <c r="H232" s="12" t="s">
        <v>85</v>
      </c>
      <c r="I232" s="11">
        <v>1099</v>
      </c>
      <c r="J232" s="11">
        <v>568.45000000000005</v>
      </c>
      <c r="K232" s="62">
        <v>0</v>
      </c>
      <c r="L232" s="12">
        <v>0</v>
      </c>
      <c r="M232" s="13" t="s">
        <v>467</v>
      </c>
      <c r="N232" s="13" t="s">
        <v>656</v>
      </c>
      <c r="O232" s="27">
        <v>44175</v>
      </c>
      <c r="P232" s="12">
        <v>1</v>
      </c>
      <c r="Q232" s="12">
        <v>0</v>
      </c>
      <c r="R232" s="12">
        <v>0</v>
      </c>
      <c r="S232" s="12">
        <v>0</v>
      </c>
      <c r="T232" s="12">
        <v>1</v>
      </c>
      <c r="U232" s="12">
        <v>0</v>
      </c>
      <c r="V232" s="12">
        <v>0</v>
      </c>
      <c r="W232" s="12">
        <v>0</v>
      </c>
      <c r="X232" s="12">
        <v>0</v>
      </c>
      <c r="Y232" s="12">
        <v>0</v>
      </c>
      <c r="Z232" s="12">
        <v>0</v>
      </c>
      <c r="AA232" s="12">
        <v>0</v>
      </c>
      <c r="AB232" s="12">
        <v>0</v>
      </c>
      <c r="AC232" s="12">
        <v>1</v>
      </c>
      <c r="AD232" s="12">
        <v>0</v>
      </c>
      <c r="AE232" s="12">
        <v>0</v>
      </c>
      <c r="AF232" s="12">
        <v>0</v>
      </c>
      <c r="AG232" s="12">
        <v>0</v>
      </c>
      <c r="AH232" s="12">
        <v>0</v>
      </c>
      <c r="AI232" s="12">
        <v>0</v>
      </c>
      <c r="AJ232" s="12">
        <v>0</v>
      </c>
      <c r="AK232" s="12">
        <v>0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2">
        <v>0</v>
      </c>
      <c r="AW232" s="12">
        <v>0</v>
      </c>
      <c r="AX232" s="12">
        <v>0</v>
      </c>
      <c r="AY232" s="12">
        <v>0</v>
      </c>
      <c r="AZ232" s="12">
        <v>0</v>
      </c>
      <c r="BA232" s="12">
        <v>0</v>
      </c>
      <c r="BB232" s="12">
        <v>0</v>
      </c>
      <c r="BC232" s="12">
        <v>0</v>
      </c>
      <c r="BD232" s="12">
        <v>0</v>
      </c>
      <c r="BE232" s="12">
        <v>0</v>
      </c>
      <c r="BF232" s="12">
        <v>0</v>
      </c>
      <c r="BG232" s="12">
        <v>0</v>
      </c>
      <c r="BH232" s="12">
        <v>0</v>
      </c>
      <c r="BI232" s="12">
        <v>0</v>
      </c>
      <c r="BJ232" s="12">
        <v>0</v>
      </c>
      <c r="BK232" s="12">
        <v>0</v>
      </c>
      <c r="BL232" s="12">
        <v>0</v>
      </c>
      <c r="BM232" s="12">
        <v>1</v>
      </c>
      <c r="BN232" s="12">
        <v>0</v>
      </c>
      <c r="BO232" s="12">
        <v>0</v>
      </c>
      <c r="BP232" s="12">
        <v>0</v>
      </c>
      <c r="BQ232" s="12">
        <v>0</v>
      </c>
      <c r="BR232" s="12">
        <v>0</v>
      </c>
      <c r="BS232" s="12">
        <v>0</v>
      </c>
      <c r="BT232" s="12">
        <v>0</v>
      </c>
      <c r="BU232" s="12">
        <v>0</v>
      </c>
      <c r="BV232" s="12">
        <v>0</v>
      </c>
      <c r="BW232" s="12">
        <v>0</v>
      </c>
      <c r="BX232" s="12">
        <v>0</v>
      </c>
      <c r="BY232" s="12">
        <v>0</v>
      </c>
      <c r="BZ232" s="12">
        <v>0</v>
      </c>
      <c r="CA232" s="12">
        <v>0</v>
      </c>
      <c r="CB232" s="12">
        <v>0</v>
      </c>
      <c r="CC232" s="12">
        <v>0</v>
      </c>
      <c r="CD232" s="12">
        <v>0</v>
      </c>
      <c r="CE232" s="12">
        <v>0</v>
      </c>
      <c r="CF232" s="12">
        <v>0</v>
      </c>
      <c r="CG232" s="12">
        <v>0</v>
      </c>
      <c r="CH232" s="12">
        <v>0</v>
      </c>
      <c r="CI232" s="12">
        <v>0</v>
      </c>
      <c r="CJ232" s="12">
        <v>0</v>
      </c>
      <c r="CK232" s="12">
        <v>0</v>
      </c>
      <c r="CL232" s="12">
        <v>0</v>
      </c>
      <c r="CM232" s="12">
        <v>0</v>
      </c>
      <c r="CN232" s="12">
        <v>0</v>
      </c>
      <c r="CO232" s="12">
        <v>0</v>
      </c>
      <c r="CP232" s="12">
        <v>0</v>
      </c>
      <c r="CQ232" s="12">
        <v>0</v>
      </c>
      <c r="CR232" s="12">
        <v>0</v>
      </c>
      <c r="CS232" s="12">
        <v>0</v>
      </c>
      <c r="CT232" s="12">
        <v>0</v>
      </c>
      <c r="CU232" s="12">
        <v>0</v>
      </c>
      <c r="CV232" s="12">
        <v>0</v>
      </c>
      <c r="CW232" s="12">
        <v>0</v>
      </c>
      <c r="CX232" s="12">
        <v>0</v>
      </c>
      <c r="CY232" s="12">
        <v>0</v>
      </c>
      <c r="CZ232" s="12">
        <v>0</v>
      </c>
      <c r="DA232" s="12">
        <v>0</v>
      </c>
      <c r="DB232" s="12">
        <v>0</v>
      </c>
      <c r="DC232" s="12">
        <v>0</v>
      </c>
      <c r="DD232" s="12">
        <v>0</v>
      </c>
      <c r="DE232" s="12">
        <v>0</v>
      </c>
      <c r="DF232" s="12">
        <v>0</v>
      </c>
      <c r="DG232" s="12">
        <v>0</v>
      </c>
      <c r="DH232" s="12">
        <v>0</v>
      </c>
      <c r="DI232" s="12">
        <v>0</v>
      </c>
      <c r="DJ232" s="12">
        <v>0</v>
      </c>
      <c r="DK232" s="12">
        <v>0</v>
      </c>
      <c r="DL232" s="12">
        <v>0</v>
      </c>
      <c r="DM232" s="12">
        <v>0</v>
      </c>
      <c r="DN232" s="12">
        <v>0</v>
      </c>
      <c r="DO232" s="12">
        <v>0</v>
      </c>
      <c r="DP232" s="12">
        <v>0</v>
      </c>
      <c r="DQ232" s="12">
        <v>0</v>
      </c>
      <c r="DR232" s="12">
        <v>0</v>
      </c>
      <c r="DS232" s="12">
        <v>0</v>
      </c>
      <c r="DT232" s="12">
        <v>0</v>
      </c>
      <c r="DU232" s="12">
        <v>0</v>
      </c>
      <c r="DV232" s="12">
        <v>0</v>
      </c>
      <c r="DW232" s="12">
        <v>0</v>
      </c>
      <c r="DX232" s="12">
        <v>0</v>
      </c>
      <c r="DY232" s="12">
        <v>0</v>
      </c>
      <c r="DZ232" s="12">
        <v>0</v>
      </c>
      <c r="EA232" s="12">
        <v>0</v>
      </c>
      <c r="EB232" s="12">
        <v>0</v>
      </c>
      <c r="EC232" s="12">
        <v>0</v>
      </c>
      <c r="ED232" s="12">
        <v>0</v>
      </c>
      <c r="EE232" s="12">
        <v>0</v>
      </c>
      <c r="EF232" s="12">
        <v>0</v>
      </c>
      <c r="EG232" s="12">
        <v>0</v>
      </c>
      <c r="EH232" s="12">
        <v>0</v>
      </c>
      <c r="EI232" s="12">
        <v>0</v>
      </c>
      <c r="EJ232" s="12">
        <v>0</v>
      </c>
      <c r="EK232" s="12">
        <v>0</v>
      </c>
      <c r="EL232" s="12">
        <v>0</v>
      </c>
      <c r="EM232" s="12">
        <v>0</v>
      </c>
      <c r="EN232" s="12">
        <v>0</v>
      </c>
      <c r="EO232" s="12">
        <v>0</v>
      </c>
      <c r="EP232" s="12" t="str">
        <f t="shared" si="49"/>
        <v>🔴 Sin venta</v>
      </c>
      <c r="EQ232" s="23">
        <f t="shared" si="50"/>
        <v>0</v>
      </c>
      <c r="ER232" s="19">
        <f t="shared" si="48"/>
        <v>0</v>
      </c>
      <c r="ES232" s="12">
        <f t="shared" si="47"/>
        <v>0</v>
      </c>
      <c r="ET232" s="23">
        <f t="shared" si="52"/>
        <v>0</v>
      </c>
      <c r="EU232" s="23">
        <f t="shared" si="51"/>
        <v>0</v>
      </c>
      <c r="EV232" s="23">
        <f t="shared" si="53"/>
        <v>0</v>
      </c>
      <c r="EW232" s="23"/>
      <c r="EX232" s="12">
        <v>1</v>
      </c>
      <c r="EY232" s="19" cm="1">
        <f t="array" ref="EY232:FC232">VLOOKUP(_xlfn.SINGLE(B:B),'[1]Price List'!$B:$N,{8,4,5,6,7},0)</f>
        <v>568.45000000000005</v>
      </c>
      <c r="EZ232" s="9" t="str">
        <v>Speck Presidio 2 Pro - Black iPhone 12 Pro</v>
      </c>
      <c r="FA232" s="12" t="str">
        <v>Cases iPhone</v>
      </c>
      <c r="FB232" s="12" t="str">
        <v>iPhone 12</v>
      </c>
      <c r="FC232" s="12" t="str">
        <v>iPhone 12 / 12 Pro</v>
      </c>
      <c r="FD232" s="23" t="str">
        <f>_xlfn.XLOOKUP(B:B,'[1]Price List'!$B:$B,'[1]Price List'!$A:$A)</f>
        <v>Speck</v>
      </c>
    </row>
    <row r="233" spans="1:160" s="9" customFormat="1" x14ac:dyDescent="0.2">
      <c r="A233" s="23" t="s">
        <v>599</v>
      </c>
      <c r="B233" s="23">
        <v>840168501038</v>
      </c>
      <c r="C233" s="9" t="s">
        <v>119</v>
      </c>
      <c r="D233" s="9" t="e">
        <v>#N/A</v>
      </c>
      <c r="E233" s="9" t="e">
        <v>#N/A</v>
      </c>
      <c r="F233" s="9" t="e">
        <v>#N/A</v>
      </c>
      <c r="G233" s="9" t="s">
        <v>318</v>
      </c>
      <c r="H233" s="12" t="s">
        <v>120</v>
      </c>
      <c r="I233" s="11">
        <v>1649</v>
      </c>
      <c r="J233" s="11">
        <v>852.93</v>
      </c>
      <c r="K233" s="62">
        <v>0</v>
      </c>
      <c r="L233" s="12">
        <v>0</v>
      </c>
      <c r="M233" s="13" t="s">
        <v>467</v>
      </c>
      <c r="N233" s="13" t="s">
        <v>656</v>
      </c>
      <c r="O233" s="27" t="s">
        <v>121</v>
      </c>
      <c r="P233" s="12">
        <v>0</v>
      </c>
      <c r="Q233" s="12">
        <v>0</v>
      </c>
      <c r="R233" s="12">
        <v>1</v>
      </c>
      <c r="S233" s="12">
        <v>0</v>
      </c>
      <c r="T233" s="12">
        <v>0</v>
      </c>
      <c r="U233" s="12">
        <v>1</v>
      </c>
      <c r="V233" s="12">
        <v>0</v>
      </c>
      <c r="W233" s="12">
        <v>0</v>
      </c>
      <c r="X233" s="12">
        <v>0</v>
      </c>
      <c r="Y233" s="12">
        <v>0</v>
      </c>
      <c r="Z233" s="12">
        <v>0</v>
      </c>
      <c r="AA233" s="12">
        <v>0</v>
      </c>
      <c r="AB233" s="12">
        <v>0</v>
      </c>
      <c r="AC233" s="12">
        <v>0</v>
      </c>
      <c r="AD233" s="12">
        <v>0</v>
      </c>
      <c r="AE233" s="12">
        <v>0</v>
      </c>
      <c r="AF233" s="12">
        <v>0</v>
      </c>
      <c r="AG233" s="12">
        <v>0</v>
      </c>
      <c r="AH233" s="12">
        <v>0</v>
      </c>
      <c r="AI233" s="12">
        <v>0</v>
      </c>
      <c r="AJ233" s="12">
        <v>0</v>
      </c>
      <c r="AK233" s="12">
        <v>0</v>
      </c>
      <c r="AL233" s="12">
        <v>0</v>
      </c>
      <c r="AM233" s="12">
        <v>0</v>
      </c>
      <c r="AN233" s="12">
        <v>0</v>
      </c>
      <c r="AO233" s="12">
        <v>0</v>
      </c>
      <c r="AP233" s="12">
        <v>0</v>
      </c>
      <c r="AQ233" s="12">
        <v>0</v>
      </c>
      <c r="AR233" s="12">
        <v>0</v>
      </c>
      <c r="AS233" s="12">
        <v>0</v>
      </c>
      <c r="AT233" s="12">
        <v>0</v>
      </c>
      <c r="AU233" s="12">
        <v>0</v>
      </c>
      <c r="AV233" s="12">
        <v>0</v>
      </c>
      <c r="AW233" s="12">
        <v>0</v>
      </c>
      <c r="AX233" s="12">
        <v>0</v>
      </c>
      <c r="AY233" s="12">
        <v>0</v>
      </c>
      <c r="AZ233" s="12">
        <v>0</v>
      </c>
      <c r="BA233" s="12">
        <v>0</v>
      </c>
      <c r="BB233" s="12">
        <v>0</v>
      </c>
      <c r="BC233" s="12">
        <v>0</v>
      </c>
      <c r="BD233" s="12">
        <v>0</v>
      </c>
      <c r="BE233" s="12">
        <v>0</v>
      </c>
      <c r="BF233" s="12">
        <v>0</v>
      </c>
      <c r="BG233" s="12">
        <v>0</v>
      </c>
      <c r="BH233" s="12">
        <v>0</v>
      </c>
      <c r="BI233" s="12">
        <v>0</v>
      </c>
      <c r="BJ233" s="12">
        <v>0</v>
      </c>
      <c r="BK233" s="12">
        <v>0</v>
      </c>
      <c r="BL233" s="12">
        <v>0</v>
      </c>
      <c r="BM233" s="12">
        <v>0</v>
      </c>
      <c r="BN233" s="12">
        <v>0</v>
      </c>
      <c r="BO233" s="12">
        <v>0</v>
      </c>
      <c r="BP233" s="12">
        <v>0</v>
      </c>
      <c r="BQ233" s="12">
        <v>0</v>
      </c>
      <c r="BR233" s="12">
        <v>0</v>
      </c>
      <c r="BS233" s="12">
        <v>0</v>
      </c>
      <c r="BT233" s="12">
        <v>0</v>
      </c>
      <c r="BU233" s="12">
        <v>0</v>
      </c>
      <c r="BV233" s="12">
        <v>0</v>
      </c>
      <c r="BW233" s="12">
        <v>0</v>
      </c>
      <c r="BX233" s="12">
        <v>0</v>
      </c>
      <c r="BY233" s="12">
        <v>0</v>
      </c>
      <c r="BZ233" s="12">
        <v>0</v>
      </c>
      <c r="CA233" s="12">
        <v>0</v>
      </c>
      <c r="CB233" s="12">
        <v>0</v>
      </c>
      <c r="CC233" s="12">
        <v>0</v>
      </c>
      <c r="CD233" s="12">
        <v>0</v>
      </c>
      <c r="CE233" s="12">
        <v>0</v>
      </c>
      <c r="CF233" s="12">
        <v>0</v>
      </c>
      <c r="CG233" s="12">
        <v>0</v>
      </c>
      <c r="CH233" s="12">
        <v>0</v>
      </c>
      <c r="CI233" s="12">
        <v>0</v>
      </c>
      <c r="CJ233" s="12">
        <v>0</v>
      </c>
      <c r="CK233" s="12">
        <v>0</v>
      </c>
      <c r="CL233" s="12">
        <v>0</v>
      </c>
      <c r="CM233" s="12">
        <v>0</v>
      </c>
      <c r="CN233" s="12">
        <v>0</v>
      </c>
      <c r="CO233" s="12">
        <v>0</v>
      </c>
      <c r="CP233" s="12">
        <v>0</v>
      </c>
      <c r="CQ233" s="12">
        <v>0</v>
      </c>
      <c r="CR233" s="12">
        <v>0</v>
      </c>
      <c r="CS233" s="12">
        <v>0</v>
      </c>
      <c r="CT233" s="12">
        <v>0</v>
      </c>
      <c r="CU233" s="12">
        <v>0</v>
      </c>
      <c r="CV233" s="12">
        <v>0</v>
      </c>
      <c r="CW233" s="12">
        <v>0</v>
      </c>
      <c r="CX233" s="12">
        <v>0</v>
      </c>
      <c r="CY233" s="12">
        <v>0</v>
      </c>
      <c r="CZ233" s="12">
        <v>0</v>
      </c>
      <c r="DA233" s="12">
        <v>0</v>
      </c>
      <c r="DB233" s="12">
        <v>0</v>
      </c>
      <c r="DC233" s="12">
        <v>0</v>
      </c>
      <c r="DD233" s="12">
        <v>0</v>
      </c>
      <c r="DE233" s="12">
        <v>0</v>
      </c>
      <c r="DF233" s="12">
        <v>0</v>
      </c>
      <c r="DG233" s="12">
        <v>0</v>
      </c>
      <c r="DH233" s="12">
        <v>0</v>
      </c>
      <c r="DI233" s="12">
        <v>0</v>
      </c>
      <c r="DJ233" s="12">
        <v>0</v>
      </c>
      <c r="DK233" s="12">
        <v>0</v>
      </c>
      <c r="DL233" s="12">
        <v>0</v>
      </c>
      <c r="DM233" s="12">
        <v>0</v>
      </c>
      <c r="DN233" s="12">
        <v>0</v>
      </c>
      <c r="DO233" s="12">
        <v>0</v>
      </c>
      <c r="DP233" s="12">
        <v>0</v>
      </c>
      <c r="DQ233" s="12">
        <v>0</v>
      </c>
      <c r="DR233" s="12">
        <v>0</v>
      </c>
      <c r="DS233" s="12">
        <v>0</v>
      </c>
      <c r="DT233" s="12">
        <v>0</v>
      </c>
      <c r="DU233" s="12">
        <v>0</v>
      </c>
      <c r="DV233" s="12">
        <v>0</v>
      </c>
      <c r="DW233" s="12">
        <v>0</v>
      </c>
      <c r="DX233" s="12">
        <v>0</v>
      </c>
      <c r="DY233" s="12">
        <v>0</v>
      </c>
      <c r="DZ233" s="12">
        <v>0</v>
      </c>
      <c r="EA233" s="12">
        <v>0</v>
      </c>
      <c r="EB233" s="12">
        <v>0</v>
      </c>
      <c r="EC233" s="12">
        <v>0</v>
      </c>
      <c r="ED233" s="12">
        <v>0</v>
      </c>
      <c r="EE233" s="12">
        <v>0</v>
      </c>
      <c r="EF233" s="12">
        <v>0</v>
      </c>
      <c r="EG233" s="12">
        <v>0</v>
      </c>
      <c r="EH233" s="12">
        <v>0</v>
      </c>
      <c r="EI233" s="12">
        <v>0</v>
      </c>
      <c r="EJ233" s="12">
        <v>0</v>
      </c>
      <c r="EK233" s="12">
        <v>0</v>
      </c>
      <c r="EL233" s="12">
        <v>0</v>
      </c>
      <c r="EM233" s="12">
        <v>0</v>
      </c>
      <c r="EN233" s="12">
        <v>0</v>
      </c>
      <c r="EO233" s="12">
        <v>0</v>
      </c>
      <c r="EP233" s="12" t="str">
        <f t="shared" si="49"/>
        <v>🔴 Sin venta</v>
      </c>
      <c r="EQ233" s="23">
        <f t="shared" si="50"/>
        <v>0</v>
      </c>
      <c r="ER233" s="19">
        <f t="shared" si="48"/>
        <v>0</v>
      </c>
      <c r="ES233" s="12">
        <f t="shared" si="47"/>
        <v>0</v>
      </c>
      <c r="ET233" s="23">
        <f t="shared" si="52"/>
        <v>0</v>
      </c>
      <c r="EU233" s="23">
        <f t="shared" si="51"/>
        <v>0</v>
      </c>
      <c r="EV233" s="23">
        <f t="shared" si="53"/>
        <v>0</v>
      </c>
      <c r="EW233" s="23"/>
      <c r="EX233" s="12">
        <v>2</v>
      </c>
      <c r="EY233" s="19" cm="1">
        <f t="array" ref="EY233:FC233">VLOOKUP(_xlfn.SINGLE(B:B),'[1]Price List'!$B:$N,{8,4,5,6,7},0)</f>
        <v>852.93</v>
      </c>
      <c r="EZ233" s="9" t="str">
        <v>Speck Balance Folio with Microban for iPad Pro 12.9" 4/M1 - Black</v>
      </c>
      <c r="FA233" s="12" t="str">
        <v>Cases iPad</v>
      </c>
      <c r="FB233" s="12" t="str">
        <v>iPad</v>
      </c>
      <c r="FC233" s="12" t="str">
        <v>iPad Pro 12.9" 4/5 Cases</v>
      </c>
      <c r="FD233" s="23" t="str">
        <f>_xlfn.XLOOKUP(B:B,'[1]Price List'!$B:$B,'[1]Price List'!$A:$A)</f>
        <v>Speck</v>
      </c>
    </row>
    <row r="234" spans="1:160" s="9" customFormat="1" x14ac:dyDescent="0.2">
      <c r="A234" s="23" t="s">
        <v>599</v>
      </c>
      <c r="B234" s="23">
        <v>848709091345</v>
      </c>
      <c r="C234" s="9" t="s">
        <v>86</v>
      </c>
      <c r="D234" s="9" t="e">
        <v>#N/A</v>
      </c>
      <c r="E234" s="9" t="e">
        <v>#N/A</v>
      </c>
      <c r="F234" s="9" t="e">
        <v>#N/A</v>
      </c>
      <c r="G234" s="9" t="s">
        <v>691</v>
      </c>
      <c r="H234" s="12" t="s">
        <v>87</v>
      </c>
      <c r="I234" s="12">
        <v>999</v>
      </c>
      <c r="J234" s="11">
        <v>516.72</v>
      </c>
      <c r="K234" s="62">
        <v>0</v>
      </c>
      <c r="L234" s="12">
        <v>0</v>
      </c>
      <c r="M234" s="13" t="s">
        <v>467</v>
      </c>
      <c r="N234" s="13" t="s">
        <v>656</v>
      </c>
      <c r="O234" s="27">
        <v>44175</v>
      </c>
      <c r="P234" s="12">
        <v>0</v>
      </c>
      <c r="Q234" s="12">
        <v>0</v>
      </c>
      <c r="R234" s="12">
        <v>0</v>
      </c>
      <c r="S234" s="12">
        <v>0</v>
      </c>
      <c r="T234" s="12">
        <v>0</v>
      </c>
      <c r="U234" s="12">
        <v>0</v>
      </c>
      <c r="V234" s="12">
        <v>0</v>
      </c>
      <c r="W234" s="12">
        <v>0</v>
      </c>
      <c r="X234" s="12">
        <v>0</v>
      </c>
      <c r="Y234" s="12">
        <v>0</v>
      </c>
      <c r="Z234" s="12">
        <v>0</v>
      </c>
      <c r="AA234" s="12">
        <v>0</v>
      </c>
      <c r="AB234" s="12">
        <v>0</v>
      </c>
      <c r="AC234" s="12">
        <v>0</v>
      </c>
      <c r="AD234" s="12">
        <v>0</v>
      </c>
      <c r="AE234" s="12">
        <v>0</v>
      </c>
      <c r="AF234" s="12">
        <v>1</v>
      </c>
      <c r="AG234" s="12">
        <v>0</v>
      </c>
      <c r="AH234" s="12">
        <v>0</v>
      </c>
      <c r="AI234" s="12">
        <v>0</v>
      </c>
      <c r="AJ234" s="12">
        <v>0</v>
      </c>
      <c r="AK234" s="12">
        <v>0</v>
      </c>
      <c r="AL234" s="12">
        <v>0</v>
      </c>
      <c r="AM234" s="12">
        <v>0</v>
      </c>
      <c r="AN234" s="12">
        <v>1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2">
        <v>0</v>
      </c>
      <c r="AW234" s="12">
        <v>0</v>
      </c>
      <c r="AX234" s="12">
        <v>0</v>
      </c>
      <c r="AY234" s="12">
        <v>0</v>
      </c>
      <c r="AZ234" s="12">
        <v>0</v>
      </c>
      <c r="BA234" s="12">
        <v>0</v>
      </c>
      <c r="BB234" s="12">
        <v>0</v>
      </c>
      <c r="BC234" s="12">
        <v>0</v>
      </c>
      <c r="BD234" s="12">
        <v>0</v>
      </c>
      <c r="BE234" s="12">
        <v>0</v>
      </c>
      <c r="BF234" s="12">
        <v>0</v>
      </c>
      <c r="BG234" s="12">
        <v>0</v>
      </c>
      <c r="BH234" s="12">
        <v>0</v>
      </c>
      <c r="BI234" s="12">
        <v>0</v>
      </c>
      <c r="BJ234" s="12">
        <v>0</v>
      </c>
      <c r="BK234" s="12">
        <v>0</v>
      </c>
      <c r="BL234" s="12">
        <v>0</v>
      </c>
      <c r="BM234" s="12">
        <v>0</v>
      </c>
      <c r="BN234" s="12">
        <v>0</v>
      </c>
      <c r="BO234" s="12">
        <v>0</v>
      </c>
      <c r="BP234" s="12">
        <v>0</v>
      </c>
      <c r="BQ234" s="12">
        <v>0</v>
      </c>
      <c r="BR234" s="12">
        <v>0</v>
      </c>
      <c r="BS234" s="12">
        <v>0</v>
      </c>
      <c r="BT234" s="12">
        <v>0</v>
      </c>
      <c r="BU234" s="12">
        <v>0</v>
      </c>
      <c r="BV234" s="12">
        <v>0</v>
      </c>
      <c r="BW234" s="12">
        <v>0</v>
      </c>
      <c r="BX234" s="12">
        <v>0</v>
      </c>
      <c r="BY234" s="12">
        <v>0</v>
      </c>
      <c r="BZ234" s="12">
        <v>0</v>
      </c>
      <c r="CA234" s="12">
        <v>0</v>
      </c>
      <c r="CB234" s="12">
        <v>0</v>
      </c>
      <c r="CC234" s="12">
        <v>0</v>
      </c>
      <c r="CD234" s="12">
        <v>0</v>
      </c>
      <c r="CE234" s="12">
        <v>0</v>
      </c>
      <c r="CF234" s="12">
        <v>0</v>
      </c>
      <c r="CG234" s="12">
        <v>0</v>
      </c>
      <c r="CH234" s="12">
        <v>0</v>
      </c>
      <c r="CI234" s="12">
        <v>0</v>
      </c>
      <c r="CJ234" s="12">
        <v>0</v>
      </c>
      <c r="CK234" s="12">
        <v>0</v>
      </c>
      <c r="CL234" s="12">
        <v>0</v>
      </c>
      <c r="CM234" s="12">
        <v>0</v>
      </c>
      <c r="CN234" s="12">
        <v>0</v>
      </c>
      <c r="CO234" s="12">
        <v>0</v>
      </c>
      <c r="CP234" s="12">
        <v>0</v>
      </c>
      <c r="CQ234" s="12">
        <v>0</v>
      </c>
      <c r="CR234" s="12">
        <v>0</v>
      </c>
      <c r="CS234" s="12">
        <v>0</v>
      </c>
      <c r="CT234" s="12">
        <v>0</v>
      </c>
      <c r="CU234" s="12">
        <v>0</v>
      </c>
      <c r="CV234" s="12">
        <v>0</v>
      </c>
      <c r="CW234" s="12">
        <v>0</v>
      </c>
      <c r="CX234" s="12">
        <v>0</v>
      </c>
      <c r="CY234" s="12">
        <v>0</v>
      </c>
      <c r="CZ234" s="12">
        <v>0</v>
      </c>
      <c r="DA234" s="12">
        <v>0</v>
      </c>
      <c r="DB234" s="12">
        <v>0</v>
      </c>
      <c r="DC234" s="12">
        <v>0</v>
      </c>
      <c r="DD234" s="12">
        <v>0</v>
      </c>
      <c r="DE234" s="12">
        <v>0</v>
      </c>
      <c r="DF234" s="12">
        <v>0</v>
      </c>
      <c r="DG234" s="12">
        <v>0</v>
      </c>
      <c r="DH234" s="12">
        <v>0</v>
      </c>
      <c r="DI234" s="12">
        <v>0</v>
      </c>
      <c r="DJ234" s="12">
        <v>0</v>
      </c>
      <c r="DK234" s="12">
        <v>0</v>
      </c>
      <c r="DL234" s="12">
        <v>0</v>
      </c>
      <c r="DM234" s="12">
        <v>0</v>
      </c>
      <c r="DN234" s="12">
        <v>0</v>
      </c>
      <c r="DO234" s="12">
        <v>0</v>
      </c>
      <c r="DP234" s="12">
        <v>0</v>
      </c>
      <c r="DQ234" s="12">
        <v>0</v>
      </c>
      <c r="DR234" s="12">
        <v>0</v>
      </c>
      <c r="DS234" s="12">
        <v>0</v>
      </c>
      <c r="DT234" s="12">
        <v>0</v>
      </c>
      <c r="DU234" s="12">
        <v>0</v>
      </c>
      <c r="DV234" s="12">
        <v>0</v>
      </c>
      <c r="DW234" s="12">
        <v>0</v>
      </c>
      <c r="DX234" s="12">
        <v>0</v>
      </c>
      <c r="DY234" s="12">
        <v>0</v>
      </c>
      <c r="DZ234" s="12">
        <v>0</v>
      </c>
      <c r="EA234" s="12">
        <v>0</v>
      </c>
      <c r="EB234" s="12">
        <v>0</v>
      </c>
      <c r="EC234" s="12">
        <v>0</v>
      </c>
      <c r="ED234" s="12">
        <v>0</v>
      </c>
      <c r="EE234" s="12">
        <v>0</v>
      </c>
      <c r="EF234" s="12">
        <v>0</v>
      </c>
      <c r="EG234" s="12">
        <v>0</v>
      </c>
      <c r="EH234" s="12">
        <v>0</v>
      </c>
      <c r="EI234" s="12">
        <v>0</v>
      </c>
      <c r="EJ234" s="12">
        <v>0</v>
      </c>
      <c r="EK234" s="12">
        <v>0</v>
      </c>
      <c r="EL234" s="12">
        <v>0</v>
      </c>
      <c r="EM234" s="12">
        <v>0</v>
      </c>
      <c r="EN234" s="12">
        <v>0</v>
      </c>
      <c r="EO234" s="12">
        <v>0</v>
      </c>
      <c r="EP234" s="12" t="str">
        <f t="shared" si="49"/>
        <v>🔴 Sin venta</v>
      </c>
      <c r="EQ234" s="23">
        <f t="shared" si="50"/>
        <v>0</v>
      </c>
      <c r="ER234" s="19">
        <f t="shared" si="48"/>
        <v>0</v>
      </c>
      <c r="ES234" s="12">
        <f t="shared" si="47"/>
        <v>0</v>
      </c>
      <c r="ET234" s="23">
        <f t="shared" si="52"/>
        <v>0</v>
      </c>
      <c r="EU234" s="23">
        <f t="shared" si="51"/>
        <v>0</v>
      </c>
      <c r="EV234" s="23">
        <f t="shared" si="53"/>
        <v>0</v>
      </c>
      <c r="EW234" s="23"/>
      <c r="EX234" s="12">
        <v>0</v>
      </c>
      <c r="EY234" s="19" cm="1">
        <f t="array" ref="EY234:FC234">VLOOKUP(_xlfn.SINGLE(B:B),'[1]Price List'!$B:$N,{8,4,5,6,7},0)</f>
        <v>516.72</v>
      </c>
      <c r="EZ234" s="9" t="str">
        <v>Speck Presidio Perfect Clear Case for iPhone 12/12 Pro - Clear/Clear</v>
      </c>
      <c r="FA234" s="12" t="str">
        <v>Cases iPhone</v>
      </c>
      <c r="FB234" s="12" t="str">
        <v>iPhone 12</v>
      </c>
      <c r="FC234" s="12" t="str">
        <v xml:space="preserve">iPhone 12/12 Pro </v>
      </c>
      <c r="FD234" s="23" t="str">
        <f>_xlfn.XLOOKUP(B:B,'[1]Price List'!$B:$B,'[1]Price List'!$A:$A)</f>
        <v>Speck</v>
      </c>
    </row>
    <row r="235" spans="1:160" s="9" customFormat="1" x14ac:dyDescent="0.2">
      <c r="A235" s="23" t="s">
        <v>599</v>
      </c>
      <c r="B235" s="23">
        <v>848709040909</v>
      </c>
      <c r="C235" s="9" t="s">
        <v>287</v>
      </c>
      <c r="D235" s="9" t="e">
        <v>#N/A</v>
      </c>
      <c r="E235" s="9" t="e">
        <v>#N/A</v>
      </c>
      <c r="F235" s="9" t="e">
        <v>#N/A</v>
      </c>
      <c r="G235" s="9" t="s">
        <v>307</v>
      </c>
      <c r="H235" s="12" t="s">
        <v>288</v>
      </c>
      <c r="I235" s="11">
        <v>1049</v>
      </c>
      <c r="J235" s="11">
        <v>542.59</v>
      </c>
      <c r="K235" s="62">
        <v>0</v>
      </c>
      <c r="L235" s="12">
        <v>399</v>
      </c>
      <c r="M235" s="13" t="s">
        <v>467</v>
      </c>
      <c r="N235" s="13" t="s">
        <v>656</v>
      </c>
      <c r="O235" s="27" t="s">
        <v>283</v>
      </c>
      <c r="P235" s="12">
        <v>0</v>
      </c>
      <c r="Q235" s="12">
        <v>0</v>
      </c>
      <c r="R235" s="12">
        <v>0</v>
      </c>
      <c r="S235" s="12">
        <v>0</v>
      </c>
      <c r="T235" s="12">
        <v>0</v>
      </c>
      <c r="U235" s="12">
        <v>0</v>
      </c>
      <c r="V235" s="12">
        <v>0</v>
      </c>
      <c r="W235" s="12">
        <v>0</v>
      </c>
      <c r="X235" s="12">
        <v>0</v>
      </c>
      <c r="Y235" s="12">
        <v>0</v>
      </c>
      <c r="Z235" s="12">
        <v>1</v>
      </c>
      <c r="AA235" s="12">
        <v>0</v>
      </c>
      <c r="AB235" s="12">
        <v>0</v>
      </c>
      <c r="AC235" s="12">
        <v>0</v>
      </c>
      <c r="AD235" s="12">
        <v>0</v>
      </c>
      <c r="AE235" s="12">
        <v>0</v>
      </c>
      <c r="AF235" s="12">
        <v>0</v>
      </c>
      <c r="AG235" s="12">
        <v>0</v>
      </c>
      <c r="AH235" s="12">
        <v>0</v>
      </c>
      <c r="AI235" s="12">
        <v>0</v>
      </c>
      <c r="AJ235" s="12">
        <v>0</v>
      </c>
      <c r="AK235" s="12">
        <v>0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2">
        <v>0</v>
      </c>
      <c r="AW235" s="12">
        <v>0</v>
      </c>
      <c r="AX235" s="12">
        <v>0</v>
      </c>
      <c r="AY235" s="12">
        <v>0</v>
      </c>
      <c r="AZ235" s="12">
        <v>0</v>
      </c>
      <c r="BA235" s="12">
        <v>0</v>
      </c>
      <c r="BB235" s="12">
        <v>0</v>
      </c>
      <c r="BC235" s="12">
        <v>0</v>
      </c>
      <c r="BD235" s="12">
        <v>0</v>
      </c>
      <c r="BE235" s="12">
        <v>0</v>
      </c>
      <c r="BF235" s="12">
        <v>0</v>
      </c>
      <c r="BG235" s="12">
        <v>0</v>
      </c>
      <c r="BH235" s="12">
        <v>0</v>
      </c>
      <c r="BI235" s="12">
        <v>0</v>
      </c>
      <c r="BJ235" s="12">
        <v>0</v>
      </c>
      <c r="BK235" s="12">
        <v>0</v>
      </c>
      <c r="BL235" s="12">
        <v>0</v>
      </c>
      <c r="BM235" s="12">
        <v>0</v>
      </c>
      <c r="BN235" s="12">
        <v>0</v>
      </c>
      <c r="BO235" s="12">
        <v>0</v>
      </c>
      <c r="BP235" s="12">
        <v>0</v>
      </c>
      <c r="BQ235" s="12">
        <v>0</v>
      </c>
      <c r="BR235" s="12">
        <v>0</v>
      </c>
      <c r="BS235" s="12">
        <v>0</v>
      </c>
      <c r="BT235" s="12">
        <v>0</v>
      </c>
      <c r="BU235" s="12">
        <v>0</v>
      </c>
      <c r="BV235" s="12">
        <v>0</v>
      </c>
      <c r="BW235" s="12">
        <v>0</v>
      </c>
      <c r="BX235" s="12">
        <v>0</v>
      </c>
      <c r="BY235" s="12">
        <v>0</v>
      </c>
      <c r="BZ235" s="12">
        <v>0</v>
      </c>
      <c r="CA235" s="12">
        <v>0</v>
      </c>
      <c r="CB235" s="12">
        <v>0</v>
      </c>
      <c r="CC235" s="12">
        <v>0</v>
      </c>
      <c r="CD235" s="12">
        <v>0</v>
      </c>
      <c r="CE235" s="12">
        <v>0</v>
      </c>
      <c r="CF235" s="12">
        <v>0</v>
      </c>
      <c r="CG235" s="12">
        <v>0</v>
      </c>
      <c r="CH235" s="12">
        <v>0</v>
      </c>
      <c r="CI235" s="12">
        <v>0</v>
      </c>
      <c r="CJ235" s="12">
        <v>0</v>
      </c>
      <c r="CK235" s="12">
        <v>0</v>
      </c>
      <c r="CL235" s="12">
        <v>0</v>
      </c>
      <c r="CM235" s="12">
        <v>0</v>
      </c>
      <c r="CN235" s="12">
        <v>0</v>
      </c>
      <c r="CO235" s="12">
        <v>0</v>
      </c>
      <c r="CP235" s="12">
        <v>0</v>
      </c>
      <c r="CQ235" s="12">
        <v>0</v>
      </c>
      <c r="CR235" s="12">
        <v>0</v>
      </c>
      <c r="CS235" s="12">
        <v>0</v>
      </c>
      <c r="CT235" s="12">
        <v>0</v>
      </c>
      <c r="CU235" s="12">
        <v>0</v>
      </c>
      <c r="CV235" s="12">
        <v>0</v>
      </c>
      <c r="CW235" s="12">
        <v>0</v>
      </c>
      <c r="CX235" s="12">
        <v>0</v>
      </c>
      <c r="CY235" s="12">
        <v>0</v>
      </c>
      <c r="CZ235" s="12">
        <v>0</v>
      </c>
      <c r="DA235" s="12">
        <v>0</v>
      </c>
      <c r="DB235" s="12">
        <v>0</v>
      </c>
      <c r="DC235" s="12">
        <v>0</v>
      </c>
      <c r="DD235" s="12">
        <v>0</v>
      </c>
      <c r="DE235" s="12">
        <v>0</v>
      </c>
      <c r="DF235" s="12">
        <v>0</v>
      </c>
      <c r="DG235" s="12">
        <v>0</v>
      </c>
      <c r="DH235" s="12">
        <v>0</v>
      </c>
      <c r="DI235" s="12">
        <v>0</v>
      </c>
      <c r="DJ235" s="12">
        <v>0</v>
      </c>
      <c r="DK235" s="12">
        <v>0</v>
      </c>
      <c r="DL235" s="12">
        <v>0</v>
      </c>
      <c r="DM235" s="12">
        <v>0</v>
      </c>
      <c r="DN235" s="12">
        <v>0</v>
      </c>
      <c r="DO235" s="12">
        <v>0</v>
      </c>
      <c r="DP235" s="12">
        <v>0</v>
      </c>
      <c r="DQ235" s="12">
        <v>0</v>
      </c>
      <c r="DR235" s="12">
        <v>0</v>
      </c>
      <c r="DS235" s="12">
        <v>0</v>
      </c>
      <c r="DT235" s="12">
        <v>0</v>
      </c>
      <c r="DU235" s="12">
        <v>0</v>
      </c>
      <c r="DV235" s="12">
        <v>0</v>
      </c>
      <c r="DW235" s="12">
        <v>0</v>
      </c>
      <c r="DX235" s="12">
        <v>0</v>
      </c>
      <c r="DY235" s="12">
        <v>0</v>
      </c>
      <c r="DZ235" s="12">
        <v>0</v>
      </c>
      <c r="EA235" s="12">
        <v>0</v>
      </c>
      <c r="EB235" s="12">
        <v>0</v>
      </c>
      <c r="EC235" s="12">
        <v>0</v>
      </c>
      <c r="ED235" s="12">
        <v>0</v>
      </c>
      <c r="EE235" s="12">
        <v>0</v>
      </c>
      <c r="EF235" s="12">
        <v>0</v>
      </c>
      <c r="EG235" s="12">
        <v>0</v>
      </c>
      <c r="EH235" s="12">
        <v>0</v>
      </c>
      <c r="EI235" s="12">
        <v>0</v>
      </c>
      <c r="EJ235" s="12">
        <v>0</v>
      </c>
      <c r="EK235" s="12">
        <v>0</v>
      </c>
      <c r="EL235" s="12">
        <v>0</v>
      </c>
      <c r="EM235" s="12">
        <v>0</v>
      </c>
      <c r="EN235" s="12">
        <v>0</v>
      </c>
      <c r="EO235" s="12">
        <v>0</v>
      </c>
      <c r="EP235" s="12" t="str">
        <f t="shared" si="49"/>
        <v>🔴 Sin venta</v>
      </c>
      <c r="EQ235" s="23">
        <f t="shared" si="50"/>
        <v>0</v>
      </c>
      <c r="ER235" s="19">
        <f t="shared" si="48"/>
        <v>0</v>
      </c>
      <c r="ES235" s="12">
        <f t="shared" si="47"/>
        <v>0</v>
      </c>
      <c r="ET235" s="23">
        <f t="shared" si="52"/>
        <v>0</v>
      </c>
      <c r="EU235" s="23">
        <f t="shared" si="51"/>
        <v>0</v>
      </c>
      <c r="EV235" s="23">
        <f t="shared" si="53"/>
        <v>0</v>
      </c>
      <c r="EW235" s="23"/>
      <c r="EX235" s="12">
        <v>0</v>
      </c>
      <c r="EY235" s="19" cm="1">
        <f t="array" ref="EY235:FC235">VLOOKUP(_xlfn.SINGLE(B:B),'[1]Price List'!$B:$N,{8,4,5,6,7},0)</f>
        <v>542.59</v>
      </c>
      <c r="EZ235" s="9" t="str">
        <v>Speck Smartshell Case - Black MacBook Pro  13 T&amp;B</v>
      </c>
      <c r="FA235" s="12" t="str">
        <v>Cases Macbook</v>
      </c>
      <c r="FB235" s="12" t="str">
        <v>Macbook</v>
      </c>
      <c r="FC235" s="12" t="str">
        <v>MacBook Pro 13" M1/M2 Cases</v>
      </c>
      <c r="FD235" s="23" t="str">
        <f>_xlfn.XLOOKUP(B:B,'[1]Price List'!$B:$B,'[1]Price List'!$A:$A)</f>
        <v>Speck</v>
      </c>
    </row>
    <row r="236" spans="1:160" s="9" customFormat="1" x14ac:dyDescent="0.2">
      <c r="A236" s="23" t="s">
        <v>599</v>
      </c>
      <c r="B236" s="23">
        <v>848709040916</v>
      </c>
      <c r="C236" s="9" t="s">
        <v>289</v>
      </c>
      <c r="D236" s="9" t="e">
        <v>#N/A</v>
      </c>
      <c r="E236" s="9" t="e">
        <v>#N/A</v>
      </c>
      <c r="F236" s="9" t="e">
        <v>#N/A</v>
      </c>
      <c r="G236" s="9" t="s">
        <v>307</v>
      </c>
      <c r="H236" s="12" t="s">
        <v>290</v>
      </c>
      <c r="I236" s="11">
        <v>1049</v>
      </c>
      <c r="J236" s="11">
        <v>542.59</v>
      </c>
      <c r="K236" s="62">
        <v>0</v>
      </c>
      <c r="L236" s="12">
        <v>399</v>
      </c>
      <c r="M236" s="13" t="s">
        <v>467</v>
      </c>
      <c r="N236" s="13" t="s">
        <v>656</v>
      </c>
      <c r="O236" s="27" t="s">
        <v>283</v>
      </c>
      <c r="P236" s="12">
        <v>0</v>
      </c>
      <c r="Q236" s="12">
        <v>0</v>
      </c>
      <c r="R236" s="12">
        <v>0</v>
      </c>
      <c r="S236" s="12">
        <v>0</v>
      </c>
      <c r="T236" s="12">
        <v>0</v>
      </c>
      <c r="U236" s="12">
        <v>0</v>
      </c>
      <c r="V236" s="12">
        <v>0</v>
      </c>
      <c r="W236" s="12">
        <v>0</v>
      </c>
      <c r="X236" s="12">
        <v>0</v>
      </c>
      <c r="Y236" s="12">
        <v>0</v>
      </c>
      <c r="Z236" s="12">
        <v>0</v>
      </c>
      <c r="AA236" s="12">
        <v>0</v>
      </c>
      <c r="AB236" s="12">
        <v>0</v>
      </c>
      <c r="AC236" s="12">
        <v>0</v>
      </c>
      <c r="AD236" s="12">
        <v>0</v>
      </c>
      <c r="AE236" s="12">
        <v>0</v>
      </c>
      <c r="AF236" s="12">
        <v>0</v>
      </c>
      <c r="AG236" s="12">
        <v>0</v>
      </c>
      <c r="AH236" s="12">
        <v>0</v>
      </c>
      <c r="AI236" s="12">
        <v>0</v>
      </c>
      <c r="AJ236" s="12">
        <v>0</v>
      </c>
      <c r="AK236" s="12">
        <v>0</v>
      </c>
      <c r="AL236" s="12">
        <v>0</v>
      </c>
      <c r="AM236" s="12">
        <v>0</v>
      </c>
      <c r="AN236" s="12">
        <v>0</v>
      </c>
      <c r="AO236" s="12">
        <v>0</v>
      </c>
      <c r="AP236" s="12">
        <v>0</v>
      </c>
      <c r="AQ236" s="12">
        <v>0</v>
      </c>
      <c r="AR236" s="12">
        <v>0</v>
      </c>
      <c r="AS236" s="12">
        <v>0</v>
      </c>
      <c r="AT236" s="12">
        <v>0</v>
      </c>
      <c r="AU236" s="12">
        <v>0</v>
      </c>
      <c r="AV236" s="12">
        <v>0</v>
      </c>
      <c r="AW236" s="12">
        <v>0</v>
      </c>
      <c r="AX236" s="12">
        <v>0</v>
      </c>
      <c r="AY236" s="12">
        <v>0</v>
      </c>
      <c r="AZ236" s="12">
        <v>0</v>
      </c>
      <c r="BA236" s="12">
        <v>0</v>
      </c>
      <c r="BB236" s="12">
        <v>0</v>
      </c>
      <c r="BC236" s="12">
        <v>0</v>
      </c>
      <c r="BD236" s="12">
        <v>0</v>
      </c>
      <c r="BE236" s="12">
        <v>0</v>
      </c>
      <c r="BF236" s="12">
        <v>0</v>
      </c>
      <c r="BG236" s="12">
        <v>0</v>
      </c>
      <c r="BH236" s="12">
        <v>0</v>
      </c>
      <c r="BI236" s="12">
        <v>0</v>
      </c>
      <c r="BJ236" s="12">
        <v>0</v>
      </c>
      <c r="BK236" s="12">
        <v>0</v>
      </c>
      <c r="BL236" s="12">
        <v>0</v>
      </c>
      <c r="BM236" s="12">
        <v>0</v>
      </c>
      <c r="BN236" s="12">
        <v>0</v>
      </c>
      <c r="BO236" s="12">
        <v>0</v>
      </c>
      <c r="BP236" s="12">
        <v>0</v>
      </c>
      <c r="BQ236" s="12">
        <v>0</v>
      </c>
      <c r="BR236" s="12">
        <v>0</v>
      </c>
      <c r="BS236" s="12">
        <v>0</v>
      </c>
      <c r="BT236" s="12">
        <v>0</v>
      </c>
      <c r="BU236" s="12">
        <v>0</v>
      </c>
      <c r="BV236" s="12">
        <v>0</v>
      </c>
      <c r="BW236" s="12">
        <v>0</v>
      </c>
      <c r="BX236" s="12">
        <v>0</v>
      </c>
      <c r="BY236" s="12">
        <v>0</v>
      </c>
      <c r="BZ236" s="12">
        <v>0</v>
      </c>
      <c r="CA236" s="12">
        <v>0</v>
      </c>
      <c r="CB236" s="12">
        <v>0</v>
      </c>
      <c r="CC236" s="12">
        <v>0</v>
      </c>
      <c r="CD236" s="12">
        <v>0</v>
      </c>
      <c r="CE236" s="12">
        <v>0</v>
      </c>
      <c r="CF236" s="12">
        <v>0</v>
      </c>
      <c r="CG236" s="12">
        <v>0</v>
      </c>
      <c r="CH236" s="12">
        <v>0</v>
      </c>
      <c r="CI236" s="12">
        <v>0</v>
      </c>
      <c r="CJ236" s="12">
        <v>1</v>
      </c>
      <c r="CK236" s="12">
        <v>0</v>
      </c>
      <c r="CL236" s="12">
        <v>0</v>
      </c>
      <c r="CM236" s="12">
        <v>0</v>
      </c>
      <c r="CN236" s="12">
        <v>0</v>
      </c>
      <c r="CO236" s="12">
        <v>0</v>
      </c>
      <c r="CP236" s="12">
        <v>0</v>
      </c>
      <c r="CQ236" s="12">
        <v>0</v>
      </c>
      <c r="CR236" s="12">
        <v>0</v>
      </c>
      <c r="CS236" s="12">
        <v>0</v>
      </c>
      <c r="CT236" s="12">
        <v>0</v>
      </c>
      <c r="CU236" s="12">
        <v>0</v>
      </c>
      <c r="CV236" s="12">
        <v>0</v>
      </c>
      <c r="CW236" s="12">
        <v>0</v>
      </c>
      <c r="CX236" s="12">
        <v>0</v>
      </c>
      <c r="CY236" s="12">
        <v>0</v>
      </c>
      <c r="CZ236" s="12">
        <v>0</v>
      </c>
      <c r="DA236" s="12">
        <v>0</v>
      </c>
      <c r="DB236" s="12">
        <v>0</v>
      </c>
      <c r="DC236" s="12">
        <v>0</v>
      </c>
      <c r="DD236" s="12">
        <v>0</v>
      </c>
      <c r="DE236" s="12">
        <v>0</v>
      </c>
      <c r="DF236" s="12">
        <v>0</v>
      </c>
      <c r="DG236" s="12">
        <v>0</v>
      </c>
      <c r="DH236" s="12">
        <v>0</v>
      </c>
      <c r="DI236" s="12">
        <v>0</v>
      </c>
      <c r="DJ236" s="12">
        <v>0</v>
      </c>
      <c r="DK236" s="12">
        <v>0</v>
      </c>
      <c r="DL236" s="12">
        <v>0</v>
      </c>
      <c r="DM236" s="12">
        <v>0</v>
      </c>
      <c r="DN236" s="12">
        <v>0</v>
      </c>
      <c r="DO236" s="12">
        <v>0</v>
      </c>
      <c r="DP236" s="12">
        <v>0</v>
      </c>
      <c r="DQ236" s="12">
        <v>0</v>
      </c>
      <c r="DR236" s="12">
        <v>0</v>
      </c>
      <c r="DS236" s="12">
        <v>0</v>
      </c>
      <c r="DT236" s="12">
        <v>0</v>
      </c>
      <c r="DU236" s="12">
        <v>0</v>
      </c>
      <c r="DV236" s="12">
        <v>0</v>
      </c>
      <c r="DW236" s="12">
        <v>0</v>
      </c>
      <c r="DX236" s="12">
        <v>0</v>
      </c>
      <c r="DY236" s="12">
        <v>0</v>
      </c>
      <c r="DZ236" s="12">
        <v>0</v>
      </c>
      <c r="EA236" s="12">
        <v>0</v>
      </c>
      <c r="EB236" s="12">
        <v>0</v>
      </c>
      <c r="EC236" s="12">
        <v>0</v>
      </c>
      <c r="ED236" s="12">
        <v>0</v>
      </c>
      <c r="EE236" s="12">
        <v>0</v>
      </c>
      <c r="EF236" s="12">
        <v>0</v>
      </c>
      <c r="EG236" s="12">
        <v>0</v>
      </c>
      <c r="EH236" s="12">
        <v>0</v>
      </c>
      <c r="EI236" s="12">
        <v>0</v>
      </c>
      <c r="EJ236" s="12">
        <v>0</v>
      </c>
      <c r="EK236" s="12">
        <v>0</v>
      </c>
      <c r="EL236" s="12">
        <v>0</v>
      </c>
      <c r="EM236" s="12">
        <v>0</v>
      </c>
      <c r="EN236" s="12">
        <v>0</v>
      </c>
      <c r="EO236" s="12">
        <v>0</v>
      </c>
      <c r="EP236" s="12" t="str">
        <f t="shared" si="49"/>
        <v>🔴 Sin venta</v>
      </c>
      <c r="EQ236" s="23">
        <f t="shared" si="50"/>
        <v>0</v>
      </c>
      <c r="ER236" s="19">
        <f t="shared" si="48"/>
        <v>0</v>
      </c>
      <c r="ES236" s="12">
        <f t="shared" si="47"/>
        <v>0</v>
      </c>
      <c r="ET236" s="23">
        <f t="shared" si="52"/>
        <v>0</v>
      </c>
      <c r="EU236" s="23">
        <f t="shared" si="51"/>
        <v>0</v>
      </c>
      <c r="EV236" s="23">
        <f t="shared" si="53"/>
        <v>0</v>
      </c>
      <c r="EW236" s="23"/>
      <c r="EX236" s="12">
        <v>0</v>
      </c>
      <c r="EY236" s="19" cm="1">
        <f t="array" ref="EY236:FC236">VLOOKUP(_xlfn.SINGLE(B:B),'[1]Price List'!$B:$N,{8,4,5,6,7},0)</f>
        <v>542.59</v>
      </c>
      <c r="EZ236" s="9" t="str">
        <v>Speck Smartshell Case - Clear MacBook Pro  13 T&amp;B</v>
      </c>
      <c r="FA236" s="12" t="str">
        <v>Cases Macbook</v>
      </c>
      <c r="FB236" s="12" t="str">
        <v>Macbook</v>
      </c>
      <c r="FC236" s="12" t="str">
        <v>MacBook Pro 13" M1/M2 Cases</v>
      </c>
      <c r="FD236" s="23" t="str">
        <f>_xlfn.XLOOKUP(B:B,'[1]Price List'!$B:$B,'[1]Price List'!$A:$A)</f>
        <v>Speck</v>
      </c>
    </row>
    <row r="237" spans="1:160" s="9" customFormat="1" x14ac:dyDescent="0.2">
      <c r="A237" s="23" t="s">
        <v>599</v>
      </c>
      <c r="B237" s="23">
        <v>848709038135</v>
      </c>
      <c r="C237" s="9" t="s">
        <v>285</v>
      </c>
      <c r="D237" s="9" t="e">
        <v>#N/A</v>
      </c>
      <c r="E237" s="9" t="e">
        <v>#N/A</v>
      </c>
      <c r="F237" s="9" t="e">
        <v>#N/A</v>
      </c>
      <c r="G237" s="9" t="s">
        <v>307</v>
      </c>
      <c r="H237" s="12" t="s">
        <v>286</v>
      </c>
      <c r="I237" s="11">
        <v>1259</v>
      </c>
      <c r="J237" s="11">
        <v>651.21</v>
      </c>
      <c r="K237" s="62">
        <v>0</v>
      </c>
      <c r="L237" s="12">
        <v>399</v>
      </c>
      <c r="M237" s="13" t="s">
        <v>467</v>
      </c>
      <c r="N237" s="13" t="s">
        <v>656</v>
      </c>
      <c r="O237" s="27" t="s">
        <v>284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  <c r="V237" s="12">
        <v>0</v>
      </c>
      <c r="W237" s="12">
        <v>0</v>
      </c>
      <c r="X237" s="12">
        <v>0</v>
      </c>
      <c r="Y237" s="12">
        <v>0</v>
      </c>
      <c r="Z237" s="12">
        <v>0</v>
      </c>
      <c r="AA237" s="12">
        <v>0</v>
      </c>
      <c r="AB237" s="12">
        <v>0</v>
      </c>
      <c r="AC237" s="12">
        <v>0</v>
      </c>
      <c r="AD237" s="12">
        <v>0</v>
      </c>
      <c r="AE237" s="12">
        <v>0</v>
      </c>
      <c r="AF237" s="12">
        <v>0</v>
      </c>
      <c r="AG237" s="12">
        <v>0</v>
      </c>
      <c r="AH237" s="12">
        <v>0</v>
      </c>
      <c r="AI237" s="12">
        <v>0</v>
      </c>
      <c r="AJ237" s="12">
        <v>0</v>
      </c>
      <c r="AK237" s="12">
        <v>0</v>
      </c>
      <c r="AL237" s="12">
        <v>0</v>
      </c>
      <c r="AM237" s="12">
        <v>0</v>
      </c>
      <c r="AN237" s="12">
        <v>0</v>
      </c>
      <c r="AO237" s="12">
        <v>0</v>
      </c>
      <c r="AP237" s="12">
        <v>0</v>
      </c>
      <c r="AQ237" s="12">
        <v>0</v>
      </c>
      <c r="AR237" s="12">
        <v>0</v>
      </c>
      <c r="AS237" s="12">
        <v>0</v>
      </c>
      <c r="AT237" s="12">
        <v>0</v>
      </c>
      <c r="AU237" s="12">
        <v>0</v>
      </c>
      <c r="AV237" s="12">
        <v>0</v>
      </c>
      <c r="AW237" s="12">
        <v>0</v>
      </c>
      <c r="AX237" s="12">
        <v>0</v>
      </c>
      <c r="AY237" s="12">
        <v>0</v>
      </c>
      <c r="AZ237" s="12">
        <v>0</v>
      </c>
      <c r="BA237" s="12">
        <v>0</v>
      </c>
      <c r="BB237" s="12">
        <v>0</v>
      </c>
      <c r="BC237" s="12">
        <v>0</v>
      </c>
      <c r="BD237" s="12">
        <v>0</v>
      </c>
      <c r="BE237" s="12">
        <v>0</v>
      </c>
      <c r="BF237" s="12">
        <v>0</v>
      </c>
      <c r="BG237" s="12">
        <v>0</v>
      </c>
      <c r="BH237" s="12">
        <v>0</v>
      </c>
      <c r="BI237" s="12">
        <v>0</v>
      </c>
      <c r="BJ237" s="12">
        <v>0</v>
      </c>
      <c r="BK237" s="12">
        <v>0</v>
      </c>
      <c r="BL237" s="12">
        <v>0</v>
      </c>
      <c r="BM237" s="12">
        <v>0</v>
      </c>
      <c r="BN237" s="12">
        <v>0</v>
      </c>
      <c r="BO237" s="12">
        <v>0</v>
      </c>
      <c r="BP237" s="12">
        <v>0</v>
      </c>
      <c r="BQ237" s="12">
        <v>0</v>
      </c>
      <c r="BR237" s="12">
        <v>0</v>
      </c>
      <c r="BS237" s="12">
        <v>0</v>
      </c>
      <c r="BT237" s="12">
        <v>0</v>
      </c>
      <c r="BU237" s="12">
        <v>0</v>
      </c>
      <c r="BV237" s="12">
        <v>0</v>
      </c>
      <c r="BW237" s="12">
        <v>0</v>
      </c>
      <c r="BX237" s="12">
        <v>0</v>
      </c>
      <c r="BY237" s="12">
        <v>0</v>
      </c>
      <c r="BZ237" s="12">
        <v>0</v>
      </c>
      <c r="CA237" s="12">
        <v>0</v>
      </c>
      <c r="CB237" s="12">
        <v>0</v>
      </c>
      <c r="CC237" s="12">
        <v>0</v>
      </c>
      <c r="CD237" s="12">
        <v>0</v>
      </c>
      <c r="CE237" s="12">
        <v>0</v>
      </c>
      <c r="CF237" s="12">
        <v>0</v>
      </c>
      <c r="CG237" s="12">
        <v>0</v>
      </c>
      <c r="CH237" s="12">
        <v>0</v>
      </c>
      <c r="CI237" s="12">
        <v>0</v>
      </c>
      <c r="CJ237" s="12">
        <v>0</v>
      </c>
      <c r="CK237" s="12">
        <v>0</v>
      </c>
      <c r="CL237" s="12">
        <v>0</v>
      </c>
      <c r="CM237" s="12">
        <v>0</v>
      </c>
      <c r="CN237" s="12">
        <v>0</v>
      </c>
      <c r="CO237" s="12">
        <v>0</v>
      </c>
      <c r="CP237" s="12">
        <v>0</v>
      </c>
      <c r="CQ237" s="12">
        <v>0</v>
      </c>
      <c r="CR237" s="12">
        <v>0</v>
      </c>
      <c r="CS237" s="12">
        <v>0</v>
      </c>
      <c r="CT237" s="12">
        <v>0</v>
      </c>
      <c r="CU237" s="12">
        <v>0</v>
      </c>
      <c r="CV237" s="12">
        <v>0</v>
      </c>
      <c r="CW237" s="12">
        <v>0</v>
      </c>
      <c r="CX237" s="12">
        <v>0</v>
      </c>
      <c r="CY237" s="12">
        <v>0</v>
      </c>
      <c r="CZ237" s="12">
        <v>0</v>
      </c>
      <c r="DA237" s="12">
        <v>0</v>
      </c>
      <c r="DB237" s="12">
        <v>0</v>
      </c>
      <c r="DC237" s="12">
        <v>0</v>
      </c>
      <c r="DD237" s="12">
        <v>0</v>
      </c>
      <c r="DE237" s="12">
        <v>0</v>
      </c>
      <c r="DF237" s="12">
        <v>0</v>
      </c>
      <c r="DG237" s="12">
        <v>0</v>
      </c>
      <c r="DH237" s="12">
        <v>0</v>
      </c>
      <c r="DI237" s="12">
        <v>0</v>
      </c>
      <c r="DJ237" s="12">
        <v>0</v>
      </c>
      <c r="DK237" s="12">
        <v>0</v>
      </c>
      <c r="DL237" s="12">
        <v>0</v>
      </c>
      <c r="DM237" s="12">
        <v>0</v>
      </c>
      <c r="DN237" s="12">
        <v>0</v>
      </c>
      <c r="DO237" s="12">
        <v>0</v>
      </c>
      <c r="DP237" s="12">
        <v>0</v>
      </c>
      <c r="DQ237" s="12">
        <v>0</v>
      </c>
      <c r="DR237" s="12">
        <v>0</v>
      </c>
      <c r="DS237" s="12">
        <v>0</v>
      </c>
      <c r="DT237" s="12">
        <v>0</v>
      </c>
      <c r="DU237" s="12">
        <v>0</v>
      </c>
      <c r="DV237" s="12">
        <v>0</v>
      </c>
      <c r="DW237" s="12">
        <v>0</v>
      </c>
      <c r="DX237" s="12">
        <v>0</v>
      </c>
      <c r="DY237" s="12">
        <v>0</v>
      </c>
      <c r="DZ237" s="12">
        <v>0</v>
      </c>
      <c r="EA237" s="12">
        <v>0</v>
      </c>
      <c r="EB237" s="12">
        <v>0</v>
      </c>
      <c r="EC237" s="12">
        <v>0</v>
      </c>
      <c r="ED237" s="12">
        <v>0</v>
      </c>
      <c r="EE237" s="12">
        <v>0</v>
      </c>
      <c r="EF237" s="12">
        <v>0</v>
      </c>
      <c r="EG237" s="12">
        <v>0</v>
      </c>
      <c r="EH237" s="12">
        <v>0</v>
      </c>
      <c r="EI237" s="12">
        <v>0</v>
      </c>
      <c r="EJ237" s="12">
        <v>0</v>
      </c>
      <c r="EK237" s="12">
        <v>0</v>
      </c>
      <c r="EL237" s="12">
        <v>0</v>
      </c>
      <c r="EM237" s="12">
        <v>0</v>
      </c>
      <c r="EN237" s="12">
        <v>0</v>
      </c>
      <c r="EO237" s="12">
        <v>0</v>
      </c>
      <c r="EP237" s="12" t="str">
        <f t="shared" si="49"/>
        <v>🔴 Sin venta</v>
      </c>
      <c r="EQ237" s="23">
        <f t="shared" si="50"/>
        <v>0</v>
      </c>
      <c r="ER237" s="19">
        <f t="shared" si="48"/>
        <v>0</v>
      </c>
      <c r="ES237" s="12">
        <f t="shared" si="47"/>
        <v>0</v>
      </c>
      <c r="ET237" s="23">
        <f t="shared" si="52"/>
        <v>0</v>
      </c>
      <c r="EU237" s="23">
        <f t="shared" si="51"/>
        <v>0</v>
      </c>
      <c r="EV237" s="23">
        <f t="shared" si="53"/>
        <v>0</v>
      </c>
      <c r="EW237" s="23"/>
      <c r="EX237" s="12">
        <v>1</v>
      </c>
      <c r="EY237" s="19" cm="1">
        <f t="array" ref="EY237:FC237">VLOOKUP(_xlfn.SINGLE(B:B),'[1]Price List'!$B:$N,{8,4,5,6,7},0)</f>
        <v>651.21</v>
      </c>
      <c r="EZ237" s="9" t="str">
        <v>Speck Smartshell - Clear For MacBook Pro 13 Rd</v>
      </c>
      <c r="FA237" s="12" t="str">
        <v>Cases Macbook</v>
      </c>
      <c r="FB237" s="12" t="str">
        <v>Macbook</v>
      </c>
      <c r="FC237" s="12" t="str">
        <v>MacBook Pro 13" M1/M2 Cases</v>
      </c>
      <c r="FD237" s="23" t="str">
        <f>_xlfn.XLOOKUP(B:B,'[1]Price List'!$B:$B,'[1]Price List'!$A:$A)</f>
        <v>Speck</v>
      </c>
    </row>
    <row r="238" spans="1:160" s="9" customFormat="1" x14ac:dyDescent="0.2">
      <c r="A238" s="23" t="s">
        <v>599</v>
      </c>
      <c r="B238" s="23">
        <v>848709071354</v>
      </c>
      <c r="C238" s="9" t="s">
        <v>17</v>
      </c>
      <c r="D238" s="9" t="e">
        <v>#N/A</v>
      </c>
      <c r="E238" s="9" t="e">
        <v>#N/A</v>
      </c>
      <c r="F238" s="9" t="e">
        <v>#N/A</v>
      </c>
      <c r="G238" s="9" t="s">
        <v>303</v>
      </c>
      <c r="H238" s="12" t="s">
        <v>18</v>
      </c>
      <c r="I238" s="11">
        <v>1099</v>
      </c>
      <c r="J238" s="11">
        <v>568.45000000000005</v>
      </c>
      <c r="K238" s="62">
        <v>0</v>
      </c>
      <c r="L238" s="12">
        <v>399</v>
      </c>
      <c r="M238" s="13" t="s">
        <v>467</v>
      </c>
      <c r="N238" s="13" t="s">
        <v>656</v>
      </c>
      <c r="O238" s="27" t="s">
        <v>16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  <c r="V238" s="12">
        <v>1</v>
      </c>
      <c r="W238" s="12">
        <v>0</v>
      </c>
      <c r="X238" s="12">
        <v>0</v>
      </c>
      <c r="Y238" s="12">
        <v>0</v>
      </c>
      <c r="Z238" s="12">
        <v>0</v>
      </c>
      <c r="AA238" s="12">
        <v>0</v>
      </c>
      <c r="AB238" s="12">
        <v>0</v>
      </c>
      <c r="AC238" s="12">
        <v>0</v>
      </c>
      <c r="AD238" s="12">
        <v>0</v>
      </c>
      <c r="AE238" s="12">
        <v>0</v>
      </c>
      <c r="AF238" s="12">
        <v>0</v>
      </c>
      <c r="AG238" s="12">
        <v>0</v>
      </c>
      <c r="AH238" s="12">
        <v>0</v>
      </c>
      <c r="AI238" s="12">
        <v>0</v>
      </c>
      <c r="AJ238" s="12">
        <v>0</v>
      </c>
      <c r="AK238" s="12">
        <v>0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0</v>
      </c>
      <c r="AS238" s="12">
        <v>0</v>
      </c>
      <c r="AT238" s="12">
        <v>0</v>
      </c>
      <c r="AU238" s="12">
        <v>0</v>
      </c>
      <c r="AV238" s="12">
        <v>0</v>
      </c>
      <c r="AW238" s="12">
        <v>0</v>
      </c>
      <c r="AX238" s="12">
        <v>0</v>
      </c>
      <c r="AY238" s="12">
        <v>0</v>
      </c>
      <c r="AZ238" s="12">
        <v>0</v>
      </c>
      <c r="BA238" s="12">
        <v>0</v>
      </c>
      <c r="BB238" s="12">
        <v>0</v>
      </c>
      <c r="BC238" s="12">
        <v>0</v>
      </c>
      <c r="BD238" s="12">
        <v>0</v>
      </c>
      <c r="BE238" s="12">
        <v>0</v>
      </c>
      <c r="BF238" s="12">
        <v>0</v>
      </c>
      <c r="BG238" s="12">
        <v>0</v>
      </c>
      <c r="BH238" s="12">
        <v>0</v>
      </c>
      <c r="BI238" s="12">
        <v>0</v>
      </c>
      <c r="BJ238" s="12">
        <v>0</v>
      </c>
      <c r="BK238" s="12">
        <v>0</v>
      </c>
      <c r="BL238" s="12">
        <v>0</v>
      </c>
      <c r="BM238" s="12">
        <v>0</v>
      </c>
      <c r="BN238" s="12">
        <v>0</v>
      </c>
      <c r="BO238" s="12">
        <v>0</v>
      </c>
      <c r="BP238" s="12">
        <v>0</v>
      </c>
      <c r="BQ238" s="12">
        <v>0</v>
      </c>
      <c r="BR238" s="12">
        <v>0</v>
      </c>
      <c r="BS238" s="12">
        <v>0</v>
      </c>
      <c r="BT238" s="12">
        <v>0</v>
      </c>
      <c r="BU238" s="12">
        <v>0</v>
      </c>
      <c r="BV238" s="12">
        <v>0</v>
      </c>
      <c r="BW238" s="12">
        <v>0</v>
      </c>
      <c r="BX238" s="12">
        <v>0</v>
      </c>
      <c r="BY238" s="12">
        <v>0</v>
      </c>
      <c r="BZ238" s="12">
        <v>0</v>
      </c>
      <c r="CA238" s="12">
        <v>0</v>
      </c>
      <c r="CB238" s="12">
        <v>0</v>
      </c>
      <c r="CC238" s="12">
        <v>0</v>
      </c>
      <c r="CD238" s="12">
        <v>0</v>
      </c>
      <c r="CE238" s="12">
        <v>0</v>
      </c>
      <c r="CF238" s="12">
        <v>0</v>
      </c>
      <c r="CG238" s="12">
        <v>0</v>
      </c>
      <c r="CH238" s="12">
        <v>0</v>
      </c>
      <c r="CI238" s="12">
        <v>0</v>
      </c>
      <c r="CJ238" s="12">
        <v>0</v>
      </c>
      <c r="CK238" s="12">
        <v>0</v>
      </c>
      <c r="CL238" s="12">
        <v>0</v>
      </c>
      <c r="CM238" s="12">
        <v>0</v>
      </c>
      <c r="CN238" s="12">
        <v>0</v>
      </c>
      <c r="CO238" s="12">
        <v>0</v>
      </c>
      <c r="CP238" s="12">
        <v>0</v>
      </c>
      <c r="CQ238" s="12">
        <v>0</v>
      </c>
      <c r="CR238" s="12">
        <v>0</v>
      </c>
      <c r="CS238" s="12">
        <v>0</v>
      </c>
      <c r="CT238" s="12">
        <v>0</v>
      </c>
      <c r="CU238" s="12">
        <v>0</v>
      </c>
      <c r="CV238" s="12">
        <v>0</v>
      </c>
      <c r="CW238" s="12">
        <v>0</v>
      </c>
      <c r="CX238" s="12">
        <v>0</v>
      </c>
      <c r="CY238" s="12">
        <v>0</v>
      </c>
      <c r="CZ238" s="12">
        <v>0</v>
      </c>
      <c r="DA238" s="12">
        <v>0</v>
      </c>
      <c r="DB238" s="12">
        <v>0</v>
      </c>
      <c r="DC238" s="12">
        <v>0</v>
      </c>
      <c r="DD238" s="12">
        <v>0</v>
      </c>
      <c r="DE238" s="12">
        <v>0</v>
      </c>
      <c r="DF238" s="12">
        <v>0</v>
      </c>
      <c r="DG238" s="12">
        <v>0</v>
      </c>
      <c r="DH238" s="12">
        <v>0</v>
      </c>
      <c r="DI238" s="12">
        <v>0</v>
      </c>
      <c r="DJ238" s="12">
        <v>0</v>
      </c>
      <c r="DK238" s="12">
        <v>0</v>
      </c>
      <c r="DL238" s="12">
        <v>0</v>
      </c>
      <c r="DM238" s="12">
        <v>0</v>
      </c>
      <c r="DN238" s="12">
        <v>0</v>
      </c>
      <c r="DO238" s="12">
        <v>0</v>
      </c>
      <c r="DP238" s="12">
        <v>0</v>
      </c>
      <c r="DQ238" s="12">
        <v>0</v>
      </c>
      <c r="DR238" s="12">
        <v>0</v>
      </c>
      <c r="DS238" s="12">
        <v>0</v>
      </c>
      <c r="DT238" s="12">
        <v>0</v>
      </c>
      <c r="DU238" s="12">
        <v>0</v>
      </c>
      <c r="DV238" s="12">
        <v>0</v>
      </c>
      <c r="DW238" s="12">
        <v>0</v>
      </c>
      <c r="DX238" s="12">
        <v>0</v>
      </c>
      <c r="DY238" s="12">
        <v>0</v>
      </c>
      <c r="DZ238" s="12">
        <v>0</v>
      </c>
      <c r="EA238" s="12">
        <v>0</v>
      </c>
      <c r="EB238" s="12">
        <v>0</v>
      </c>
      <c r="EC238" s="12">
        <v>0</v>
      </c>
      <c r="ED238" s="12">
        <v>0</v>
      </c>
      <c r="EE238" s="12">
        <v>0</v>
      </c>
      <c r="EF238" s="12">
        <v>0</v>
      </c>
      <c r="EG238" s="12">
        <v>0</v>
      </c>
      <c r="EH238" s="12">
        <v>0</v>
      </c>
      <c r="EI238" s="12">
        <v>0</v>
      </c>
      <c r="EJ238" s="12">
        <v>0</v>
      </c>
      <c r="EK238" s="12">
        <v>0</v>
      </c>
      <c r="EL238" s="12">
        <v>0</v>
      </c>
      <c r="EM238" s="12">
        <v>0</v>
      </c>
      <c r="EN238" s="12">
        <v>0</v>
      </c>
      <c r="EO238" s="12">
        <v>0</v>
      </c>
      <c r="EP238" s="12" t="str">
        <f t="shared" si="49"/>
        <v>🔴 Sin venta</v>
      </c>
      <c r="EQ238" s="23">
        <f t="shared" si="50"/>
        <v>0</v>
      </c>
      <c r="ER238" s="19">
        <f t="shared" si="48"/>
        <v>0</v>
      </c>
      <c r="ES238" s="12">
        <f t="shared" si="47"/>
        <v>0</v>
      </c>
      <c r="ET238" s="23">
        <f t="shared" si="52"/>
        <v>0</v>
      </c>
      <c r="EU238" s="23">
        <f t="shared" si="51"/>
        <v>0</v>
      </c>
      <c r="EV238" s="23">
        <f t="shared" si="53"/>
        <v>0</v>
      </c>
      <c r="EW238" s="23"/>
      <c r="EX238" s="12">
        <v>0</v>
      </c>
      <c r="EY238" s="19" cm="1">
        <f t="array" ref="EY238:FC238">VLOOKUP(_xlfn.SINGLE(B:B),'[1]Price List'!$B:$N,{8,4,5,6,7},0)</f>
        <v>568.45000000000005</v>
      </c>
      <c r="EZ238" s="9" t="str">
        <v>Speck Smartshell - Purple MacBook  Air 13 Rd</v>
      </c>
      <c r="FA238" s="12" t="str">
        <v>Cases Macbook</v>
      </c>
      <c r="FB238" s="12" t="str">
        <v>Macbook</v>
      </c>
      <c r="FC238" s="12" t="str">
        <v>MacBook Air 13" M2 Cases</v>
      </c>
      <c r="FD238" s="23" t="str">
        <f>_xlfn.XLOOKUP(B:B,'[1]Price List'!$B:$B,'[1]Price List'!$A:$A)</f>
        <v>Speck</v>
      </c>
    </row>
    <row r="239" spans="1:160" s="9" customFormat="1" x14ac:dyDescent="0.2">
      <c r="A239" s="23" t="s">
        <v>599</v>
      </c>
      <c r="B239" s="23">
        <v>848709075284</v>
      </c>
      <c r="C239" s="9" t="s">
        <v>30</v>
      </c>
      <c r="D239" s="9" t="e">
        <v>#N/A</v>
      </c>
      <c r="E239" s="9" t="e">
        <v>#N/A</v>
      </c>
      <c r="F239" s="9" t="e">
        <v>#N/A</v>
      </c>
      <c r="G239" s="9" t="s">
        <v>309</v>
      </c>
      <c r="H239" s="12" t="s">
        <v>31</v>
      </c>
      <c r="I239" s="12">
        <v>799</v>
      </c>
      <c r="J239" s="11">
        <v>413.28</v>
      </c>
      <c r="K239" s="62">
        <v>0</v>
      </c>
      <c r="L239" s="12">
        <v>0</v>
      </c>
      <c r="M239" s="13" t="s">
        <v>467</v>
      </c>
      <c r="N239" s="13" t="s">
        <v>656</v>
      </c>
      <c r="O239" s="27">
        <v>43564</v>
      </c>
      <c r="P239" s="12">
        <v>0</v>
      </c>
      <c r="Q239" s="12">
        <v>0</v>
      </c>
      <c r="R239" s="12">
        <v>0</v>
      </c>
      <c r="S239" s="12">
        <v>0</v>
      </c>
      <c r="T239" s="12">
        <v>0</v>
      </c>
      <c r="U239" s="12">
        <v>0</v>
      </c>
      <c r="V239" s="12">
        <v>0</v>
      </c>
      <c r="W239" s="12">
        <v>0</v>
      </c>
      <c r="X239" s="12">
        <v>0</v>
      </c>
      <c r="Y239" s="12">
        <v>0</v>
      </c>
      <c r="Z239" s="12">
        <v>0</v>
      </c>
      <c r="AA239" s="12">
        <v>0</v>
      </c>
      <c r="AB239" s="12">
        <v>0</v>
      </c>
      <c r="AC239" s="12">
        <v>0</v>
      </c>
      <c r="AD239" s="12">
        <v>0</v>
      </c>
      <c r="AE239" s="12">
        <v>0</v>
      </c>
      <c r="AF239" s="12">
        <v>0</v>
      </c>
      <c r="AG239" s="12">
        <v>0</v>
      </c>
      <c r="AH239" s="12">
        <v>0</v>
      </c>
      <c r="AI239" s="12">
        <v>0</v>
      </c>
      <c r="AJ239" s="12">
        <v>0</v>
      </c>
      <c r="AK239" s="12">
        <v>0</v>
      </c>
      <c r="AL239" s="12">
        <v>0</v>
      </c>
      <c r="AM239" s="12">
        <v>0</v>
      </c>
      <c r="AN239" s="12">
        <v>0</v>
      </c>
      <c r="AO239" s="12">
        <v>0</v>
      </c>
      <c r="AP239" s="12">
        <v>0</v>
      </c>
      <c r="AQ239" s="12">
        <v>0</v>
      </c>
      <c r="AR239" s="12">
        <v>0</v>
      </c>
      <c r="AS239" s="12">
        <v>0</v>
      </c>
      <c r="AT239" s="12">
        <v>0</v>
      </c>
      <c r="AU239" s="12">
        <v>0</v>
      </c>
      <c r="AV239" s="12">
        <v>0</v>
      </c>
      <c r="AW239" s="12">
        <v>0</v>
      </c>
      <c r="AX239" s="12">
        <v>0</v>
      </c>
      <c r="AY239" s="12">
        <v>0</v>
      </c>
      <c r="AZ239" s="12">
        <v>0</v>
      </c>
      <c r="BA239" s="12">
        <v>0</v>
      </c>
      <c r="BB239" s="12">
        <v>0</v>
      </c>
      <c r="BC239" s="12">
        <v>0</v>
      </c>
      <c r="BD239" s="12">
        <v>0</v>
      </c>
      <c r="BE239" s="12">
        <v>0</v>
      </c>
      <c r="BF239" s="12">
        <v>0</v>
      </c>
      <c r="BG239" s="12">
        <v>0</v>
      </c>
      <c r="BH239" s="12">
        <v>0</v>
      </c>
      <c r="BI239" s="12">
        <v>0</v>
      </c>
      <c r="BJ239" s="12">
        <v>0</v>
      </c>
      <c r="BK239" s="12">
        <v>0</v>
      </c>
      <c r="BL239" s="12">
        <v>0</v>
      </c>
      <c r="BM239" s="12">
        <v>0</v>
      </c>
      <c r="BN239" s="12">
        <v>0</v>
      </c>
      <c r="BO239" s="12">
        <v>0</v>
      </c>
      <c r="BP239" s="12">
        <v>0</v>
      </c>
      <c r="BQ239" s="12">
        <v>0</v>
      </c>
      <c r="BR239" s="12">
        <v>0</v>
      </c>
      <c r="BS239" s="12">
        <v>0</v>
      </c>
      <c r="BT239" s="12">
        <v>0</v>
      </c>
      <c r="BU239" s="12">
        <v>0</v>
      </c>
      <c r="BV239" s="12">
        <v>0</v>
      </c>
      <c r="BW239" s="12">
        <v>0</v>
      </c>
      <c r="BX239" s="12">
        <v>0</v>
      </c>
      <c r="BY239" s="12">
        <v>0</v>
      </c>
      <c r="BZ239" s="12">
        <v>0</v>
      </c>
      <c r="CA239" s="12">
        <v>0</v>
      </c>
      <c r="CB239" s="12">
        <v>0</v>
      </c>
      <c r="CC239" s="12">
        <v>0</v>
      </c>
      <c r="CD239" s="12">
        <v>0</v>
      </c>
      <c r="CE239" s="12">
        <v>0</v>
      </c>
      <c r="CF239" s="12">
        <v>0</v>
      </c>
      <c r="CG239" s="12">
        <v>0</v>
      </c>
      <c r="CH239" s="12">
        <v>0</v>
      </c>
      <c r="CI239" s="12">
        <v>0</v>
      </c>
      <c r="CJ239" s="12">
        <v>0</v>
      </c>
      <c r="CK239" s="12">
        <v>0</v>
      </c>
      <c r="CL239" s="12">
        <v>0</v>
      </c>
      <c r="CM239" s="12">
        <v>0</v>
      </c>
      <c r="CN239" s="12">
        <v>0</v>
      </c>
      <c r="CO239" s="12">
        <v>0</v>
      </c>
      <c r="CP239" s="12">
        <v>0</v>
      </c>
      <c r="CQ239" s="12">
        <v>0</v>
      </c>
      <c r="CR239" s="12">
        <v>0</v>
      </c>
      <c r="CS239" s="12">
        <v>0</v>
      </c>
      <c r="CT239" s="12">
        <v>0</v>
      </c>
      <c r="CU239" s="12">
        <v>0</v>
      </c>
      <c r="CV239" s="12">
        <v>0</v>
      </c>
      <c r="CW239" s="12">
        <v>0</v>
      </c>
      <c r="CX239" s="12">
        <v>0</v>
      </c>
      <c r="CY239" s="12">
        <v>0</v>
      </c>
      <c r="CZ239" s="12">
        <v>0</v>
      </c>
      <c r="DA239" s="12">
        <v>0</v>
      </c>
      <c r="DB239" s="12">
        <v>0</v>
      </c>
      <c r="DC239" s="12">
        <v>0</v>
      </c>
      <c r="DD239" s="12">
        <v>0</v>
      </c>
      <c r="DE239" s="12">
        <v>0</v>
      </c>
      <c r="DF239" s="12">
        <v>0</v>
      </c>
      <c r="DG239" s="12">
        <v>0</v>
      </c>
      <c r="DH239" s="12">
        <v>0</v>
      </c>
      <c r="DI239" s="12">
        <v>0</v>
      </c>
      <c r="DJ239" s="12">
        <v>0</v>
      </c>
      <c r="DK239" s="12">
        <v>0</v>
      </c>
      <c r="DL239" s="12">
        <v>0</v>
      </c>
      <c r="DM239" s="12">
        <v>0</v>
      </c>
      <c r="DN239" s="12">
        <v>0</v>
      </c>
      <c r="DO239" s="12">
        <v>0</v>
      </c>
      <c r="DP239" s="12">
        <v>0</v>
      </c>
      <c r="DQ239" s="12">
        <v>0</v>
      </c>
      <c r="DR239" s="12">
        <v>0</v>
      </c>
      <c r="DS239" s="12">
        <v>0</v>
      </c>
      <c r="DT239" s="12">
        <v>0</v>
      </c>
      <c r="DU239" s="12">
        <v>0</v>
      </c>
      <c r="DV239" s="12">
        <v>0</v>
      </c>
      <c r="DW239" s="12">
        <v>0</v>
      </c>
      <c r="DX239" s="12">
        <v>0</v>
      </c>
      <c r="DY239" s="12">
        <v>0</v>
      </c>
      <c r="DZ239" s="12">
        <v>0</v>
      </c>
      <c r="EA239" s="12">
        <v>0</v>
      </c>
      <c r="EB239" s="12">
        <v>0</v>
      </c>
      <c r="EC239" s="12">
        <v>0</v>
      </c>
      <c r="ED239" s="12">
        <v>0</v>
      </c>
      <c r="EE239" s="12">
        <v>0</v>
      </c>
      <c r="EF239" s="12">
        <v>0</v>
      </c>
      <c r="EG239" s="12">
        <v>0</v>
      </c>
      <c r="EH239" s="12">
        <v>0</v>
      </c>
      <c r="EI239" s="12">
        <v>0</v>
      </c>
      <c r="EJ239" s="12">
        <v>0</v>
      </c>
      <c r="EK239" s="12">
        <v>0</v>
      </c>
      <c r="EL239" s="12">
        <v>0</v>
      </c>
      <c r="EM239" s="12">
        <v>0</v>
      </c>
      <c r="EN239" s="12">
        <v>0</v>
      </c>
      <c r="EO239" s="12">
        <v>0</v>
      </c>
      <c r="EP239" s="12" t="str">
        <f t="shared" si="49"/>
        <v>🔴 Sin venta</v>
      </c>
      <c r="EQ239" s="23">
        <f t="shared" si="50"/>
        <v>0</v>
      </c>
      <c r="ER239" s="19">
        <f t="shared" si="48"/>
        <v>0</v>
      </c>
      <c r="ES239" s="12">
        <f t="shared" si="47"/>
        <v>0</v>
      </c>
      <c r="ET239" s="23">
        <f t="shared" si="52"/>
        <v>0</v>
      </c>
      <c r="EU239" s="23">
        <f t="shared" si="51"/>
        <v>0</v>
      </c>
      <c r="EV239" s="23">
        <f t="shared" si="53"/>
        <v>0</v>
      </c>
      <c r="EW239" s="23"/>
      <c r="EX239" s="12">
        <v>0</v>
      </c>
      <c r="EY239" s="19" cm="1">
        <f t="array" ref="EY239:FC239">VLOOKUP(_xlfn.SINGLE(B:B),'[1]Price List'!$B:$N,{8,4,5,6,7},0)</f>
        <v>413.28</v>
      </c>
      <c r="EZ239" s="9" t="str">
        <v>Speck Presidio Pro - Pink For iPhone 11</v>
      </c>
      <c r="FA239" s="12" t="str">
        <v>Cases iPhone</v>
      </c>
      <c r="FB239" s="12" t="str">
        <v>iPhone 11</v>
      </c>
      <c r="FC239" s="12" t="str">
        <v>iPhone 11</v>
      </c>
      <c r="FD239" s="23" t="str">
        <f>_xlfn.XLOOKUP(B:B,'[1]Price List'!$B:$B,'[1]Price List'!$A:$A)</f>
        <v>Speck</v>
      </c>
    </row>
    <row r="240" spans="1:160" s="9" customFormat="1" x14ac:dyDescent="0.2">
      <c r="A240" s="23" t="s">
        <v>599</v>
      </c>
      <c r="B240" s="23">
        <v>840168502233</v>
      </c>
      <c r="C240" s="9" t="s">
        <v>86</v>
      </c>
      <c r="D240" s="9" t="e">
        <v>#N/A</v>
      </c>
      <c r="E240" s="9" t="e">
        <v>#N/A</v>
      </c>
      <c r="F240" s="9" t="e">
        <v>#N/A</v>
      </c>
      <c r="G240" s="9" t="s">
        <v>691</v>
      </c>
      <c r="H240" s="12" t="s">
        <v>129</v>
      </c>
      <c r="I240" s="11">
        <v>1099</v>
      </c>
      <c r="J240" s="11">
        <v>426.34</v>
      </c>
      <c r="K240" s="62">
        <v>0</v>
      </c>
      <c r="L240" s="12">
        <v>0</v>
      </c>
      <c r="M240" s="13" t="s">
        <v>467</v>
      </c>
      <c r="N240" s="13" t="s">
        <v>656</v>
      </c>
      <c r="O240" s="27">
        <v>44208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  <c r="V240" s="12">
        <v>0</v>
      </c>
      <c r="W240" s="12">
        <v>0</v>
      </c>
      <c r="X240" s="12">
        <v>0</v>
      </c>
      <c r="Y240" s="12">
        <v>0</v>
      </c>
      <c r="Z240" s="12">
        <v>0</v>
      </c>
      <c r="AA240" s="12">
        <v>0</v>
      </c>
      <c r="AB240" s="12">
        <v>0</v>
      </c>
      <c r="AC240" s="12">
        <v>0</v>
      </c>
      <c r="AD240" s="12">
        <v>0</v>
      </c>
      <c r="AE240" s="12">
        <v>0</v>
      </c>
      <c r="AF240" s="12">
        <v>0</v>
      </c>
      <c r="AG240" s="12">
        <v>0</v>
      </c>
      <c r="AH240" s="12">
        <v>0</v>
      </c>
      <c r="AI240" s="12">
        <v>0</v>
      </c>
      <c r="AJ240" s="12">
        <v>0</v>
      </c>
      <c r="AK240" s="12">
        <v>0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2">
        <v>0</v>
      </c>
      <c r="AW240" s="12">
        <v>0</v>
      </c>
      <c r="AX240" s="12">
        <v>0</v>
      </c>
      <c r="AY240" s="12">
        <v>0</v>
      </c>
      <c r="AZ240" s="12">
        <v>0</v>
      </c>
      <c r="BA240" s="12">
        <v>0</v>
      </c>
      <c r="BB240" s="12">
        <v>0</v>
      </c>
      <c r="BC240" s="12">
        <v>0</v>
      </c>
      <c r="BD240" s="12">
        <v>0</v>
      </c>
      <c r="BE240" s="12">
        <v>0</v>
      </c>
      <c r="BF240" s="12">
        <v>0</v>
      </c>
      <c r="BG240" s="12">
        <v>0</v>
      </c>
      <c r="BH240" s="12">
        <v>0</v>
      </c>
      <c r="BI240" s="12">
        <v>0</v>
      </c>
      <c r="BJ240" s="12">
        <v>0</v>
      </c>
      <c r="BK240" s="12">
        <v>0</v>
      </c>
      <c r="BL240" s="12">
        <v>0</v>
      </c>
      <c r="BM240" s="12">
        <v>0</v>
      </c>
      <c r="BN240" s="12">
        <v>0</v>
      </c>
      <c r="BO240" s="12">
        <v>0</v>
      </c>
      <c r="BP240" s="12">
        <v>0</v>
      </c>
      <c r="BQ240" s="12">
        <v>0</v>
      </c>
      <c r="BR240" s="12">
        <v>0</v>
      </c>
      <c r="BS240" s="12">
        <v>0</v>
      </c>
      <c r="BT240" s="12">
        <v>0</v>
      </c>
      <c r="BU240" s="12">
        <v>0</v>
      </c>
      <c r="BV240" s="12">
        <v>0</v>
      </c>
      <c r="BW240" s="12">
        <v>0</v>
      </c>
      <c r="BX240" s="12">
        <v>0</v>
      </c>
      <c r="BY240" s="12">
        <v>0</v>
      </c>
      <c r="BZ240" s="12">
        <v>0</v>
      </c>
      <c r="CA240" s="12">
        <v>0</v>
      </c>
      <c r="CB240" s="12">
        <v>0</v>
      </c>
      <c r="CC240" s="12">
        <v>0</v>
      </c>
      <c r="CD240" s="12">
        <v>0</v>
      </c>
      <c r="CE240" s="12">
        <v>0</v>
      </c>
      <c r="CF240" s="12">
        <v>0</v>
      </c>
      <c r="CG240" s="12">
        <v>0</v>
      </c>
      <c r="CH240" s="12">
        <v>0</v>
      </c>
      <c r="CI240" s="12">
        <v>0</v>
      </c>
      <c r="CJ240" s="12">
        <v>0</v>
      </c>
      <c r="CK240" s="12">
        <v>0</v>
      </c>
      <c r="CL240" s="12">
        <v>0</v>
      </c>
      <c r="CM240" s="12">
        <v>0</v>
      </c>
      <c r="CN240" s="12">
        <v>0</v>
      </c>
      <c r="CO240" s="12">
        <v>0</v>
      </c>
      <c r="CP240" s="12">
        <v>0</v>
      </c>
      <c r="CQ240" s="12">
        <v>0</v>
      </c>
      <c r="CR240" s="12">
        <v>0</v>
      </c>
      <c r="CS240" s="12">
        <v>0</v>
      </c>
      <c r="CT240" s="12">
        <v>0</v>
      </c>
      <c r="CU240" s="12">
        <v>0</v>
      </c>
      <c r="CV240" s="12">
        <v>0</v>
      </c>
      <c r="CW240" s="12">
        <v>0</v>
      </c>
      <c r="CX240" s="12">
        <v>0</v>
      </c>
      <c r="CY240" s="12">
        <v>0</v>
      </c>
      <c r="CZ240" s="12">
        <v>0</v>
      </c>
      <c r="DA240" s="12">
        <v>0</v>
      </c>
      <c r="DB240" s="12">
        <v>0</v>
      </c>
      <c r="DC240" s="12">
        <v>0</v>
      </c>
      <c r="DD240" s="12">
        <v>0</v>
      </c>
      <c r="DE240" s="12">
        <v>0</v>
      </c>
      <c r="DF240" s="12">
        <v>0</v>
      </c>
      <c r="DG240" s="12">
        <v>0</v>
      </c>
      <c r="DH240" s="12">
        <v>0</v>
      </c>
      <c r="DI240" s="12">
        <v>0</v>
      </c>
      <c r="DJ240" s="12">
        <v>0</v>
      </c>
      <c r="DK240" s="12">
        <v>0</v>
      </c>
      <c r="DL240" s="12">
        <v>0</v>
      </c>
      <c r="DM240" s="12">
        <v>0</v>
      </c>
      <c r="DN240" s="12">
        <v>0</v>
      </c>
      <c r="DO240" s="12">
        <v>0</v>
      </c>
      <c r="DP240" s="12">
        <v>0</v>
      </c>
      <c r="DQ240" s="12">
        <v>0</v>
      </c>
      <c r="DR240" s="12">
        <v>0</v>
      </c>
      <c r="DS240" s="12">
        <v>0</v>
      </c>
      <c r="DT240" s="12">
        <v>0</v>
      </c>
      <c r="DU240" s="12">
        <v>0</v>
      </c>
      <c r="DV240" s="12">
        <v>0</v>
      </c>
      <c r="DW240" s="12">
        <v>0</v>
      </c>
      <c r="DX240" s="12">
        <v>0</v>
      </c>
      <c r="DY240" s="12">
        <v>0</v>
      </c>
      <c r="DZ240" s="12">
        <v>0</v>
      </c>
      <c r="EA240" s="12">
        <v>0</v>
      </c>
      <c r="EB240" s="12">
        <v>0</v>
      </c>
      <c r="EC240" s="12">
        <v>0</v>
      </c>
      <c r="ED240" s="12">
        <v>0</v>
      </c>
      <c r="EE240" s="12">
        <v>0</v>
      </c>
      <c r="EF240" s="12">
        <v>0</v>
      </c>
      <c r="EG240" s="12">
        <v>0</v>
      </c>
      <c r="EH240" s="12">
        <v>0</v>
      </c>
      <c r="EI240" s="12">
        <v>0</v>
      </c>
      <c r="EJ240" s="12">
        <v>0</v>
      </c>
      <c r="EK240" s="12">
        <v>0</v>
      </c>
      <c r="EL240" s="12">
        <v>0</v>
      </c>
      <c r="EM240" s="12">
        <v>0</v>
      </c>
      <c r="EN240" s="12">
        <v>0</v>
      </c>
      <c r="EO240" s="12">
        <v>0</v>
      </c>
      <c r="EP240" s="12" t="str">
        <f t="shared" si="49"/>
        <v>🔴 Sin venta</v>
      </c>
      <c r="EQ240" s="23">
        <f t="shared" si="50"/>
        <v>0</v>
      </c>
      <c r="ER240" s="19">
        <f t="shared" si="48"/>
        <v>0</v>
      </c>
      <c r="ES240" s="12">
        <f t="shared" si="47"/>
        <v>0</v>
      </c>
      <c r="ET240" s="23">
        <f t="shared" si="52"/>
        <v>0</v>
      </c>
      <c r="EU240" s="23">
        <f t="shared" si="51"/>
        <v>0</v>
      </c>
      <c r="EV240" s="23">
        <f t="shared" si="53"/>
        <v>0</v>
      </c>
      <c r="EW240" s="23"/>
      <c r="EX240" s="12">
        <v>0</v>
      </c>
      <c r="EY240" s="19" cm="1">
        <f t="array" ref="EY240:FC240">VLOOKUP(_xlfn.SINGLE(B:B),'[1]Price List'!$B:$N,{8,4,5,6,7},0)</f>
        <v>426.34</v>
      </c>
      <c r="EZ240" s="9" t="str">
        <v>Speck Presidio Perfect Clear Case with Magsafe for iPhone 12/12 Pro - Clear</v>
      </c>
      <c r="FA240" s="12" t="str">
        <v>Cases iPhone</v>
      </c>
      <c r="FB240" s="12" t="str">
        <v>iPhone 12</v>
      </c>
      <c r="FC240" s="12" t="str">
        <v xml:space="preserve">iPhone 12/12 Pro </v>
      </c>
      <c r="FD240" s="23" t="str">
        <f>_xlfn.XLOOKUP(B:B,'[1]Price List'!$B:$B,'[1]Price List'!$A:$A)</f>
        <v>Speck</v>
      </c>
    </row>
    <row r="241" spans="1:160" s="9" customFormat="1" x14ac:dyDescent="0.2">
      <c r="A241" s="23" t="s">
        <v>599</v>
      </c>
      <c r="B241" s="23">
        <v>848709066329</v>
      </c>
      <c r="C241" s="9" t="s">
        <v>10</v>
      </c>
      <c r="D241" s="9" t="e">
        <v>#N/A</v>
      </c>
      <c r="E241" s="9" t="e">
        <v>#N/A</v>
      </c>
      <c r="F241" s="9" t="e">
        <v>#N/A</v>
      </c>
      <c r="G241" s="9" t="s">
        <v>676</v>
      </c>
      <c r="H241" s="12" t="s">
        <v>11</v>
      </c>
      <c r="I241" s="11">
        <v>1299</v>
      </c>
      <c r="J241" s="11">
        <v>671.9</v>
      </c>
      <c r="K241" s="62">
        <v>0</v>
      </c>
      <c r="L241" s="12">
        <v>399</v>
      </c>
      <c r="M241" s="13" t="s">
        <v>467</v>
      </c>
      <c r="N241" s="13" t="s">
        <v>656</v>
      </c>
      <c r="O241" s="27" t="s">
        <v>5</v>
      </c>
      <c r="P241" s="12">
        <v>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0</v>
      </c>
      <c r="W241" s="12">
        <v>0</v>
      </c>
      <c r="X241" s="12">
        <v>0</v>
      </c>
      <c r="Y241" s="12">
        <v>0</v>
      </c>
      <c r="Z241" s="12">
        <v>0</v>
      </c>
      <c r="AA241" s="12">
        <v>0</v>
      </c>
      <c r="AB241" s="12">
        <v>0</v>
      </c>
      <c r="AC241" s="12">
        <v>0</v>
      </c>
      <c r="AD241" s="12">
        <v>0</v>
      </c>
      <c r="AE241" s="12">
        <v>0</v>
      </c>
      <c r="AF241" s="12">
        <v>0</v>
      </c>
      <c r="AG241" s="12">
        <v>0</v>
      </c>
      <c r="AH241" s="12">
        <v>0</v>
      </c>
      <c r="AI241" s="12">
        <v>0</v>
      </c>
      <c r="AJ241" s="12">
        <v>0</v>
      </c>
      <c r="AK241" s="12">
        <v>0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2">
        <v>0</v>
      </c>
      <c r="AW241" s="12">
        <v>0</v>
      </c>
      <c r="AX241" s="12">
        <v>0</v>
      </c>
      <c r="AY241" s="12">
        <v>0</v>
      </c>
      <c r="AZ241" s="12">
        <v>0</v>
      </c>
      <c r="BA241" s="12">
        <v>0</v>
      </c>
      <c r="BB241" s="12">
        <v>0</v>
      </c>
      <c r="BC241" s="12">
        <v>0</v>
      </c>
      <c r="BD241" s="12">
        <v>0</v>
      </c>
      <c r="BE241" s="12">
        <v>0</v>
      </c>
      <c r="BF241" s="12">
        <v>0</v>
      </c>
      <c r="BG241" s="12">
        <v>0</v>
      </c>
      <c r="BH241" s="12">
        <v>0</v>
      </c>
      <c r="BI241" s="12">
        <v>0</v>
      </c>
      <c r="BJ241" s="12">
        <v>0</v>
      </c>
      <c r="BK241" s="12">
        <v>0</v>
      </c>
      <c r="BL241" s="12">
        <v>0</v>
      </c>
      <c r="BM241" s="12">
        <v>0</v>
      </c>
      <c r="BN241" s="12">
        <v>0</v>
      </c>
      <c r="BO241" s="12">
        <v>0</v>
      </c>
      <c r="BP241" s="12">
        <v>0</v>
      </c>
      <c r="BQ241" s="12">
        <v>0</v>
      </c>
      <c r="BR241" s="12">
        <v>0</v>
      </c>
      <c r="BS241" s="12">
        <v>0</v>
      </c>
      <c r="BT241" s="12">
        <v>0</v>
      </c>
      <c r="BU241" s="12">
        <v>0</v>
      </c>
      <c r="BV241" s="12">
        <v>0</v>
      </c>
      <c r="BW241" s="12">
        <v>0</v>
      </c>
      <c r="BX241" s="12">
        <v>0</v>
      </c>
      <c r="BY241" s="12">
        <v>0</v>
      </c>
      <c r="BZ241" s="12">
        <v>0</v>
      </c>
      <c r="CA241" s="12">
        <v>0</v>
      </c>
      <c r="CB241" s="12">
        <v>0</v>
      </c>
      <c r="CC241" s="12">
        <v>0</v>
      </c>
      <c r="CD241" s="12">
        <v>0</v>
      </c>
      <c r="CE241" s="12">
        <v>0</v>
      </c>
      <c r="CF241" s="12">
        <v>0</v>
      </c>
      <c r="CG241" s="12">
        <v>0</v>
      </c>
      <c r="CH241" s="12">
        <v>0</v>
      </c>
      <c r="CI241" s="12">
        <v>0</v>
      </c>
      <c r="CJ241" s="12">
        <v>0</v>
      </c>
      <c r="CK241" s="12">
        <v>0</v>
      </c>
      <c r="CL241" s="12">
        <v>0</v>
      </c>
      <c r="CM241" s="12">
        <v>0</v>
      </c>
      <c r="CN241" s="12">
        <v>0</v>
      </c>
      <c r="CO241" s="12">
        <v>0</v>
      </c>
      <c r="CP241" s="12">
        <v>0</v>
      </c>
      <c r="CQ241" s="12">
        <v>0</v>
      </c>
      <c r="CR241" s="12">
        <v>0</v>
      </c>
      <c r="CS241" s="12">
        <v>0</v>
      </c>
      <c r="CT241" s="12">
        <v>0</v>
      </c>
      <c r="CU241" s="12">
        <v>0</v>
      </c>
      <c r="CV241" s="12">
        <v>0</v>
      </c>
      <c r="CW241" s="12">
        <v>0</v>
      </c>
      <c r="CX241" s="12">
        <v>0</v>
      </c>
      <c r="CY241" s="12">
        <v>0</v>
      </c>
      <c r="CZ241" s="12">
        <v>0</v>
      </c>
      <c r="DA241" s="12">
        <v>0</v>
      </c>
      <c r="DB241" s="12">
        <v>0</v>
      </c>
      <c r="DC241" s="12">
        <v>0</v>
      </c>
      <c r="DD241" s="12">
        <v>0</v>
      </c>
      <c r="DE241" s="12">
        <v>0</v>
      </c>
      <c r="DF241" s="12">
        <v>0</v>
      </c>
      <c r="DG241" s="12">
        <v>0</v>
      </c>
      <c r="DH241" s="12">
        <v>0</v>
      </c>
      <c r="DI241" s="12">
        <v>0</v>
      </c>
      <c r="DJ241" s="12">
        <v>0</v>
      </c>
      <c r="DK241" s="12">
        <v>0</v>
      </c>
      <c r="DL241" s="12">
        <v>0</v>
      </c>
      <c r="DM241" s="12">
        <v>0</v>
      </c>
      <c r="DN241" s="12">
        <v>0</v>
      </c>
      <c r="DO241" s="12">
        <v>0</v>
      </c>
      <c r="DP241" s="12">
        <v>0</v>
      </c>
      <c r="DQ241" s="12">
        <v>0</v>
      </c>
      <c r="DR241" s="12">
        <v>0</v>
      </c>
      <c r="DS241" s="12">
        <v>0</v>
      </c>
      <c r="DT241" s="12">
        <v>0</v>
      </c>
      <c r="DU241" s="12">
        <v>0</v>
      </c>
      <c r="DV241" s="12">
        <v>0</v>
      </c>
      <c r="DW241" s="12">
        <v>0</v>
      </c>
      <c r="DX241" s="12">
        <v>0</v>
      </c>
      <c r="DY241" s="12">
        <v>0</v>
      </c>
      <c r="DZ241" s="12">
        <v>0</v>
      </c>
      <c r="EA241" s="12">
        <v>0</v>
      </c>
      <c r="EB241" s="12">
        <v>0</v>
      </c>
      <c r="EC241" s="12">
        <v>0</v>
      </c>
      <c r="ED241" s="12">
        <v>0</v>
      </c>
      <c r="EE241" s="12">
        <v>0</v>
      </c>
      <c r="EF241" s="12">
        <v>0</v>
      </c>
      <c r="EG241" s="12">
        <v>0</v>
      </c>
      <c r="EH241" s="12">
        <v>0</v>
      </c>
      <c r="EI241" s="12">
        <v>0</v>
      </c>
      <c r="EJ241" s="12">
        <v>0</v>
      </c>
      <c r="EK241" s="12">
        <v>0</v>
      </c>
      <c r="EL241" s="12">
        <v>0</v>
      </c>
      <c r="EM241" s="12">
        <v>0</v>
      </c>
      <c r="EN241" s="12">
        <v>0</v>
      </c>
      <c r="EO241" s="12">
        <v>0</v>
      </c>
      <c r="EP241" s="12" t="str">
        <f t="shared" si="49"/>
        <v>🔴 Sin venta</v>
      </c>
      <c r="EQ241" s="23">
        <f t="shared" si="50"/>
        <v>0</v>
      </c>
      <c r="ER241" s="19">
        <f t="shared" si="48"/>
        <v>0</v>
      </c>
      <c r="ES241" s="12">
        <f t="shared" si="47"/>
        <v>0</v>
      </c>
      <c r="ET241" s="23">
        <f t="shared" si="52"/>
        <v>0</v>
      </c>
      <c r="EU241" s="23">
        <f t="shared" si="51"/>
        <v>0</v>
      </c>
      <c r="EV241" s="23">
        <f t="shared" ref="EV241:EV253" si="54">ROUND((AVERAGE(DP241:ED241)*4),2)</f>
        <v>0</v>
      </c>
      <c r="EW241" s="23"/>
      <c r="EX241" s="12">
        <v>1</v>
      </c>
      <c r="EY241" s="19" cm="1">
        <f t="array" ref="EY241:FC241">VLOOKUP(_xlfn.SINGLE(B:B),'[1]Price List'!$B:$N,{8,4,5,6,7},0)</f>
        <v>671.9</v>
      </c>
      <c r="EZ241" s="9" t="str">
        <v>Speck Presidio Pro - Black iPad Pro 11</v>
      </c>
      <c r="FA241" s="12" t="str">
        <v>Cases iPad</v>
      </c>
      <c r="FB241" s="12" t="str">
        <v>iPad</v>
      </c>
      <c r="FC241" s="12" t="str">
        <v>iPad Pro 11" 2/3/4/Air 4/5</v>
      </c>
      <c r="FD241" s="23" t="str">
        <f>_xlfn.XLOOKUP(B:B,'[1]Price List'!$B:$B,'[1]Price List'!$A:$A)</f>
        <v>Speck</v>
      </c>
    </row>
    <row r="242" spans="1:160" s="9" customFormat="1" x14ac:dyDescent="0.2">
      <c r="A242" s="23" t="s">
        <v>599</v>
      </c>
      <c r="B242" s="23">
        <v>848709071378</v>
      </c>
      <c r="C242" s="9" t="s">
        <v>21</v>
      </c>
      <c r="D242" s="9" t="e">
        <v>#N/A</v>
      </c>
      <c r="E242" s="9" t="e">
        <v>#N/A</v>
      </c>
      <c r="F242" s="9" t="e">
        <v>#N/A</v>
      </c>
      <c r="G242" s="9" t="s">
        <v>303</v>
      </c>
      <c r="H242" s="12" t="s">
        <v>22</v>
      </c>
      <c r="I242" s="11">
        <v>1099</v>
      </c>
      <c r="J242" s="11">
        <v>568.45000000000005</v>
      </c>
      <c r="K242" s="62">
        <v>0</v>
      </c>
      <c r="L242" s="12">
        <v>399</v>
      </c>
      <c r="M242" s="13" t="s">
        <v>467</v>
      </c>
      <c r="N242" s="13" t="s">
        <v>656</v>
      </c>
      <c r="O242" s="27" t="s">
        <v>16</v>
      </c>
      <c r="P242" s="12">
        <v>0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  <c r="V242" s="12">
        <v>0</v>
      </c>
      <c r="W242" s="12">
        <v>0</v>
      </c>
      <c r="X242" s="12">
        <v>0</v>
      </c>
      <c r="Y242" s="12">
        <v>0</v>
      </c>
      <c r="Z242" s="12">
        <v>0</v>
      </c>
      <c r="AA242" s="12">
        <v>0</v>
      </c>
      <c r="AB242" s="12">
        <v>0</v>
      </c>
      <c r="AC242" s="12">
        <v>0</v>
      </c>
      <c r="AD242" s="12">
        <v>0</v>
      </c>
      <c r="AE242" s="12">
        <v>0</v>
      </c>
      <c r="AF242" s="12">
        <v>0</v>
      </c>
      <c r="AG242" s="12">
        <v>0</v>
      </c>
      <c r="AH242" s="12">
        <v>0</v>
      </c>
      <c r="AI242" s="12">
        <v>0</v>
      </c>
      <c r="AJ242" s="12">
        <v>0</v>
      </c>
      <c r="AK242" s="12">
        <v>0</v>
      </c>
      <c r="AL242" s="12">
        <v>0</v>
      </c>
      <c r="AM242" s="12">
        <v>0</v>
      </c>
      <c r="AN242" s="12">
        <v>0</v>
      </c>
      <c r="AO242" s="12">
        <v>0</v>
      </c>
      <c r="AP242" s="12">
        <v>0</v>
      </c>
      <c r="AQ242" s="12">
        <v>0</v>
      </c>
      <c r="AR242" s="12">
        <v>0</v>
      </c>
      <c r="AS242" s="12">
        <v>0</v>
      </c>
      <c r="AT242" s="12">
        <v>0</v>
      </c>
      <c r="AU242" s="12">
        <v>0</v>
      </c>
      <c r="AV242" s="12">
        <v>0</v>
      </c>
      <c r="AW242" s="12">
        <v>0</v>
      </c>
      <c r="AX242" s="12">
        <v>0</v>
      </c>
      <c r="AY242" s="12">
        <v>0</v>
      </c>
      <c r="AZ242" s="12">
        <v>0</v>
      </c>
      <c r="BA242" s="12">
        <v>0</v>
      </c>
      <c r="BB242" s="12">
        <v>0</v>
      </c>
      <c r="BC242" s="12">
        <v>0</v>
      </c>
      <c r="BD242" s="12">
        <v>0</v>
      </c>
      <c r="BE242" s="12">
        <v>0</v>
      </c>
      <c r="BF242" s="12">
        <v>0</v>
      </c>
      <c r="BG242" s="12">
        <v>0</v>
      </c>
      <c r="BH242" s="12">
        <v>0</v>
      </c>
      <c r="BI242" s="12">
        <v>0</v>
      </c>
      <c r="BJ242" s="12">
        <v>0</v>
      </c>
      <c r="BK242" s="12">
        <v>0</v>
      </c>
      <c r="BL242" s="12">
        <v>0</v>
      </c>
      <c r="BM242" s="12">
        <v>0</v>
      </c>
      <c r="BN242" s="12">
        <v>0</v>
      </c>
      <c r="BO242" s="12">
        <v>0</v>
      </c>
      <c r="BP242" s="12">
        <v>0</v>
      </c>
      <c r="BQ242" s="12">
        <v>0</v>
      </c>
      <c r="BR242" s="12">
        <v>0</v>
      </c>
      <c r="BS242" s="12">
        <v>0</v>
      </c>
      <c r="BT242" s="12">
        <v>0</v>
      </c>
      <c r="BU242" s="12">
        <v>0</v>
      </c>
      <c r="BV242" s="12">
        <v>0</v>
      </c>
      <c r="BW242" s="12">
        <v>0</v>
      </c>
      <c r="BX242" s="12">
        <v>0</v>
      </c>
      <c r="BY242" s="12">
        <v>0</v>
      </c>
      <c r="BZ242" s="12">
        <v>0</v>
      </c>
      <c r="CA242" s="12">
        <v>0</v>
      </c>
      <c r="CB242" s="12">
        <v>0</v>
      </c>
      <c r="CC242" s="12">
        <v>0</v>
      </c>
      <c r="CD242" s="12">
        <v>0</v>
      </c>
      <c r="CE242" s="12">
        <v>0</v>
      </c>
      <c r="CF242" s="12">
        <v>0</v>
      </c>
      <c r="CG242" s="12">
        <v>0</v>
      </c>
      <c r="CH242" s="12">
        <v>0</v>
      </c>
      <c r="CI242" s="12">
        <v>0</v>
      </c>
      <c r="CJ242" s="12">
        <v>0</v>
      </c>
      <c r="CK242" s="12">
        <v>0</v>
      </c>
      <c r="CL242" s="12">
        <v>0</v>
      </c>
      <c r="CM242" s="12">
        <v>0</v>
      </c>
      <c r="CN242" s="12">
        <v>0</v>
      </c>
      <c r="CO242" s="12">
        <v>0</v>
      </c>
      <c r="CP242" s="12">
        <v>0</v>
      </c>
      <c r="CQ242" s="12">
        <v>0</v>
      </c>
      <c r="CR242" s="12">
        <v>0</v>
      </c>
      <c r="CS242" s="12">
        <v>0</v>
      </c>
      <c r="CT242" s="12">
        <v>0</v>
      </c>
      <c r="CU242" s="12">
        <v>0</v>
      </c>
      <c r="CV242" s="12">
        <v>0</v>
      </c>
      <c r="CW242" s="12">
        <v>0</v>
      </c>
      <c r="CX242" s="12">
        <v>0</v>
      </c>
      <c r="CY242" s="12">
        <v>0</v>
      </c>
      <c r="CZ242" s="12">
        <v>0</v>
      </c>
      <c r="DA242" s="12">
        <v>0</v>
      </c>
      <c r="DB242" s="12">
        <v>0</v>
      </c>
      <c r="DC242" s="12">
        <v>0</v>
      </c>
      <c r="DD242" s="12">
        <v>0</v>
      </c>
      <c r="DE242" s="12">
        <v>0</v>
      </c>
      <c r="DF242" s="12">
        <v>0</v>
      </c>
      <c r="DG242" s="12">
        <v>0</v>
      </c>
      <c r="DH242" s="12">
        <v>0</v>
      </c>
      <c r="DI242" s="12">
        <v>0</v>
      </c>
      <c r="DJ242" s="12">
        <v>0</v>
      </c>
      <c r="DK242" s="12">
        <v>0</v>
      </c>
      <c r="DL242" s="12">
        <v>0</v>
      </c>
      <c r="DM242" s="12">
        <v>0</v>
      </c>
      <c r="DN242" s="12">
        <v>0</v>
      </c>
      <c r="DO242" s="12">
        <v>0</v>
      </c>
      <c r="DP242" s="12">
        <v>0</v>
      </c>
      <c r="DQ242" s="12">
        <v>0</v>
      </c>
      <c r="DR242" s="12">
        <v>0</v>
      </c>
      <c r="DS242" s="12">
        <v>0</v>
      </c>
      <c r="DT242" s="12">
        <v>0</v>
      </c>
      <c r="DU242" s="12">
        <v>0</v>
      </c>
      <c r="DV242" s="12">
        <v>0</v>
      </c>
      <c r="DW242" s="12">
        <v>0</v>
      </c>
      <c r="DX242" s="12">
        <v>0</v>
      </c>
      <c r="DY242" s="12">
        <v>0</v>
      </c>
      <c r="DZ242" s="12">
        <v>0</v>
      </c>
      <c r="EA242" s="12">
        <v>0</v>
      </c>
      <c r="EB242" s="12">
        <v>0</v>
      </c>
      <c r="EC242" s="12">
        <v>0</v>
      </c>
      <c r="ED242" s="12">
        <v>0</v>
      </c>
      <c r="EE242" s="12">
        <v>0</v>
      </c>
      <c r="EF242" s="12">
        <v>0</v>
      </c>
      <c r="EG242" s="12">
        <v>0</v>
      </c>
      <c r="EH242" s="12">
        <v>0</v>
      </c>
      <c r="EI242" s="12">
        <v>0</v>
      </c>
      <c r="EJ242" s="12">
        <v>0</v>
      </c>
      <c r="EK242" s="12">
        <v>0</v>
      </c>
      <c r="EL242" s="12">
        <v>0</v>
      </c>
      <c r="EM242" s="12">
        <v>0</v>
      </c>
      <c r="EN242" s="12">
        <v>0</v>
      </c>
      <c r="EO242" s="12">
        <v>0</v>
      </c>
      <c r="EP242" s="12" t="str">
        <f t="shared" si="49"/>
        <v>🔴 Sin venta</v>
      </c>
      <c r="EQ242" s="23">
        <f t="shared" si="50"/>
        <v>0</v>
      </c>
      <c r="ER242" s="19">
        <f t="shared" si="48"/>
        <v>0</v>
      </c>
      <c r="ES242" s="12">
        <f t="shared" si="47"/>
        <v>0</v>
      </c>
      <c r="ET242" s="23">
        <f t="shared" si="52"/>
        <v>0</v>
      </c>
      <c r="EU242" s="23">
        <f t="shared" si="51"/>
        <v>0</v>
      </c>
      <c r="EV242" s="23">
        <f t="shared" si="54"/>
        <v>0</v>
      </c>
      <c r="EW242" s="23"/>
      <c r="EX242" s="12">
        <v>1</v>
      </c>
      <c r="EY242" s="19" cm="1">
        <f t="array" ref="EY242:FC242">VLOOKUP(_xlfn.SINGLE(B:B),'[1]Price List'!$B:$N,{8,4,5,6,7},0)</f>
        <v>568.45000000000005</v>
      </c>
      <c r="EZ242" s="9" t="str">
        <v>Speck Smartshell - Blue MacBook  Air 13 Rd</v>
      </c>
      <c r="FA242" s="12" t="str">
        <v>Cases Macbook</v>
      </c>
      <c r="FB242" s="12" t="str">
        <v>Macbook</v>
      </c>
      <c r="FC242" s="12" t="str">
        <v>MacBook Air 13" M2 Cases</v>
      </c>
      <c r="FD242" s="23" t="str">
        <f>_xlfn.XLOOKUP(B:B,'[1]Price List'!$B:$B,'[1]Price List'!$A:$A)</f>
        <v>Speck</v>
      </c>
    </row>
    <row r="243" spans="1:160" s="9" customFormat="1" x14ac:dyDescent="0.2">
      <c r="A243" s="23" t="s">
        <v>599</v>
      </c>
      <c r="B243" s="23">
        <v>848709071484</v>
      </c>
      <c r="C243" s="9" t="s">
        <v>19</v>
      </c>
      <c r="D243" s="9" t="e">
        <v>#N/A</v>
      </c>
      <c r="E243" s="9" t="e">
        <v>#N/A</v>
      </c>
      <c r="F243" s="9" t="e">
        <v>#N/A</v>
      </c>
      <c r="G243" s="9" t="s">
        <v>303</v>
      </c>
      <c r="H243" s="12" t="s">
        <v>20</v>
      </c>
      <c r="I243" s="11">
        <v>1099</v>
      </c>
      <c r="J243" s="11">
        <v>568.45000000000005</v>
      </c>
      <c r="K243" s="62">
        <v>0</v>
      </c>
      <c r="L243" s="12">
        <v>399</v>
      </c>
      <c r="M243" s="13" t="s">
        <v>467</v>
      </c>
      <c r="N243" s="13" t="s">
        <v>656</v>
      </c>
      <c r="O243" s="27" t="s">
        <v>16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  <c r="V243" s="12">
        <v>0</v>
      </c>
      <c r="W243" s="12">
        <v>0</v>
      </c>
      <c r="X243" s="12">
        <v>0</v>
      </c>
      <c r="Y243" s="12">
        <v>0</v>
      </c>
      <c r="Z243" s="12">
        <v>0</v>
      </c>
      <c r="AA243" s="12">
        <v>0</v>
      </c>
      <c r="AB243" s="12">
        <v>0</v>
      </c>
      <c r="AC243" s="12">
        <v>0</v>
      </c>
      <c r="AD243" s="12">
        <v>0</v>
      </c>
      <c r="AE243" s="12">
        <v>0</v>
      </c>
      <c r="AF243" s="12">
        <v>0</v>
      </c>
      <c r="AG243" s="12">
        <v>0</v>
      </c>
      <c r="AH243" s="12">
        <v>0</v>
      </c>
      <c r="AI243" s="12">
        <v>0</v>
      </c>
      <c r="AJ243" s="12">
        <v>0</v>
      </c>
      <c r="AK243" s="12">
        <v>0</v>
      </c>
      <c r="AL243" s="12">
        <v>0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2">
        <v>0</v>
      </c>
      <c r="AW243" s="12">
        <v>0</v>
      </c>
      <c r="AX243" s="12">
        <v>0</v>
      </c>
      <c r="AY243" s="12">
        <v>0</v>
      </c>
      <c r="AZ243" s="12">
        <v>0</v>
      </c>
      <c r="BA243" s="12">
        <v>0</v>
      </c>
      <c r="BB243" s="12">
        <v>0</v>
      </c>
      <c r="BC243" s="12">
        <v>0</v>
      </c>
      <c r="BD243" s="12">
        <v>0</v>
      </c>
      <c r="BE243" s="12">
        <v>0</v>
      </c>
      <c r="BF243" s="12">
        <v>0</v>
      </c>
      <c r="BG243" s="12">
        <v>0</v>
      </c>
      <c r="BH243" s="12">
        <v>0</v>
      </c>
      <c r="BI243" s="12">
        <v>0</v>
      </c>
      <c r="BJ243" s="12">
        <v>0</v>
      </c>
      <c r="BK243" s="12">
        <v>0</v>
      </c>
      <c r="BL243" s="12">
        <v>0</v>
      </c>
      <c r="BM243" s="12">
        <v>0</v>
      </c>
      <c r="BN243" s="12">
        <v>0</v>
      </c>
      <c r="BO243" s="12">
        <v>0</v>
      </c>
      <c r="BP243" s="12">
        <v>0</v>
      </c>
      <c r="BQ243" s="12">
        <v>0</v>
      </c>
      <c r="BR243" s="12">
        <v>0</v>
      </c>
      <c r="BS243" s="12">
        <v>0</v>
      </c>
      <c r="BT243" s="12">
        <v>0</v>
      </c>
      <c r="BU243" s="12">
        <v>0</v>
      </c>
      <c r="BV243" s="12">
        <v>0</v>
      </c>
      <c r="BW243" s="12">
        <v>0</v>
      </c>
      <c r="BX243" s="12">
        <v>0</v>
      </c>
      <c r="BY243" s="12">
        <v>0</v>
      </c>
      <c r="BZ243" s="12">
        <v>0</v>
      </c>
      <c r="CA243" s="12">
        <v>0</v>
      </c>
      <c r="CB243" s="12">
        <v>0</v>
      </c>
      <c r="CC243" s="12">
        <v>0</v>
      </c>
      <c r="CD243" s="12">
        <v>0</v>
      </c>
      <c r="CE243" s="12">
        <v>0</v>
      </c>
      <c r="CF243" s="12">
        <v>0</v>
      </c>
      <c r="CG243" s="12">
        <v>0</v>
      </c>
      <c r="CH243" s="12">
        <v>0</v>
      </c>
      <c r="CI243" s="12">
        <v>0</v>
      </c>
      <c r="CJ243" s="12">
        <v>0</v>
      </c>
      <c r="CK243" s="12">
        <v>0</v>
      </c>
      <c r="CL243" s="12">
        <v>0</v>
      </c>
      <c r="CM243" s="12">
        <v>0</v>
      </c>
      <c r="CN243" s="12">
        <v>0</v>
      </c>
      <c r="CO243" s="12">
        <v>0</v>
      </c>
      <c r="CP243" s="12">
        <v>0</v>
      </c>
      <c r="CQ243" s="12">
        <v>0</v>
      </c>
      <c r="CR243" s="12">
        <v>0</v>
      </c>
      <c r="CS243" s="12">
        <v>0</v>
      </c>
      <c r="CT243" s="12">
        <v>0</v>
      </c>
      <c r="CU243" s="12">
        <v>0</v>
      </c>
      <c r="CV243" s="12">
        <v>0</v>
      </c>
      <c r="CW243" s="12">
        <v>0</v>
      </c>
      <c r="CX243" s="12">
        <v>0</v>
      </c>
      <c r="CY243" s="12">
        <v>0</v>
      </c>
      <c r="CZ243" s="12">
        <v>0</v>
      </c>
      <c r="DA243" s="12">
        <v>0</v>
      </c>
      <c r="DB243" s="12">
        <v>0</v>
      </c>
      <c r="DC243" s="12">
        <v>0</v>
      </c>
      <c r="DD243" s="12">
        <v>0</v>
      </c>
      <c r="DE243" s="12">
        <v>0</v>
      </c>
      <c r="DF243" s="12">
        <v>0</v>
      </c>
      <c r="DG243" s="12">
        <v>0</v>
      </c>
      <c r="DH243" s="12">
        <v>0</v>
      </c>
      <c r="DI243" s="12">
        <v>0</v>
      </c>
      <c r="DJ243" s="12">
        <v>0</v>
      </c>
      <c r="DK243" s="12">
        <v>0</v>
      </c>
      <c r="DL243" s="12">
        <v>0</v>
      </c>
      <c r="DM243" s="12">
        <v>0</v>
      </c>
      <c r="DN243" s="12">
        <v>0</v>
      </c>
      <c r="DO243" s="12">
        <v>0</v>
      </c>
      <c r="DP243" s="12">
        <v>0</v>
      </c>
      <c r="DQ243" s="12">
        <v>0</v>
      </c>
      <c r="DR243" s="12">
        <v>0</v>
      </c>
      <c r="DS243" s="12">
        <v>0</v>
      </c>
      <c r="DT243" s="12">
        <v>0</v>
      </c>
      <c r="DU243" s="12">
        <v>0</v>
      </c>
      <c r="DV243" s="12">
        <v>0</v>
      </c>
      <c r="DW243" s="12">
        <v>0</v>
      </c>
      <c r="DX243" s="12">
        <v>0</v>
      </c>
      <c r="DY243" s="12">
        <v>0</v>
      </c>
      <c r="DZ243" s="12">
        <v>0</v>
      </c>
      <c r="EA243" s="12">
        <v>0</v>
      </c>
      <c r="EB243" s="12">
        <v>0</v>
      </c>
      <c r="EC243" s="12">
        <v>0</v>
      </c>
      <c r="ED243" s="12">
        <v>0</v>
      </c>
      <c r="EE243" s="12">
        <v>0</v>
      </c>
      <c r="EF243" s="12">
        <v>0</v>
      </c>
      <c r="EG243" s="12">
        <v>0</v>
      </c>
      <c r="EH243" s="12">
        <v>0</v>
      </c>
      <c r="EI243" s="12">
        <v>0</v>
      </c>
      <c r="EJ243" s="12">
        <v>0</v>
      </c>
      <c r="EK243" s="12">
        <v>0</v>
      </c>
      <c r="EL243" s="12">
        <v>0</v>
      </c>
      <c r="EM243" s="12">
        <v>0</v>
      </c>
      <c r="EN243" s="12">
        <v>0</v>
      </c>
      <c r="EO243" s="12">
        <v>0</v>
      </c>
      <c r="EP243" s="12" t="str">
        <f t="shared" si="49"/>
        <v>🔴 Sin venta</v>
      </c>
      <c r="EQ243" s="23">
        <f t="shared" si="50"/>
        <v>0</v>
      </c>
      <c r="ER243" s="19">
        <f t="shared" si="48"/>
        <v>0</v>
      </c>
      <c r="ES243" s="12">
        <f t="shared" si="47"/>
        <v>0</v>
      </c>
      <c r="ET243" s="23">
        <f t="shared" si="52"/>
        <v>0</v>
      </c>
      <c r="EU243" s="23">
        <f t="shared" si="51"/>
        <v>0</v>
      </c>
      <c r="EV243" s="23">
        <f t="shared" si="54"/>
        <v>0</v>
      </c>
      <c r="EW243" s="23"/>
      <c r="EX243" s="12">
        <v>0</v>
      </c>
      <c r="EY243" s="19" cm="1">
        <f t="array" ref="EY243:FC243">VLOOKUP(_xlfn.SINGLE(B:B),'[1]Price List'!$B:$N,{8,4,5,6,7},0)</f>
        <v>568.45000000000005</v>
      </c>
      <c r="EZ243" s="9" t="str">
        <v>Speck Smartshell - Rose Pink MacBook  Air 13 Rd</v>
      </c>
      <c r="FA243" s="12" t="str">
        <v>Cases Macbook</v>
      </c>
      <c r="FB243" s="12" t="str">
        <v>Macbook</v>
      </c>
      <c r="FC243" s="12" t="str">
        <v>MacBook Air 13" M2 Cases</v>
      </c>
      <c r="FD243" s="23" t="str">
        <f>_xlfn.XLOOKUP(B:B,'[1]Price List'!$B:$B,'[1]Price List'!$A:$A)</f>
        <v>Speck</v>
      </c>
    </row>
    <row r="244" spans="1:160" s="9" customFormat="1" x14ac:dyDescent="0.2">
      <c r="A244" s="23" t="s">
        <v>599</v>
      </c>
      <c r="B244" s="23">
        <v>848709075420</v>
      </c>
      <c r="C244" s="9" t="s">
        <v>32</v>
      </c>
      <c r="D244" s="9" t="e">
        <v>#N/A</v>
      </c>
      <c r="E244" s="9" t="e">
        <v>#N/A</v>
      </c>
      <c r="F244" s="9" t="e">
        <v>#N/A</v>
      </c>
      <c r="G244" s="9" t="s">
        <v>309</v>
      </c>
      <c r="H244" s="12" t="s">
        <v>33</v>
      </c>
      <c r="I244" s="12">
        <v>849</v>
      </c>
      <c r="J244" s="11">
        <v>439.14</v>
      </c>
      <c r="K244" s="62">
        <v>0</v>
      </c>
      <c r="L244" s="12">
        <v>0</v>
      </c>
      <c r="M244" s="13" t="s">
        <v>467</v>
      </c>
      <c r="N244" s="13" t="s">
        <v>656</v>
      </c>
      <c r="O244" s="27">
        <v>43717</v>
      </c>
      <c r="P244" s="12">
        <v>0</v>
      </c>
      <c r="Q244" s="12">
        <v>0</v>
      </c>
      <c r="R244" s="12">
        <v>0</v>
      </c>
      <c r="S244" s="12">
        <v>0</v>
      </c>
      <c r="T244" s="12">
        <v>0</v>
      </c>
      <c r="U244" s="12">
        <v>0</v>
      </c>
      <c r="V244" s="12">
        <v>0</v>
      </c>
      <c r="W244" s="12">
        <v>0</v>
      </c>
      <c r="X244" s="12">
        <v>0</v>
      </c>
      <c r="Y244" s="12">
        <v>0</v>
      </c>
      <c r="Z244" s="12">
        <v>0</v>
      </c>
      <c r="AA244" s="12">
        <v>0</v>
      </c>
      <c r="AB244" s="12">
        <v>0</v>
      </c>
      <c r="AC244" s="12">
        <v>0</v>
      </c>
      <c r="AD244" s="12">
        <v>0</v>
      </c>
      <c r="AE244" s="12">
        <v>0</v>
      </c>
      <c r="AF244" s="12">
        <v>0</v>
      </c>
      <c r="AG244" s="12">
        <v>0</v>
      </c>
      <c r="AH244" s="12">
        <v>0</v>
      </c>
      <c r="AI244" s="12">
        <v>0</v>
      </c>
      <c r="AJ244" s="12">
        <v>0</v>
      </c>
      <c r="AK244" s="12">
        <v>0</v>
      </c>
      <c r="AL244" s="12">
        <v>0</v>
      </c>
      <c r="AM244" s="12">
        <v>0</v>
      </c>
      <c r="AN244" s="12">
        <v>0</v>
      </c>
      <c r="AO244" s="12">
        <v>0</v>
      </c>
      <c r="AP244" s="12">
        <v>0</v>
      </c>
      <c r="AQ244" s="12">
        <v>0</v>
      </c>
      <c r="AR244" s="12">
        <v>0</v>
      </c>
      <c r="AS244" s="12">
        <v>0</v>
      </c>
      <c r="AT244" s="12">
        <v>0</v>
      </c>
      <c r="AU244" s="12">
        <v>0</v>
      </c>
      <c r="AV244" s="12">
        <v>0</v>
      </c>
      <c r="AW244" s="12">
        <v>0</v>
      </c>
      <c r="AX244" s="12">
        <v>0</v>
      </c>
      <c r="AY244" s="12">
        <v>0</v>
      </c>
      <c r="AZ244" s="12">
        <v>0</v>
      </c>
      <c r="BA244" s="12">
        <v>0</v>
      </c>
      <c r="BB244" s="12">
        <v>0</v>
      </c>
      <c r="BC244" s="12">
        <v>0</v>
      </c>
      <c r="BD244" s="12">
        <v>0</v>
      </c>
      <c r="BE244" s="12">
        <v>0</v>
      </c>
      <c r="BF244" s="12">
        <v>0</v>
      </c>
      <c r="BG244" s="12">
        <v>0</v>
      </c>
      <c r="BH244" s="12">
        <v>0</v>
      </c>
      <c r="BI244" s="12">
        <v>0</v>
      </c>
      <c r="BJ244" s="12">
        <v>0</v>
      </c>
      <c r="BK244" s="12">
        <v>0</v>
      </c>
      <c r="BL244" s="12">
        <v>0</v>
      </c>
      <c r="BM244" s="12">
        <v>0</v>
      </c>
      <c r="BN244" s="12">
        <v>0</v>
      </c>
      <c r="BO244" s="12">
        <v>0</v>
      </c>
      <c r="BP244" s="12">
        <v>0</v>
      </c>
      <c r="BQ244" s="12">
        <v>0</v>
      </c>
      <c r="BR244" s="12">
        <v>0</v>
      </c>
      <c r="BS244" s="12">
        <v>0</v>
      </c>
      <c r="BT244" s="12">
        <v>0</v>
      </c>
      <c r="BU244" s="12">
        <v>0</v>
      </c>
      <c r="BV244" s="12">
        <v>0</v>
      </c>
      <c r="BW244" s="12">
        <v>0</v>
      </c>
      <c r="BX244" s="12">
        <v>0</v>
      </c>
      <c r="BY244" s="12">
        <v>0</v>
      </c>
      <c r="BZ244" s="12">
        <v>0</v>
      </c>
      <c r="CA244" s="12">
        <v>0</v>
      </c>
      <c r="CB244" s="12">
        <v>0</v>
      </c>
      <c r="CC244" s="12">
        <v>0</v>
      </c>
      <c r="CD244" s="12">
        <v>0</v>
      </c>
      <c r="CE244" s="12">
        <v>0</v>
      </c>
      <c r="CF244" s="12">
        <v>0</v>
      </c>
      <c r="CG244" s="12">
        <v>0</v>
      </c>
      <c r="CH244" s="12">
        <v>0</v>
      </c>
      <c r="CI244" s="12">
        <v>0</v>
      </c>
      <c r="CJ244" s="12">
        <v>0</v>
      </c>
      <c r="CK244" s="12">
        <v>0</v>
      </c>
      <c r="CL244" s="12">
        <v>0</v>
      </c>
      <c r="CM244" s="12">
        <v>0</v>
      </c>
      <c r="CN244" s="12">
        <v>0</v>
      </c>
      <c r="CO244" s="12">
        <v>0</v>
      </c>
      <c r="CP244" s="12">
        <v>0</v>
      </c>
      <c r="CQ244" s="12">
        <v>0</v>
      </c>
      <c r="CR244" s="12">
        <v>0</v>
      </c>
      <c r="CS244" s="12">
        <v>0</v>
      </c>
      <c r="CT244" s="12">
        <v>0</v>
      </c>
      <c r="CU244" s="12">
        <v>0</v>
      </c>
      <c r="CV244" s="12">
        <v>0</v>
      </c>
      <c r="CW244" s="12">
        <v>0</v>
      </c>
      <c r="CX244" s="12">
        <v>0</v>
      </c>
      <c r="CY244" s="12">
        <v>0</v>
      </c>
      <c r="CZ244" s="12">
        <v>0</v>
      </c>
      <c r="DA244" s="12">
        <v>0</v>
      </c>
      <c r="DB244" s="12">
        <v>0</v>
      </c>
      <c r="DC244" s="12">
        <v>0</v>
      </c>
      <c r="DD244" s="12">
        <v>0</v>
      </c>
      <c r="DE244" s="12">
        <v>0</v>
      </c>
      <c r="DF244" s="12">
        <v>0</v>
      </c>
      <c r="DG244" s="12">
        <v>0</v>
      </c>
      <c r="DH244" s="12">
        <v>0</v>
      </c>
      <c r="DI244" s="12">
        <v>0</v>
      </c>
      <c r="DJ244" s="12">
        <v>0</v>
      </c>
      <c r="DK244" s="12">
        <v>0</v>
      </c>
      <c r="DL244" s="12">
        <v>0</v>
      </c>
      <c r="DM244" s="12">
        <v>0</v>
      </c>
      <c r="DN244" s="12">
        <v>0</v>
      </c>
      <c r="DO244" s="12">
        <v>0</v>
      </c>
      <c r="DP244" s="12">
        <v>0</v>
      </c>
      <c r="DQ244" s="12">
        <v>0</v>
      </c>
      <c r="DR244" s="12">
        <v>0</v>
      </c>
      <c r="DS244" s="12">
        <v>0</v>
      </c>
      <c r="DT244" s="12">
        <v>0</v>
      </c>
      <c r="DU244" s="12">
        <v>0</v>
      </c>
      <c r="DV244" s="12">
        <v>0</v>
      </c>
      <c r="DW244" s="12">
        <v>0</v>
      </c>
      <c r="DX244" s="12">
        <v>0</v>
      </c>
      <c r="DY244" s="12">
        <v>0</v>
      </c>
      <c r="DZ244" s="12">
        <v>0</v>
      </c>
      <c r="EA244" s="12">
        <v>0</v>
      </c>
      <c r="EB244" s="12">
        <v>0</v>
      </c>
      <c r="EC244" s="12">
        <v>0</v>
      </c>
      <c r="ED244" s="12">
        <v>0</v>
      </c>
      <c r="EE244" s="12">
        <v>0</v>
      </c>
      <c r="EF244" s="12">
        <v>0</v>
      </c>
      <c r="EG244" s="12">
        <v>0</v>
      </c>
      <c r="EH244" s="12">
        <v>0</v>
      </c>
      <c r="EI244" s="12">
        <v>0</v>
      </c>
      <c r="EJ244" s="12">
        <v>0</v>
      </c>
      <c r="EK244" s="12">
        <v>0</v>
      </c>
      <c r="EL244" s="12">
        <v>0</v>
      </c>
      <c r="EM244" s="12">
        <v>0</v>
      </c>
      <c r="EN244" s="12">
        <v>0</v>
      </c>
      <c r="EO244" s="12">
        <v>0</v>
      </c>
      <c r="EP244" s="12" t="str">
        <f t="shared" si="49"/>
        <v>🔴 Sin venta</v>
      </c>
      <c r="EQ244" s="23">
        <f t="shared" si="50"/>
        <v>0</v>
      </c>
      <c r="ER244" s="19">
        <f t="shared" si="48"/>
        <v>0</v>
      </c>
      <c r="ES244" s="12">
        <f t="shared" si="47"/>
        <v>0</v>
      </c>
      <c r="ET244" s="23">
        <f t="shared" si="52"/>
        <v>0</v>
      </c>
      <c r="EU244" s="23">
        <f t="shared" si="51"/>
        <v>0</v>
      </c>
      <c r="EV244" s="23">
        <f t="shared" si="54"/>
        <v>0</v>
      </c>
      <c r="EW244" s="23"/>
      <c r="EX244" s="12">
        <v>1</v>
      </c>
      <c r="EY244" s="19" cm="1">
        <f t="array" ref="EY244:FC244">VLOOKUP(_xlfn.SINGLE(B:B),'[1]Price List'!$B:$N,{8,4,5,6,7},0)</f>
        <v>439.14</v>
      </c>
      <c r="EZ244" s="9" t="str">
        <v>Speck Presidio Sport - Teal For iPhone 11</v>
      </c>
      <c r="FA244" s="12" t="str">
        <v>Cases iPhone</v>
      </c>
      <c r="FB244" s="12" t="str">
        <v>iPhone 11</v>
      </c>
      <c r="FC244" s="12" t="str">
        <v>iPhone 11</v>
      </c>
      <c r="FD244" s="23" t="str">
        <f>_xlfn.XLOOKUP(B:B,'[1]Price List'!$B:$B,'[1]Price List'!$A:$A)</f>
        <v>Speck</v>
      </c>
    </row>
    <row r="245" spans="1:160" s="9" customFormat="1" x14ac:dyDescent="0.2">
      <c r="A245" s="23" t="s">
        <v>599</v>
      </c>
      <c r="B245" s="23">
        <v>875912028967</v>
      </c>
      <c r="C245" s="9" t="s">
        <v>281</v>
      </c>
      <c r="D245" s="9" t="e">
        <v>#N/A</v>
      </c>
      <c r="E245" s="9" t="e">
        <v>#N/A</v>
      </c>
      <c r="F245" s="9" t="e">
        <v>#N/A</v>
      </c>
      <c r="G245" s="9" t="s">
        <v>695</v>
      </c>
      <c r="H245" s="12" t="s">
        <v>282</v>
      </c>
      <c r="I245" s="12">
        <v>299</v>
      </c>
      <c r="J245" s="11">
        <v>154.66</v>
      </c>
      <c r="K245" s="62">
        <v>0</v>
      </c>
      <c r="L245" s="12">
        <v>199</v>
      </c>
      <c r="M245" s="13" t="s">
        <v>467</v>
      </c>
      <c r="N245" s="13" t="s">
        <v>656</v>
      </c>
      <c r="O245" s="27" t="s">
        <v>280</v>
      </c>
      <c r="P245" s="12">
        <v>0</v>
      </c>
      <c r="Q245" s="12">
        <v>0</v>
      </c>
      <c r="R245" s="12">
        <v>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  <c r="X245" s="12">
        <v>0</v>
      </c>
      <c r="Y245" s="12">
        <v>0</v>
      </c>
      <c r="Z245" s="12">
        <v>0</v>
      </c>
      <c r="AA245" s="12">
        <v>0</v>
      </c>
      <c r="AB245" s="12">
        <v>0</v>
      </c>
      <c r="AC245" s="12">
        <v>0</v>
      </c>
      <c r="AD245" s="12">
        <v>0</v>
      </c>
      <c r="AE245" s="12">
        <v>0</v>
      </c>
      <c r="AF245" s="12">
        <v>0</v>
      </c>
      <c r="AG245" s="12">
        <v>0</v>
      </c>
      <c r="AH245" s="12">
        <v>0</v>
      </c>
      <c r="AI245" s="12">
        <v>0</v>
      </c>
      <c r="AJ245" s="12">
        <v>0</v>
      </c>
      <c r="AK245" s="12">
        <v>0</v>
      </c>
      <c r="AL245" s="12">
        <v>0</v>
      </c>
      <c r="AM245" s="12">
        <v>0</v>
      </c>
      <c r="AN245" s="12">
        <v>0</v>
      </c>
      <c r="AO245" s="12">
        <v>0</v>
      </c>
      <c r="AP245" s="12">
        <v>0</v>
      </c>
      <c r="AQ245" s="12">
        <v>0</v>
      </c>
      <c r="AR245" s="12">
        <v>0</v>
      </c>
      <c r="AS245" s="12">
        <v>0</v>
      </c>
      <c r="AT245" s="12">
        <v>0</v>
      </c>
      <c r="AU245" s="12">
        <v>0</v>
      </c>
      <c r="AV245" s="12">
        <v>0</v>
      </c>
      <c r="AW245" s="12">
        <v>0</v>
      </c>
      <c r="AX245" s="12">
        <v>0</v>
      </c>
      <c r="AY245" s="12">
        <v>0</v>
      </c>
      <c r="AZ245" s="12">
        <v>0</v>
      </c>
      <c r="BA245" s="12">
        <v>0</v>
      </c>
      <c r="BB245" s="12">
        <v>0</v>
      </c>
      <c r="BC245" s="12">
        <v>0</v>
      </c>
      <c r="BD245" s="12">
        <v>0</v>
      </c>
      <c r="BE245" s="12">
        <v>0</v>
      </c>
      <c r="BF245" s="12">
        <v>0</v>
      </c>
      <c r="BG245" s="12">
        <v>0</v>
      </c>
      <c r="BH245" s="12">
        <v>0</v>
      </c>
      <c r="BI245" s="12">
        <v>0</v>
      </c>
      <c r="BJ245" s="12">
        <v>0</v>
      </c>
      <c r="BK245" s="12">
        <v>0</v>
      </c>
      <c r="BL245" s="12">
        <v>0</v>
      </c>
      <c r="BM245" s="12">
        <v>0</v>
      </c>
      <c r="BN245" s="12">
        <v>0</v>
      </c>
      <c r="BO245" s="12">
        <v>0</v>
      </c>
      <c r="BP245" s="12">
        <v>0</v>
      </c>
      <c r="BQ245" s="12">
        <v>0</v>
      </c>
      <c r="BR245" s="12">
        <v>0</v>
      </c>
      <c r="BS245" s="12">
        <v>0</v>
      </c>
      <c r="BT245" s="12">
        <v>0</v>
      </c>
      <c r="BU245" s="12">
        <v>0</v>
      </c>
      <c r="BV245" s="12">
        <v>0</v>
      </c>
      <c r="BW245" s="12">
        <v>0</v>
      </c>
      <c r="BX245" s="12">
        <v>0</v>
      </c>
      <c r="BY245" s="12">
        <v>0</v>
      </c>
      <c r="BZ245" s="12">
        <v>0</v>
      </c>
      <c r="CA245" s="12">
        <v>0</v>
      </c>
      <c r="CB245" s="12">
        <v>0</v>
      </c>
      <c r="CC245" s="12">
        <v>0</v>
      </c>
      <c r="CD245" s="12">
        <v>0</v>
      </c>
      <c r="CE245" s="12">
        <v>0</v>
      </c>
      <c r="CF245" s="12">
        <v>0</v>
      </c>
      <c r="CG245" s="12">
        <v>0</v>
      </c>
      <c r="CH245" s="12">
        <v>0</v>
      </c>
      <c r="CI245" s="12">
        <v>0</v>
      </c>
      <c r="CJ245" s="12">
        <v>0</v>
      </c>
      <c r="CK245" s="12">
        <v>0</v>
      </c>
      <c r="CL245" s="12">
        <v>0</v>
      </c>
      <c r="CM245" s="12">
        <v>0</v>
      </c>
      <c r="CN245" s="12">
        <v>0</v>
      </c>
      <c r="CO245" s="12">
        <v>0</v>
      </c>
      <c r="CP245" s="12">
        <v>0</v>
      </c>
      <c r="CQ245" s="12">
        <v>0</v>
      </c>
      <c r="CR245" s="12">
        <v>0</v>
      </c>
      <c r="CS245" s="12">
        <v>0</v>
      </c>
      <c r="CT245" s="12">
        <v>0</v>
      </c>
      <c r="CU245" s="12">
        <v>0</v>
      </c>
      <c r="CV245" s="12">
        <v>0</v>
      </c>
      <c r="CW245" s="12">
        <v>0</v>
      </c>
      <c r="CX245" s="12">
        <v>0</v>
      </c>
      <c r="CY245" s="12">
        <v>0</v>
      </c>
      <c r="CZ245" s="12">
        <v>0</v>
      </c>
      <c r="DA245" s="12">
        <v>0</v>
      </c>
      <c r="DB245" s="12">
        <v>0</v>
      </c>
      <c r="DC245" s="12">
        <v>0</v>
      </c>
      <c r="DD245" s="12">
        <v>0</v>
      </c>
      <c r="DE245" s="12">
        <v>0</v>
      </c>
      <c r="DF245" s="12">
        <v>0</v>
      </c>
      <c r="DG245" s="12">
        <v>0</v>
      </c>
      <c r="DH245" s="12">
        <v>0</v>
      </c>
      <c r="DI245" s="12">
        <v>0</v>
      </c>
      <c r="DJ245" s="12">
        <v>0</v>
      </c>
      <c r="DK245" s="12">
        <v>0</v>
      </c>
      <c r="DL245" s="12">
        <v>0</v>
      </c>
      <c r="DM245" s="12">
        <v>0</v>
      </c>
      <c r="DN245" s="12">
        <v>0</v>
      </c>
      <c r="DO245" s="12">
        <v>0</v>
      </c>
      <c r="DP245" s="12">
        <v>0</v>
      </c>
      <c r="DQ245" s="12">
        <v>0</v>
      </c>
      <c r="DR245" s="12">
        <v>0</v>
      </c>
      <c r="DS245" s="12">
        <v>0</v>
      </c>
      <c r="DT245" s="12">
        <v>0</v>
      </c>
      <c r="DU245" s="12">
        <v>0</v>
      </c>
      <c r="DV245" s="12">
        <v>0</v>
      </c>
      <c r="DW245" s="12">
        <v>0</v>
      </c>
      <c r="DX245" s="12">
        <v>0</v>
      </c>
      <c r="DY245" s="12">
        <v>0</v>
      </c>
      <c r="DZ245" s="12">
        <v>0</v>
      </c>
      <c r="EA245" s="12">
        <v>0</v>
      </c>
      <c r="EB245" s="12">
        <v>0</v>
      </c>
      <c r="EC245" s="12">
        <v>0</v>
      </c>
      <c r="ED245" s="12">
        <v>0</v>
      </c>
      <c r="EE245" s="12">
        <v>0</v>
      </c>
      <c r="EF245" s="12">
        <v>0</v>
      </c>
      <c r="EG245" s="12">
        <v>0</v>
      </c>
      <c r="EH245" s="12">
        <v>0</v>
      </c>
      <c r="EI245" s="12">
        <v>0</v>
      </c>
      <c r="EJ245" s="12">
        <v>0</v>
      </c>
      <c r="EK245" s="12">
        <v>0</v>
      </c>
      <c r="EL245" s="12">
        <v>0</v>
      </c>
      <c r="EM245" s="12">
        <v>0</v>
      </c>
      <c r="EN245" s="12">
        <v>0</v>
      </c>
      <c r="EO245" s="12">
        <v>0</v>
      </c>
      <c r="EP245" s="12" t="str">
        <f t="shared" si="49"/>
        <v>🔴 Sin venta</v>
      </c>
      <c r="EQ245" s="23">
        <f t="shared" si="50"/>
        <v>0</v>
      </c>
      <c r="ER245" s="19">
        <f t="shared" si="48"/>
        <v>0</v>
      </c>
      <c r="ES245" s="12">
        <f t="shared" si="47"/>
        <v>0</v>
      </c>
      <c r="ET245" s="23">
        <f t="shared" si="52"/>
        <v>0</v>
      </c>
      <c r="EU245" s="23">
        <f t="shared" si="51"/>
        <v>0</v>
      </c>
      <c r="EV245" s="23">
        <f t="shared" si="54"/>
        <v>0</v>
      </c>
      <c r="EW245" s="23"/>
      <c r="EX245" s="12">
        <v>1</v>
      </c>
      <c r="EY245" s="19" cm="1">
        <f t="array" ref="EY245:FC245">VLOOKUP(_xlfn.SINGLE(B:B),'[1]Price List'!$B:$N,{8,4,5,6,7},0)</f>
        <v>154.66</v>
      </c>
      <c r="EZ245" s="9" t="str">
        <v>Speck Pixelskin Case - Green iPod touch 6G</v>
      </c>
      <c r="FA245" s="12" t="str">
        <v>Cases iPod</v>
      </c>
      <c r="FB245" s="12" t="str">
        <v>iPod</v>
      </c>
      <c r="FC245" s="12" t="str">
        <v>iPod Touch 6a</v>
      </c>
      <c r="FD245" s="23" t="str">
        <f>_xlfn.XLOOKUP(B:B,'[1]Price List'!$B:$B,'[1]Price List'!$A:$A)</f>
        <v>Speck</v>
      </c>
    </row>
    <row r="246" spans="1:160" s="9" customFormat="1" x14ac:dyDescent="0.2">
      <c r="A246" s="23" t="s">
        <v>599</v>
      </c>
      <c r="B246" s="23">
        <v>840168504909</v>
      </c>
      <c r="C246" s="9" t="s">
        <v>369</v>
      </c>
      <c r="D246" s="9" t="e">
        <v>#N/A</v>
      </c>
      <c r="E246" s="9" t="e">
        <v>#N/A</v>
      </c>
      <c r="F246" s="9" t="e">
        <v>#N/A</v>
      </c>
      <c r="G246" s="9" t="s">
        <v>634</v>
      </c>
      <c r="H246" s="12" t="s">
        <v>370</v>
      </c>
      <c r="I246" s="38" t="e">
        <v>#N/A</v>
      </c>
      <c r="J246" s="11">
        <v>516.72</v>
      </c>
      <c r="K246" s="62">
        <v>0</v>
      </c>
      <c r="L246" s="12">
        <v>0</v>
      </c>
      <c r="M246" s="13" t="s">
        <v>467</v>
      </c>
      <c r="N246" s="13" t="s">
        <v>656</v>
      </c>
      <c r="O246" s="27">
        <v>44452</v>
      </c>
      <c r="P246" s="12">
        <v>0</v>
      </c>
      <c r="Q246" s="12">
        <v>0</v>
      </c>
      <c r="R246" s="12">
        <v>0</v>
      </c>
      <c r="S246" s="12">
        <v>0</v>
      </c>
      <c r="T246" s="12">
        <v>0</v>
      </c>
      <c r="U246" s="12">
        <v>0</v>
      </c>
      <c r="V246" s="12">
        <v>0</v>
      </c>
      <c r="W246" s="12">
        <v>0</v>
      </c>
      <c r="X246" s="12">
        <v>0</v>
      </c>
      <c r="Y246" s="12">
        <v>0</v>
      </c>
      <c r="Z246" s="12">
        <v>0</v>
      </c>
      <c r="AA246" s="12">
        <v>0</v>
      </c>
      <c r="AB246" s="12">
        <v>0</v>
      </c>
      <c r="AC246" s="12">
        <v>0</v>
      </c>
      <c r="AD246" s="12">
        <v>0</v>
      </c>
      <c r="AE246" s="12">
        <v>0</v>
      </c>
      <c r="AF246" s="12">
        <v>0</v>
      </c>
      <c r="AG246" s="12">
        <v>0</v>
      </c>
      <c r="AH246" s="12">
        <v>0</v>
      </c>
      <c r="AI246" s="12">
        <v>0</v>
      </c>
      <c r="AJ246" s="12">
        <v>0</v>
      </c>
      <c r="AK246" s="12">
        <v>0</v>
      </c>
      <c r="AL246" s="12">
        <v>0</v>
      </c>
      <c r="AM246" s="12">
        <v>0</v>
      </c>
      <c r="AN246" s="12">
        <v>0</v>
      </c>
      <c r="AO246" s="12">
        <v>0</v>
      </c>
      <c r="AP246" s="12">
        <v>0</v>
      </c>
      <c r="AQ246" s="12">
        <v>0</v>
      </c>
      <c r="AR246" s="12">
        <v>0</v>
      </c>
      <c r="AS246" s="12">
        <v>0</v>
      </c>
      <c r="AT246" s="12">
        <v>0</v>
      </c>
      <c r="AU246" s="12">
        <v>0</v>
      </c>
      <c r="AV246" s="12">
        <v>0</v>
      </c>
      <c r="AW246" s="12">
        <v>0</v>
      </c>
      <c r="AX246" s="12">
        <v>0</v>
      </c>
      <c r="AY246" s="12">
        <v>0</v>
      </c>
      <c r="AZ246" s="12">
        <v>0</v>
      </c>
      <c r="BA246" s="12">
        <v>0</v>
      </c>
      <c r="BB246" s="12">
        <v>0</v>
      </c>
      <c r="BC246" s="12">
        <v>0</v>
      </c>
      <c r="BD246" s="12">
        <v>0</v>
      </c>
      <c r="BE246" s="12">
        <v>0</v>
      </c>
      <c r="BF246" s="12">
        <v>0</v>
      </c>
      <c r="BG246" s="12">
        <v>0</v>
      </c>
      <c r="BH246" s="12">
        <v>0</v>
      </c>
      <c r="BI246" s="12">
        <v>0</v>
      </c>
      <c r="BJ246" s="12">
        <v>0</v>
      </c>
      <c r="BK246" s="12">
        <v>0</v>
      </c>
      <c r="BL246" s="12">
        <v>0</v>
      </c>
      <c r="BM246" s="12">
        <v>0</v>
      </c>
      <c r="BN246" s="12">
        <v>0</v>
      </c>
      <c r="BO246" s="12">
        <v>0</v>
      </c>
      <c r="BP246" s="12">
        <v>0</v>
      </c>
      <c r="BQ246" s="12">
        <v>0</v>
      </c>
      <c r="BR246" s="12">
        <v>0</v>
      </c>
      <c r="BS246" s="12">
        <v>0</v>
      </c>
      <c r="BT246" s="12">
        <v>0</v>
      </c>
      <c r="BU246" s="12">
        <v>0</v>
      </c>
      <c r="BV246" s="12">
        <v>0</v>
      </c>
      <c r="BW246" s="12">
        <v>0</v>
      </c>
      <c r="BX246" s="12">
        <v>0</v>
      </c>
      <c r="BY246" s="12">
        <v>0</v>
      </c>
      <c r="BZ246" s="12">
        <v>0</v>
      </c>
      <c r="CA246" s="12">
        <v>0</v>
      </c>
      <c r="CB246" s="12">
        <v>0</v>
      </c>
      <c r="CC246" s="12">
        <v>0</v>
      </c>
      <c r="CD246" s="12">
        <v>0</v>
      </c>
      <c r="CE246" s="12">
        <v>0</v>
      </c>
      <c r="CF246" s="12">
        <v>0</v>
      </c>
      <c r="CG246" s="12">
        <v>0</v>
      </c>
      <c r="CH246" s="12">
        <v>0</v>
      </c>
      <c r="CI246" s="12">
        <v>0</v>
      </c>
      <c r="CJ246" s="12">
        <v>0</v>
      </c>
      <c r="CK246" s="12">
        <v>0</v>
      </c>
      <c r="CL246" s="12">
        <v>0</v>
      </c>
      <c r="CM246" s="12">
        <v>0</v>
      </c>
      <c r="CN246" s="12">
        <v>0</v>
      </c>
      <c r="CO246" s="12">
        <v>0</v>
      </c>
      <c r="CP246" s="12">
        <v>0</v>
      </c>
      <c r="CQ246" s="12">
        <v>0</v>
      </c>
      <c r="CR246" s="12">
        <v>0</v>
      </c>
      <c r="CS246" s="12">
        <v>0</v>
      </c>
      <c r="CT246" s="12">
        <v>0</v>
      </c>
      <c r="CU246" s="12">
        <v>0</v>
      </c>
      <c r="CV246" s="12">
        <v>0</v>
      </c>
      <c r="CW246" s="12">
        <v>0</v>
      </c>
      <c r="CX246" s="12">
        <v>0</v>
      </c>
      <c r="CY246" s="12">
        <v>0</v>
      </c>
      <c r="CZ246" s="12">
        <v>0</v>
      </c>
      <c r="DA246" s="12">
        <v>0</v>
      </c>
      <c r="DB246" s="12">
        <v>0</v>
      </c>
      <c r="DC246" s="12">
        <v>0</v>
      </c>
      <c r="DD246" s="12">
        <v>0</v>
      </c>
      <c r="DE246" s="12">
        <v>0</v>
      </c>
      <c r="DF246" s="12">
        <v>0</v>
      </c>
      <c r="DG246" s="12">
        <v>0</v>
      </c>
      <c r="DH246" s="12">
        <v>0</v>
      </c>
      <c r="DI246" s="12">
        <v>0</v>
      </c>
      <c r="DJ246" s="12">
        <v>0</v>
      </c>
      <c r="DK246" s="12">
        <v>0</v>
      </c>
      <c r="DL246" s="12">
        <v>0</v>
      </c>
      <c r="DM246" s="12">
        <v>0</v>
      </c>
      <c r="DN246" s="12">
        <v>0</v>
      </c>
      <c r="DO246" s="12">
        <v>0</v>
      </c>
      <c r="DP246" s="12">
        <v>0</v>
      </c>
      <c r="DQ246" s="12">
        <v>0</v>
      </c>
      <c r="DR246" s="12">
        <v>0</v>
      </c>
      <c r="DS246" s="12">
        <v>0</v>
      </c>
      <c r="DT246" s="12">
        <v>0</v>
      </c>
      <c r="DU246" s="12">
        <v>0</v>
      </c>
      <c r="DV246" s="12">
        <v>0</v>
      </c>
      <c r="DW246" s="12">
        <v>0</v>
      </c>
      <c r="DX246" s="12">
        <v>0</v>
      </c>
      <c r="DY246" s="12">
        <v>0</v>
      </c>
      <c r="DZ246" s="12">
        <v>0</v>
      </c>
      <c r="EA246" s="12">
        <v>0</v>
      </c>
      <c r="EB246" s="12">
        <v>0</v>
      </c>
      <c r="EC246" s="12">
        <v>0</v>
      </c>
      <c r="ED246" s="12">
        <v>0</v>
      </c>
      <c r="EE246" s="12">
        <v>0</v>
      </c>
      <c r="EF246" s="12">
        <v>0</v>
      </c>
      <c r="EG246" s="12">
        <v>0</v>
      </c>
      <c r="EH246" s="12">
        <v>0</v>
      </c>
      <c r="EI246" s="12">
        <v>0</v>
      </c>
      <c r="EJ246" s="12">
        <v>0</v>
      </c>
      <c r="EK246" s="12">
        <v>0</v>
      </c>
      <c r="EL246" s="12">
        <v>0</v>
      </c>
      <c r="EM246" s="12">
        <v>0</v>
      </c>
      <c r="EN246" s="12">
        <v>0</v>
      </c>
      <c r="EO246" s="12">
        <v>0</v>
      </c>
      <c r="EP246" s="12" t="str">
        <f t="shared" si="49"/>
        <v>🔴 Sin venta</v>
      </c>
      <c r="EQ246" s="23">
        <f t="shared" si="50"/>
        <v>0</v>
      </c>
      <c r="ER246" s="19">
        <f t="shared" si="48"/>
        <v>0</v>
      </c>
      <c r="ES246" s="12">
        <f t="shared" si="47"/>
        <v>0</v>
      </c>
      <c r="ET246" s="23">
        <f t="shared" si="52"/>
        <v>0</v>
      </c>
      <c r="EU246" s="23">
        <f t="shared" si="51"/>
        <v>0</v>
      </c>
      <c r="EV246" s="23">
        <f t="shared" si="54"/>
        <v>0</v>
      </c>
      <c r="EW246" s="23"/>
      <c r="EX246" s="12">
        <v>0</v>
      </c>
      <c r="EY246" s="19" cm="1">
        <f t="array" ref="EY246:FC246">VLOOKUP(_xlfn.SINGLE(B:B),'[1]Price List'!$B:$N,{8,4,5,6,7},0)</f>
        <v>516.72</v>
      </c>
      <c r="EZ246" s="9" t="str">
        <v>PRESIDIO 2 PRO BLK/WHT IP 13 PRO</v>
      </c>
      <c r="FA246" s="12" t="str">
        <v>Cases iPhone</v>
      </c>
      <c r="FB246" s="12" t="str">
        <v>iPhone 13</v>
      </c>
      <c r="FC246" s="12" t="str">
        <v>iPhone 13 Pro</v>
      </c>
      <c r="FD246" s="23" t="str">
        <f>_xlfn.XLOOKUP(B:B,'[1]Price List'!$B:$B,'[1]Price List'!$A:$A)</f>
        <v>Speck</v>
      </c>
    </row>
    <row r="247" spans="1:160" s="9" customFormat="1" x14ac:dyDescent="0.2">
      <c r="A247" s="23" t="s">
        <v>599</v>
      </c>
      <c r="B247" s="23">
        <v>840168504916</v>
      </c>
      <c r="C247" s="9" t="s">
        <v>371</v>
      </c>
      <c r="D247" s="9" t="e">
        <v>#N/A</v>
      </c>
      <c r="E247" s="9" t="e">
        <v>#N/A</v>
      </c>
      <c r="F247" s="9" t="e">
        <v>#N/A</v>
      </c>
      <c r="G247" s="9" t="s">
        <v>634</v>
      </c>
      <c r="H247" s="12" t="s">
        <v>372</v>
      </c>
      <c r="I247" s="38" t="e">
        <v>#N/A</v>
      </c>
      <c r="J247" s="11">
        <v>516.72</v>
      </c>
      <c r="K247" s="62">
        <v>0</v>
      </c>
      <c r="L247" s="12">
        <v>0</v>
      </c>
      <c r="M247" s="13" t="s">
        <v>467</v>
      </c>
      <c r="N247" s="13" t="s">
        <v>656</v>
      </c>
      <c r="O247" s="27">
        <v>44475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  <c r="X247" s="12">
        <v>0</v>
      </c>
      <c r="Y247" s="12">
        <v>0</v>
      </c>
      <c r="Z247" s="12">
        <v>0</v>
      </c>
      <c r="AA247" s="12">
        <v>0</v>
      </c>
      <c r="AB247" s="12">
        <v>0</v>
      </c>
      <c r="AC247" s="12">
        <v>0</v>
      </c>
      <c r="AD247" s="12">
        <v>0</v>
      </c>
      <c r="AE247" s="12">
        <v>0</v>
      </c>
      <c r="AF247" s="12">
        <v>0</v>
      </c>
      <c r="AG247" s="12">
        <v>0</v>
      </c>
      <c r="AH247" s="12">
        <v>0</v>
      </c>
      <c r="AI247" s="12">
        <v>0</v>
      </c>
      <c r="AJ247" s="12">
        <v>0</v>
      </c>
      <c r="AK247" s="12">
        <v>0</v>
      </c>
      <c r="AL247" s="12">
        <v>0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2">
        <v>0</v>
      </c>
      <c r="AW247" s="12">
        <v>0</v>
      </c>
      <c r="AX247" s="12">
        <v>0</v>
      </c>
      <c r="AY247" s="12">
        <v>0</v>
      </c>
      <c r="AZ247" s="12">
        <v>0</v>
      </c>
      <c r="BA247" s="12">
        <v>0</v>
      </c>
      <c r="BB247" s="12">
        <v>0</v>
      </c>
      <c r="BC247" s="12">
        <v>0</v>
      </c>
      <c r="BD247" s="12">
        <v>0</v>
      </c>
      <c r="BE247" s="12">
        <v>0</v>
      </c>
      <c r="BF247" s="12">
        <v>0</v>
      </c>
      <c r="BG247" s="12">
        <v>0</v>
      </c>
      <c r="BH247" s="12">
        <v>0</v>
      </c>
      <c r="BI247" s="12">
        <v>0</v>
      </c>
      <c r="BJ247" s="12">
        <v>0</v>
      </c>
      <c r="BK247" s="12">
        <v>0</v>
      </c>
      <c r="BL247" s="12">
        <v>0</v>
      </c>
      <c r="BM247" s="12">
        <v>0</v>
      </c>
      <c r="BN247" s="12">
        <v>0</v>
      </c>
      <c r="BO247" s="12">
        <v>0</v>
      </c>
      <c r="BP247" s="12">
        <v>0</v>
      </c>
      <c r="BQ247" s="12">
        <v>0</v>
      </c>
      <c r="BR247" s="12">
        <v>0</v>
      </c>
      <c r="BS247" s="12">
        <v>0</v>
      </c>
      <c r="BT247" s="12">
        <v>0</v>
      </c>
      <c r="BU247" s="12">
        <v>0</v>
      </c>
      <c r="BV247" s="12">
        <v>0</v>
      </c>
      <c r="BW247" s="12">
        <v>0</v>
      </c>
      <c r="BX247" s="12">
        <v>0</v>
      </c>
      <c r="BY247" s="12">
        <v>0</v>
      </c>
      <c r="BZ247" s="12">
        <v>0</v>
      </c>
      <c r="CA247" s="12">
        <v>0</v>
      </c>
      <c r="CB247" s="12">
        <v>0</v>
      </c>
      <c r="CC247" s="12">
        <v>0</v>
      </c>
      <c r="CD247" s="12">
        <v>0</v>
      </c>
      <c r="CE247" s="12">
        <v>0</v>
      </c>
      <c r="CF247" s="12">
        <v>0</v>
      </c>
      <c r="CG247" s="12">
        <v>0</v>
      </c>
      <c r="CH247" s="12">
        <v>0</v>
      </c>
      <c r="CI247" s="12">
        <v>0</v>
      </c>
      <c r="CJ247" s="12">
        <v>0</v>
      </c>
      <c r="CK247" s="12">
        <v>0</v>
      </c>
      <c r="CL247" s="12">
        <v>0</v>
      </c>
      <c r="CM247" s="12">
        <v>0</v>
      </c>
      <c r="CN247" s="12">
        <v>0</v>
      </c>
      <c r="CO247" s="12">
        <v>0</v>
      </c>
      <c r="CP247" s="12">
        <v>0</v>
      </c>
      <c r="CQ247" s="12">
        <v>0</v>
      </c>
      <c r="CR247" s="12">
        <v>0</v>
      </c>
      <c r="CS247" s="12">
        <v>0</v>
      </c>
      <c r="CT247" s="12">
        <v>0</v>
      </c>
      <c r="CU247" s="12">
        <v>0</v>
      </c>
      <c r="CV247" s="12">
        <v>0</v>
      </c>
      <c r="CW247" s="12">
        <v>0</v>
      </c>
      <c r="CX247" s="12">
        <v>0</v>
      </c>
      <c r="CY247" s="12">
        <v>0</v>
      </c>
      <c r="CZ247" s="12">
        <v>0</v>
      </c>
      <c r="DA247" s="12">
        <v>0</v>
      </c>
      <c r="DB247" s="12">
        <v>0</v>
      </c>
      <c r="DC247" s="12">
        <v>0</v>
      </c>
      <c r="DD247" s="12">
        <v>0</v>
      </c>
      <c r="DE247" s="12">
        <v>0</v>
      </c>
      <c r="DF247" s="12">
        <v>0</v>
      </c>
      <c r="DG247" s="12">
        <v>0</v>
      </c>
      <c r="DH247" s="12">
        <v>0</v>
      </c>
      <c r="DI247" s="12">
        <v>0</v>
      </c>
      <c r="DJ247" s="12">
        <v>0</v>
      </c>
      <c r="DK247" s="12">
        <v>0</v>
      </c>
      <c r="DL247" s="12">
        <v>0</v>
      </c>
      <c r="DM247" s="12">
        <v>0</v>
      </c>
      <c r="DN247" s="12">
        <v>0</v>
      </c>
      <c r="DO247" s="12">
        <v>0</v>
      </c>
      <c r="DP247" s="12">
        <v>0</v>
      </c>
      <c r="DQ247" s="12">
        <v>0</v>
      </c>
      <c r="DR247" s="12">
        <v>0</v>
      </c>
      <c r="DS247" s="12">
        <v>0</v>
      </c>
      <c r="DT247" s="12">
        <v>0</v>
      </c>
      <c r="DU247" s="12">
        <v>0</v>
      </c>
      <c r="DV247" s="12">
        <v>0</v>
      </c>
      <c r="DW247" s="12">
        <v>0</v>
      </c>
      <c r="DX247" s="12">
        <v>0</v>
      </c>
      <c r="DY247" s="12">
        <v>0</v>
      </c>
      <c r="DZ247" s="12">
        <v>0</v>
      </c>
      <c r="EA247" s="12">
        <v>0</v>
      </c>
      <c r="EB247" s="12">
        <v>0</v>
      </c>
      <c r="EC247" s="12">
        <v>0</v>
      </c>
      <c r="ED247" s="12">
        <v>0</v>
      </c>
      <c r="EE247" s="12">
        <v>0</v>
      </c>
      <c r="EF247" s="12">
        <v>0</v>
      </c>
      <c r="EG247" s="12">
        <v>0</v>
      </c>
      <c r="EH247" s="12">
        <v>0</v>
      </c>
      <c r="EI247" s="12">
        <v>0</v>
      </c>
      <c r="EJ247" s="12">
        <v>0</v>
      </c>
      <c r="EK247" s="12">
        <v>0</v>
      </c>
      <c r="EL247" s="12">
        <v>0</v>
      </c>
      <c r="EM247" s="12">
        <v>0</v>
      </c>
      <c r="EN247" s="12">
        <v>0</v>
      </c>
      <c r="EO247" s="12">
        <v>0</v>
      </c>
      <c r="EP247" s="12" t="str">
        <f t="shared" si="49"/>
        <v>🔴 Sin venta</v>
      </c>
      <c r="EQ247" s="23">
        <f t="shared" si="50"/>
        <v>0</v>
      </c>
      <c r="ER247" s="19">
        <f t="shared" si="48"/>
        <v>0</v>
      </c>
      <c r="ES247" s="12">
        <f t="shared" si="47"/>
        <v>0</v>
      </c>
      <c r="ET247" s="23">
        <f t="shared" si="52"/>
        <v>0</v>
      </c>
      <c r="EU247" s="23">
        <f t="shared" si="51"/>
        <v>0</v>
      </c>
      <c r="EV247" s="23">
        <f t="shared" si="54"/>
        <v>0</v>
      </c>
      <c r="EW247" s="23"/>
      <c r="EX247" s="12">
        <v>0</v>
      </c>
      <c r="EY247" s="19" cm="1">
        <f t="array" ref="EY247:FC247">VLOOKUP(_xlfn.SINGLE(B:B),'[1]Price List'!$B:$N,{8,4,5,6,7},0)</f>
        <v>516.72</v>
      </c>
      <c r="EZ247" s="9" t="str">
        <v>PRESIDIO 2 PRO BLUE/BLACK IP 13 PRO</v>
      </c>
      <c r="FA247" s="12" t="str">
        <v>Cases iPhone</v>
      </c>
      <c r="FB247" s="12" t="str">
        <v>iPhone 13</v>
      </c>
      <c r="FC247" s="12" t="str">
        <v>iPhone 13 Pro</v>
      </c>
      <c r="FD247" s="23" t="str">
        <f>_xlfn.XLOOKUP(B:B,'[1]Price List'!$B:$B,'[1]Price List'!$A:$A)</f>
        <v>Speck</v>
      </c>
    </row>
    <row r="248" spans="1:160" s="9" customFormat="1" x14ac:dyDescent="0.2">
      <c r="A248" s="23" t="s">
        <v>599</v>
      </c>
      <c r="B248" s="23">
        <v>840168504978</v>
      </c>
      <c r="C248" s="9" t="s">
        <v>373</v>
      </c>
      <c r="D248" s="9" t="s">
        <v>644</v>
      </c>
      <c r="E248" s="9" t="s">
        <v>642</v>
      </c>
      <c r="F248" s="9" t="s">
        <v>634</v>
      </c>
      <c r="G248" s="9" t="s">
        <v>634</v>
      </c>
      <c r="H248" s="12" t="s">
        <v>374</v>
      </c>
      <c r="I248" s="38" t="e">
        <v>#N/A</v>
      </c>
      <c r="J248" s="11">
        <v>516.72</v>
      </c>
      <c r="K248" s="62">
        <v>0</v>
      </c>
      <c r="L248" s="12">
        <v>0</v>
      </c>
      <c r="M248" s="13" t="s">
        <v>467</v>
      </c>
      <c r="N248" s="13" t="s">
        <v>656</v>
      </c>
      <c r="O248" s="27">
        <v>44452</v>
      </c>
      <c r="P248" s="12">
        <v>0</v>
      </c>
      <c r="Q248" s="12">
        <v>0</v>
      </c>
      <c r="R248" s="12">
        <v>0</v>
      </c>
      <c r="S248" s="12">
        <v>0</v>
      </c>
      <c r="T248" s="12">
        <v>0</v>
      </c>
      <c r="U248" s="12">
        <v>0</v>
      </c>
      <c r="V248" s="12">
        <v>0</v>
      </c>
      <c r="W248" s="12">
        <v>0</v>
      </c>
      <c r="X248" s="12">
        <v>0</v>
      </c>
      <c r="Y248" s="12">
        <v>0</v>
      </c>
      <c r="Z248" s="12">
        <v>0</v>
      </c>
      <c r="AA248" s="12">
        <v>0</v>
      </c>
      <c r="AB248" s="12">
        <v>0</v>
      </c>
      <c r="AC248" s="12">
        <v>0</v>
      </c>
      <c r="AD248" s="12">
        <v>0</v>
      </c>
      <c r="AE248" s="12">
        <v>0</v>
      </c>
      <c r="AF248" s="12">
        <v>0</v>
      </c>
      <c r="AG248" s="12">
        <v>0</v>
      </c>
      <c r="AH248" s="12">
        <v>0</v>
      </c>
      <c r="AI248" s="12">
        <v>0</v>
      </c>
      <c r="AJ248" s="12">
        <v>0</v>
      </c>
      <c r="AK248" s="12">
        <v>0</v>
      </c>
      <c r="AL248" s="12">
        <v>0</v>
      </c>
      <c r="AM248" s="12">
        <v>0</v>
      </c>
      <c r="AN248" s="12">
        <v>0</v>
      </c>
      <c r="AO248" s="12">
        <v>0</v>
      </c>
      <c r="AP248" s="12">
        <v>0</v>
      </c>
      <c r="AQ248" s="12">
        <v>0</v>
      </c>
      <c r="AR248" s="12">
        <v>0</v>
      </c>
      <c r="AS248" s="12">
        <v>0</v>
      </c>
      <c r="AT248" s="12">
        <v>0</v>
      </c>
      <c r="AU248" s="12">
        <v>0</v>
      </c>
      <c r="AV248" s="12">
        <v>0</v>
      </c>
      <c r="AW248" s="12">
        <v>0</v>
      </c>
      <c r="AX248" s="12">
        <v>0</v>
      </c>
      <c r="AY248" s="12">
        <v>0</v>
      </c>
      <c r="AZ248" s="12">
        <v>0</v>
      </c>
      <c r="BA248" s="12">
        <v>0</v>
      </c>
      <c r="BB248" s="12">
        <v>0</v>
      </c>
      <c r="BC248" s="12">
        <v>0</v>
      </c>
      <c r="BD248" s="12">
        <v>0</v>
      </c>
      <c r="BE248" s="12">
        <v>0</v>
      </c>
      <c r="BF248" s="12">
        <v>0</v>
      </c>
      <c r="BG248" s="12">
        <v>0</v>
      </c>
      <c r="BH248" s="12">
        <v>0</v>
      </c>
      <c r="BI248" s="12">
        <v>0</v>
      </c>
      <c r="BJ248" s="12">
        <v>0</v>
      </c>
      <c r="BK248" s="12">
        <v>0</v>
      </c>
      <c r="BL248" s="12">
        <v>0</v>
      </c>
      <c r="BM248" s="12">
        <v>0</v>
      </c>
      <c r="BN248" s="12">
        <v>0</v>
      </c>
      <c r="BO248" s="12">
        <v>0</v>
      </c>
      <c r="BP248" s="12">
        <v>0</v>
      </c>
      <c r="BQ248" s="12">
        <v>0</v>
      </c>
      <c r="BR248" s="12">
        <v>0</v>
      </c>
      <c r="BS248" s="12">
        <v>0</v>
      </c>
      <c r="BT248" s="12">
        <v>0</v>
      </c>
      <c r="BU248" s="12">
        <v>0</v>
      </c>
      <c r="BV248" s="12">
        <v>0</v>
      </c>
      <c r="BW248" s="12">
        <v>0</v>
      </c>
      <c r="BX248" s="12">
        <v>0</v>
      </c>
      <c r="BY248" s="12">
        <v>0</v>
      </c>
      <c r="BZ248" s="12">
        <v>0</v>
      </c>
      <c r="CA248" s="12">
        <v>0</v>
      </c>
      <c r="CB248" s="12">
        <v>0</v>
      </c>
      <c r="CC248" s="12">
        <v>0</v>
      </c>
      <c r="CD248" s="12">
        <v>0</v>
      </c>
      <c r="CE248" s="12">
        <v>0</v>
      </c>
      <c r="CF248" s="12">
        <v>0</v>
      </c>
      <c r="CG248" s="12">
        <v>0</v>
      </c>
      <c r="CH248" s="12">
        <v>0</v>
      </c>
      <c r="CI248" s="12">
        <v>0</v>
      </c>
      <c r="CJ248" s="12">
        <v>0</v>
      </c>
      <c r="CK248" s="12">
        <v>0</v>
      </c>
      <c r="CL248" s="12">
        <v>0</v>
      </c>
      <c r="CM248" s="12">
        <v>0</v>
      </c>
      <c r="CN248" s="12">
        <v>0</v>
      </c>
      <c r="CO248" s="12">
        <v>0</v>
      </c>
      <c r="CP248" s="12">
        <v>0</v>
      </c>
      <c r="CQ248" s="12">
        <v>0</v>
      </c>
      <c r="CR248" s="12">
        <v>0</v>
      </c>
      <c r="CS248" s="12">
        <v>0</v>
      </c>
      <c r="CT248" s="12">
        <v>0</v>
      </c>
      <c r="CU248" s="12">
        <v>0</v>
      </c>
      <c r="CV248" s="12">
        <v>0</v>
      </c>
      <c r="CW248" s="12">
        <v>0</v>
      </c>
      <c r="CX248" s="12">
        <v>0</v>
      </c>
      <c r="CY248" s="12">
        <v>0</v>
      </c>
      <c r="CZ248" s="12">
        <v>0</v>
      </c>
      <c r="DA248" s="12">
        <v>0</v>
      </c>
      <c r="DB248" s="12">
        <v>0</v>
      </c>
      <c r="DC248" s="12">
        <v>0</v>
      </c>
      <c r="DD248" s="12">
        <v>0</v>
      </c>
      <c r="DE248" s="12">
        <v>0</v>
      </c>
      <c r="DF248" s="12">
        <v>0</v>
      </c>
      <c r="DG248" s="12">
        <v>0</v>
      </c>
      <c r="DH248" s="12">
        <v>0</v>
      </c>
      <c r="DI248" s="12">
        <v>0</v>
      </c>
      <c r="DJ248" s="12">
        <v>0</v>
      </c>
      <c r="DK248" s="12">
        <v>0</v>
      </c>
      <c r="DL248" s="12">
        <v>0</v>
      </c>
      <c r="DM248" s="12">
        <v>0</v>
      </c>
      <c r="DN248" s="12">
        <v>0</v>
      </c>
      <c r="DO248" s="12">
        <v>0</v>
      </c>
      <c r="DP248" s="12">
        <v>0</v>
      </c>
      <c r="DQ248" s="12">
        <v>0</v>
      </c>
      <c r="DR248" s="12">
        <v>0</v>
      </c>
      <c r="DS248" s="12">
        <v>0</v>
      </c>
      <c r="DT248" s="12">
        <v>0</v>
      </c>
      <c r="DU248" s="12">
        <v>0</v>
      </c>
      <c r="DV248" s="12">
        <v>0</v>
      </c>
      <c r="DW248" s="12">
        <v>0</v>
      </c>
      <c r="DX248" s="12">
        <v>0</v>
      </c>
      <c r="DY248" s="12">
        <v>0</v>
      </c>
      <c r="DZ248" s="12">
        <v>0</v>
      </c>
      <c r="EA248" s="12">
        <v>0</v>
      </c>
      <c r="EB248" s="12">
        <v>0</v>
      </c>
      <c r="EC248" s="12">
        <v>0</v>
      </c>
      <c r="ED248" s="12">
        <v>0</v>
      </c>
      <c r="EE248" s="12">
        <v>0</v>
      </c>
      <c r="EF248" s="12">
        <v>0</v>
      </c>
      <c r="EG248" s="12">
        <v>0</v>
      </c>
      <c r="EH248" s="12">
        <v>0</v>
      </c>
      <c r="EI248" s="12">
        <v>0</v>
      </c>
      <c r="EJ248" s="12">
        <v>0</v>
      </c>
      <c r="EK248" s="12">
        <v>0</v>
      </c>
      <c r="EL248" s="12">
        <v>0</v>
      </c>
      <c r="EM248" s="12">
        <v>0</v>
      </c>
      <c r="EN248" s="12">
        <v>0</v>
      </c>
      <c r="EO248" s="12">
        <v>0</v>
      </c>
      <c r="EP248" s="12" t="str">
        <f t="shared" si="49"/>
        <v>🔴 Sin venta</v>
      </c>
      <c r="EQ248" s="23">
        <f t="shared" si="50"/>
        <v>0</v>
      </c>
      <c r="ER248" s="19">
        <f t="shared" si="48"/>
        <v>0</v>
      </c>
      <c r="ES248" s="12">
        <f t="shared" si="47"/>
        <v>0</v>
      </c>
      <c r="ET248" s="23">
        <f t="shared" si="52"/>
        <v>0</v>
      </c>
      <c r="EU248" s="23">
        <f t="shared" si="51"/>
        <v>0</v>
      </c>
      <c r="EV248" s="23">
        <f t="shared" si="54"/>
        <v>0</v>
      </c>
      <c r="EW248" s="23"/>
      <c r="EX248" s="12">
        <v>0</v>
      </c>
      <c r="EY248" s="19" cm="1">
        <f t="array" ref="EY248:FC248">VLOOKUP(_xlfn.SINGLE(B:B),'[1]Price List'!$B:$N,{8,4,5,6,7},0)</f>
        <v>516.72</v>
      </c>
      <c r="EZ248" s="9" t="str">
        <v>Speck (Apple Exclusive) Presidio Perfect Clear Glitter Case for iPhone 13 Pro - Clear/Platinum Glitt</v>
      </c>
      <c r="FA248" s="12" t="str">
        <v>Cases iPhone</v>
      </c>
      <c r="FB248" s="12" t="str">
        <v>iPhone 13</v>
      </c>
      <c r="FC248" s="12" t="str">
        <v>iPhone 13 Pro</v>
      </c>
      <c r="FD248" s="23" t="str">
        <f>_xlfn.XLOOKUP(B:B,'[1]Price List'!$B:$B,'[1]Price List'!$A:$A)</f>
        <v>Speck</v>
      </c>
    </row>
    <row r="249" spans="1:160" s="9" customFormat="1" x14ac:dyDescent="0.2">
      <c r="A249" s="23" t="s">
        <v>599</v>
      </c>
      <c r="B249" s="23">
        <v>840168505036</v>
      </c>
      <c r="C249" s="9" t="s">
        <v>375</v>
      </c>
      <c r="D249" s="9" t="s">
        <v>644</v>
      </c>
      <c r="E249" s="9" t="s">
        <v>642</v>
      </c>
      <c r="F249" s="9" t="s">
        <v>634</v>
      </c>
      <c r="G249" s="9" t="s">
        <v>634</v>
      </c>
      <c r="H249" s="12" t="s">
        <v>376</v>
      </c>
      <c r="I249" s="38" t="e">
        <v>#N/A</v>
      </c>
      <c r="J249" s="11">
        <v>516.72</v>
      </c>
      <c r="K249" s="62">
        <v>0</v>
      </c>
      <c r="L249" s="12">
        <v>0</v>
      </c>
      <c r="M249" s="13" t="s">
        <v>467</v>
      </c>
      <c r="N249" s="13" t="s">
        <v>656</v>
      </c>
      <c r="O249" s="27">
        <v>44452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  <c r="V249" s="12">
        <v>0</v>
      </c>
      <c r="W249" s="12">
        <v>0</v>
      </c>
      <c r="X249" s="12">
        <v>0</v>
      </c>
      <c r="Y249" s="12">
        <v>0</v>
      </c>
      <c r="Z249" s="12">
        <v>0</v>
      </c>
      <c r="AA249" s="12">
        <v>0</v>
      </c>
      <c r="AB249" s="12">
        <v>0</v>
      </c>
      <c r="AC249" s="12">
        <v>0</v>
      </c>
      <c r="AD249" s="12">
        <v>0</v>
      </c>
      <c r="AE249" s="12">
        <v>0</v>
      </c>
      <c r="AF249" s="12">
        <v>0</v>
      </c>
      <c r="AG249" s="12">
        <v>0</v>
      </c>
      <c r="AH249" s="12">
        <v>0</v>
      </c>
      <c r="AI249" s="12">
        <v>0</v>
      </c>
      <c r="AJ249" s="12">
        <v>0</v>
      </c>
      <c r="AK249" s="12">
        <v>0</v>
      </c>
      <c r="AL249" s="12">
        <v>0</v>
      </c>
      <c r="AM249" s="12">
        <v>0</v>
      </c>
      <c r="AN249" s="12">
        <v>0</v>
      </c>
      <c r="AO249" s="12">
        <v>0</v>
      </c>
      <c r="AP249" s="12">
        <v>0</v>
      </c>
      <c r="AQ249" s="12">
        <v>0</v>
      </c>
      <c r="AR249" s="12">
        <v>0</v>
      </c>
      <c r="AS249" s="12">
        <v>0</v>
      </c>
      <c r="AT249" s="12">
        <v>0</v>
      </c>
      <c r="AU249" s="12">
        <v>0</v>
      </c>
      <c r="AV249" s="12">
        <v>0</v>
      </c>
      <c r="AW249" s="12">
        <v>0</v>
      </c>
      <c r="AX249" s="12">
        <v>0</v>
      </c>
      <c r="AY249" s="12">
        <v>0</v>
      </c>
      <c r="AZ249" s="12">
        <v>0</v>
      </c>
      <c r="BA249" s="12">
        <v>0</v>
      </c>
      <c r="BB249" s="12">
        <v>0</v>
      </c>
      <c r="BC249" s="12">
        <v>0</v>
      </c>
      <c r="BD249" s="12">
        <v>0</v>
      </c>
      <c r="BE249" s="12">
        <v>0</v>
      </c>
      <c r="BF249" s="12">
        <v>0</v>
      </c>
      <c r="BG249" s="12">
        <v>0</v>
      </c>
      <c r="BH249" s="12">
        <v>0</v>
      </c>
      <c r="BI249" s="12">
        <v>0</v>
      </c>
      <c r="BJ249" s="12">
        <v>0</v>
      </c>
      <c r="BK249" s="12">
        <v>0</v>
      </c>
      <c r="BL249" s="12">
        <v>0</v>
      </c>
      <c r="BM249" s="12">
        <v>0</v>
      </c>
      <c r="BN249" s="12">
        <v>0</v>
      </c>
      <c r="BO249" s="12">
        <v>0</v>
      </c>
      <c r="BP249" s="12">
        <v>0</v>
      </c>
      <c r="BQ249" s="12">
        <v>0</v>
      </c>
      <c r="BR249" s="12">
        <v>0</v>
      </c>
      <c r="BS249" s="12">
        <v>0</v>
      </c>
      <c r="BT249" s="12">
        <v>0</v>
      </c>
      <c r="BU249" s="12">
        <v>0</v>
      </c>
      <c r="BV249" s="12">
        <v>0</v>
      </c>
      <c r="BW249" s="12">
        <v>0</v>
      </c>
      <c r="BX249" s="12">
        <v>0</v>
      </c>
      <c r="BY249" s="12">
        <v>0</v>
      </c>
      <c r="BZ249" s="12">
        <v>0</v>
      </c>
      <c r="CA249" s="12">
        <v>0</v>
      </c>
      <c r="CB249" s="12">
        <v>0</v>
      </c>
      <c r="CC249" s="12">
        <v>0</v>
      </c>
      <c r="CD249" s="12">
        <v>0</v>
      </c>
      <c r="CE249" s="12">
        <v>0</v>
      </c>
      <c r="CF249" s="12">
        <v>0</v>
      </c>
      <c r="CG249" s="12">
        <v>0</v>
      </c>
      <c r="CH249" s="12">
        <v>0</v>
      </c>
      <c r="CI249" s="12">
        <v>0</v>
      </c>
      <c r="CJ249" s="12">
        <v>0</v>
      </c>
      <c r="CK249" s="12">
        <v>0</v>
      </c>
      <c r="CL249" s="12">
        <v>0</v>
      </c>
      <c r="CM249" s="12">
        <v>0</v>
      </c>
      <c r="CN249" s="12">
        <v>0</v>
      </c>
      <c r="CO249" s="12">
        <v>0</v>
      </c>
      <c r="CP249" s="12">
        <v>0</v>
      </c>
      <c r="CQ249" s="12">
        <v>0</v>
      </c>
      <c r="CR249" s="12">
        <v>0</v>
      </c>
      <c r="CS249" s="12">
        <v>0</v>
      </c>
      <c r="CT249" s="12">
        <v>0</v>
      </c>
      <c r="CU249" s="12">
        <v>0</v>
      </c>
      <c r="CV249" s="12">
        <v>0</v>
      </c>
      <c r="CW249" s="12">
        <v>0</v>
      </c>
      <c r="CX249" s="12">
        <v>0</v>
      </c>
      <c r="CY249" s="12">
        <v>0</v>
      </c>
      <c r="CZ249" s="12">
        <v>0</v>
      </c>
      <c r="DA249" s="12">
        <v>0</v>
      </c>
      <c r="DB249" s="12">
        <v>0</v>
      </c>
      <c r="DC249" s="12">
        <v>0</v>
      </c>
      <c r="DD249" s="12">
        <v>0</v>
      </c>
      <c r="DE249" s="12">
        <v>0</v>
      </c>
      <c r="DF249" s="12">
        <v>0</v>
      </c>
      <c r="DG249" s="12">
        <v>0</v>
      </c>
      <c r="DH249" s="12">
        <v>0</v>
      </c>
      <c r="DI249" s="12">
        <v>0</v>
      </c>
      <c r="DJ249" s="12">
        <v>0</v>
      </c>
      <c r="DK249" s="12">
        <v>0</v>
      </c>
      <c r="DL249" s="12">
        <v>0</v>
      </c>
      <c r="DM249" s="12">
        <v>0</v>
      </c>
      <c r="DN249" s="12">
        <v>0</v>
      </c>
      <c r="DO249" s="12">
        <v>0</v>
      </c>
      <c r="DP249" s="12">
        <v>0</v>
      </c>
      <c r="DQ249" s="12">
        <v>0</v>
      </c>
      <c r="DR249" s="12">
        <v>0</v>
      </c>
      <c r="DS249" s="12">
        <v>0</v>
      </c>
      <c r="DT249" s="12">
        <v>0</v>
      </c>
      <c r="DU249" s="12">
        <v>0</v>
      </c>
      <c r="DV249" s="12">
        <v>0</v>
      </c>
      <c r="DW249" s="12">
        <v>0</v>
      </c>
      <c r="DX249" s="12">
        <v>0</v>
      </c>
      <c r="DY249" s="12">
        <v>0</v>
      </c>
      <c r="DZ249" s="12">
        <v>0</v>
      </c>
      <c r="EA249" s="12">
        <v>0</v>
      </c>
      <c r="EB249" s="12">
        <v>0</v>
      </c>
      <c r="EC249" s="12">
        <v>0</v>
      </c>
      <c r="ED249" s="12">
        <v>0</v>
      </c>
      <c r="EE249" s="12">
        <v>0</v>
      </c>
      <c r="EF249" s="12">
        <v>0</v>
      </c>
      <c r="EG249" s="12">
        <v>0</v>
      </c>
      <c r="EH249" s="12">
        <v>0</v>
      </c>
      <c r="EI249" s="12">
        <v>0</v>
      </c>
      <c r="EJ249" s="12">
        <v>0</v>
      </c>
      <c r="EK249" s="12">
        <v>0</v>
      </c>
      <c r="EL249" s="12">
        <v>0</v>
      </c>
      <c r="EM249" s="12">
        <v>0</v>
      </c>
      <c r="EN249" s="12">
        <v>0</v>
      </c>
      <c r="EO249" s="12">
        <v>0</v>
      </c>
      <c r="EP249" s="12" t="str">
        <f t="shared" si="49"/>
        <v>🔴 Sin venta</v>
      </c>
      <c r="EQ249" s="23">
        <f t="shared" si="50"/>
        <v>0</v>
      </c>
      <c r="ER249" s="19">
        <f t="shared" si="48"/>
        <v>0</v>
      </c>
      <c r="ES249" s="12">
        <f t="shared" si="47"/>
        <v>0</v>
      </c>
      <c r="ET249" s="23">
        <f t="shared" si="52"/>
        <v>0</v>
      </c>
      <c r="EU249" s="23">
        <f t="shared" si="51"/>
        <v>0</v>
      </c>
      <c r="EV249" s="23">
        <f t="shared" si="54"/>
        <v>0</v>
      </c>
      <c r="EW249" s="23"/>
      <c r="EX249" s="12">
        <v>0</v>
      </c>
      <c r="EY249" s="19" cm="1">
        <f t="array" ref="EY249:FC249">VLOOKUP(_xlfn.SINGLE(B:B),'[1]Price List'!$B:$N,{8,4,5,6,7},0)</f>
        <v>516.72</v>
      </c>
      <c r="EZ249" s="9" t="str">
        <v>Speck (Apple Exclusive) Presidio Perfect Clear Impact Geometry Case for iPhone 13 Pro - Clear/Black</v>
      </c>
      <c r="FA249" s="12" t="str">
        <v>Cases iPhone</v>
      </c>
      <c r="FB249" s="12" t="str">
        <v>iPhone 13</v>
      </c>
      <c r="FC249" s="12" t="str">
        <v>iPhone 13 Pro</v>
      </c>
      <c r="FD249" s="23" t="str">
        <f>_xlfn.XLOOKUP(B:B,'[1]Price List'!$B:$B,'[1]Price List'!$A:$A)</f>
        <v>Speck</v>
      </c>
    </row>
    <row r="250" spans="1:160" s="9" customFormat="1" x14ac:dyDescent="0.2">
      <c r="A250" s="23" t="s">
        <v>599</v>
      </c>
      <c r="B250" s="23">
        <v>840168505586</v>
      </c>
      <c r="C250" s="9" t="s">
        <v>377</v>
      </c>
      <c r="D250" s="9" t="e">
        <v>#N/A</v>
      </c>
      <c r="E250" s="9" t="e">
        <v>#N/A</v>
      </c>
      <c r="F250" s="9" t="e">
        <v>#N/A</v>
      </c>
      <c r="G250" s="9" t="s">
        <v>696</v>
      </c>
      <c r="H250" s="12" t="s">
        <v>378</v>
      </c>
      <c r="I250" s="38" t="e">
        <v>#N/A</v>
      </c>
      <c r="J250" s="11">
        <v>516.72</v>
      </c>
      <c r="K250" s="62">
        <v>0</v>
      </c>
      <c r="L250" s="12">
        <v>0</v>
      </c>
      <c r="M250" s="13" t="s">
        <v>467</v>
      </c>
      <c r="N250" s="13" t="s">
        <v>656</v>
      </c>
      <c r="O250" s="27">
        <v>44552</v>
      </c>
      <c r="P250" s="12">
        <v>0</v>
      </c>
      <c r="Q250" s="12">
        <v>0</v>
      </c>
      <c r="R250" s="12">
        <v>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  <c r="X250" s="12">
        <v>0</v>
      </c>
      <c r="Y250" s="12">
        <v>0</v>
      </c>
      <c r="Z250" s="12">
        <v>0</v>
      </c>
      <c r="AA250" s="12">
        <v>0</v>
      </c>
      <c r="AB250" s="12">
        <v>0</v>
      </c>
      <c r="AC250" s="12">
        <v>0</v>
      </c>
      <c r="AD250" s="12">
        <v>0</v>
      </c>
      <c r="AE250" s="12">
        <v>0</v>
      </c>
      <c r="AF250" s="12">
        <v>0</v>
      </c>
      <c r="AG250" s="12">
        <v>0</v>
      </c>
      <c r="AH250" s="12">
        <v>0</v>
      </c>
      <c r="AI250" s="12">
        <v>0</v>
      </c>
      <c r="AJ250" s="12">
        <v>0</v>
      </c>
      <c r="AK250" s="12">
        <v>0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2">
        <v>0</v>
      </c>
      <c r="AW250" s="12">
        <v>0</v>
      </c>
      <c r="AX250" s="12">
        <v>0</v>
      </c>
      <c r="AY250" s="12">
        <v>0</v>
      </c>
      <c r="AZ250" s="12">
        <v>0</v>
      </c>
      <c r="BA250" s="12">
        <v>0</v>
      </c>
      <c r="BB250" s="12">
        <v>0</v>
      </c>
      <c r="BC250" s="12">
        <v>0</v>
      </c>
      <c r="BD250" s="12">
        <v>0</v>
      </c>
      <c r="BE250" s="12">
        <v>0</v>
      </c>
      <c r="BF250" s="12">
        <v>0</v>
      </c>
      <c r="BG250" s="12">
        <v>0</v>
      </c>
      <c r="BH250" s="12">
        <v>0</v>
      </c>
      <c r="BI250" s="12">
        <v>0</v>
      </c>
      <c r="BJ250" s="12">
        <v>0</v>
      </c>
      <c r="BK250" s="12">
        <v>0</v>
      </c>
      <c r="BL250" s="12">
        <v>0</v>
      </c>
      <c r="BM250" s="12">
        <v>0</v>
      </c>
      <c r="BN250" s="12">
        <v>0</v>
      </c>
      <c r="BO250" s="12">
        <v>0</v>
      </c>
      <c r="BP250" s="12">
        <v>0</v>
      </c>
      <c r="BQ250" s="12">
        <v>0</v>
      </c>
      <c r="BR250" s="12">
        <v>0</v>
      </c>
      <c r="BS250" s="12">
        <v>0</v>
      </c>
      <c r="BT250" s="12">
        <v>0</v>
      </c>
      <c r="BU250" s="12">
        <v>0</v>
      </c>
      <c r="BV250" s="12">
        <v>0</v>
      </c>
      <c r="BW250" s="12">
        <v>0</v>
      </c>
      <c r="BX250" s="12">
        <v>0</v>
      </c>
      <c r="BY250" s="12">
        <v>0</v>
      </c>
      <c r="BZ250" s="12">
        <v>0</v>
      </c>
      <c r="CA250" s="12">
        <v>0</v>
      </c>
      <c r="CB250" s="12">
        <v>0</v>
      </c>
      <c r="CC250" s="12">
        <v>0</v>
      </c>
      <c r="CD250" s="12">
        <v>0</v>
      </c>
      <c r="CE250" s="12">
        <v>0</v>
      </c>
      <c r="CF250" s="12">
        <v>0</v>
      </c>
      <c r="CG250" s="12">
        <v>0</v>
      </c>
      <c r="CH250" s="12">
        <v>0</v>
      </c>
      <c r="CI250" s="12">
        <v>0</v>
      </c>
      <c r="CJ250" s="12">
        <v>0</v>
      </c>
      <c r="CK250" s="12">
        <v>0</v>
      </c>
      <c r="CL250" s="12">
        <v>0</v>
      </c>
      <c r="CM250" s="12">
        <v>0</v>
      </c>
      <c r="CN250" s="12">
        <v>0</v>
      </c>
      <c r="CO250" s="12">
        <v>0</v>
      </c>
      <c r="CP250" s="12">
        <v>0</v>
      </c>
      <c r="CQ250" s="12">
        <v>0</v>
      </c>
      <c r="CR250" s="12">
        <v>0</v>
      </c>
      <c r="CS250" s="12">
        <v>0</v>
      </c>
      <c r="CT250" s="12">
        <v>0</v>
      </c>
      <c r="CU250" s="12">
        <v>0</v>
      </c>
      <c r="CV250" s="12">
        <v>0</v>
      </c>
      <c r="CW250" s="12">
        <v>0</v>
      </c>
      <c r="CX250" s="12">
        <v>0</v>
      </c>
      <c r="CY250" s="12">
        <v>0</v>
      </c>
      <c r="CZ250" s="12">
        <v>0</v>
      </c>
      <c r="DA250" s="12">
        <v>0</v>
      </c>
      <c r="DB250" s="12">
        <v>0</v>
      </c>
      <c r="DC250" s="12">
        <v>0</v>
      </c>
      <c r="DD250" s="12">
        <v>0</v>
      </c>
      <c r="DE250" s="12">
        <v>0</v>
      </c>
      <c r="DF250" s="12">
        <v>0</v>
      </c>
      <c r="DG250" s="12">
        <v>0</v>
      </c>
      <c r="DH250" s="12">
        <v>0</v>
      </c>
      <c r="DI250" s="12">
        <v>0</v>
      </c>
      <c r="DJ250" s="12">
        <v>0</v>
      </c>
      <c r="DK250" s="12">
        <v>0</v>
      </c>
      <c r="DL250" s="12">
        <v>0</v>
      </c>
      <c r="DM250" s="12">
        <v>0</v>
      </c>
      <c r="DN250" s="12">
        <v>0</v>
      </c>
      <c r="DO250" s="12">
        <v>0</v>
      </c>
      <c r="DP250" s="12">
        <v>0</v>
      </c>
      <c r="DQ250" s="12">
        <v>0</v>
      </c>
      <c r="DR250" s="12">
        <v>0</v>
      </c>
      <c r="DS250" s="12">
        <v>0</v>
      </c>
      <c r="DT250" s="12">
        <v>0</v>
      </c>
      <c r="DU250" s="12">
        <v>0</v>
      </c>
      <c r="DV250" s="12">
        <v>0</v>
      </c>
      <c r="DW250" s="12">
        <v>0</v>
      </c>
      <c r="DX250" s="12">
        <v>0</v>
      </c>
      <c r="DY250" s="12">
        <v>0</v>
      </c>
      <c r="DZ250" s="12">
        <v>0</v>
      </c>
      <c r="EA250" s="12">
        <v>0</v>
      </c>
      <c r="EB250" s="12">
        <v>0</v>
      </c>
      <c r="EC250" s="12">
        <v>0</v>
      </c>
      <c r="ED250" s="12">
        <v>0</v>
      </c>
      <c r="EE250" s="12">
        <v>0</v>
      </c>
      <c r="EF250" s="12">
        <v>0</v>
      </c>
      <c r="EG250" s="12">
        <v>0</v>
      </c>
      <c r="EH250" s="12">
        <v>0</v>
      </c>
      <c r="EI250" s="12">
        <v>0</v>
      </c>
      <c r="EJ250" s="12">
        <v>0</v>
      </c>
      <c r="EK250" s="12">
        <v>0</v>
      </c>
      <c r="EL250" s="12">
        <v>0</v>
      </c>
      <c r="EM250" s="12">
        <v>0</v>
      </c>
      <c r="EN250" s="12">
        <v>0</v>
      </c>
      <c r="EO250" s="12">
        <v>0</v>
      </c>
      <c r="EP250" s="12" t="str">
        <f t="shared" si="49"/>
        <v>🔴 Sin venta</v>
      </c>
      <c r="EQ250" s="23">
        <f t="shared" si="50"/>
        <v>0</v>
      </c>
      <c r="ER250" s="19">
        <f t="shared" si="48"/>
        <v>0</v>
      </c>
      <c r="ES250" s="12">
        <f t="shared" si="47"/>
        <v>0</v>
      </c>
      <c r="ET250" s="23">
        <f t="shared" si="52"/>
        <v>0</v>
      </c>
      <c r="EU250" s="23">
        <f t="shared" si="51"/>
        <v>0</v>
      </c>
      <c r="EV250" s="23">
        <f t="shared" si="54"/>
        <v>0</v>
      </c>
      <c r="EW250" s="23"/>
      <c r="EX250" s="12">
        <v>0</v>
      </c>
      <c r="EY250" s="19" cm="1">
        <f t="array" ref="EY250:FC250">VLOOKUP(_xlfn.SINGLE(B:B),'[1]Price List'!$B:$N,{8,4,5,6,7},0)</f>
        <v>516.72</v>
      </c>
      <c r="EZ250" s="9" t="str">
        <v>PRESIDIO PERFECT CL GEO CL/R 13PROM</v>
      </c>
      <c r="FA250" s="12" t="str">
        <v>Cases iPhone</v>
      </c>
      <c r="FB250" s="12" t="str">
        <v>iPhone 13</v>
      </c>
      <c r="FC250" s="12" t="str">
        <v>iPhone 13Pro Max</v>
      </c>
      <c r="FD250" s="23" t="str">
        <f>_xlfn.XLOOKUP(B:B,'[1]Price List'!$B:$B,'[1]Price List'!$A:$A)</f>
        <v>Speck</v>
      </c>
    </row>
    <row r="251" spans="1:160" s="9" customFormat="1" x14ac:dyDescent="0.2">
      <c r="A251" s="23" t="s">
        <v>599</v>
      </c>
      <c r="B251" s="23">
        <v>848709047151</v>
      </c>
      <c r="C251" s="9" t="s">
        <v>384</v>
      </c>
      <c r="D251" s="9" t="e">
        <v>#N/A</v>
      </c>
      <c r="E251" s="9" t="e">
        <v>#N/A</v>
      </c>
      <c r="F251" s="9" t="e">
        <v>#N/A</v>
      </c>
      <c r="G251" s="9" t="s">
        <v>692</v>
      </c>
      <c r="H251" s="12" t="s">
        <v>385</v>
      </c>
      <c r="I251" s="12">
        <v>749</v>
      </c>
      <c r="J251" s="11">
        <v>516.72</v>
      </c>
      <c r="K251" s="62">
        <v>0</v>
      </c>
      <c r="L251" s="12">
        <v>0</v>
      </c>
      <c r="M251" s="13" t="s">
        <v>467</v>
      </c>
      <c r="N251" s="13" t="s">
        <v>656</v>
      </c>
      <c r="O251" s="27">
        <v>42995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0</v>
      </c>
      <c r="W251" s="12">
        <v>0</v>
      </c>
      <c r="X251" s="12">
        <v>0</v>
      </c>
      <c r="Y251" s="12">
        <v>0</v>
      </c>
      <c r="Z251" s="12">
        <v>0</v>
      </c>
      <c r="AA251" s="12">
        <v>0</v>
      </c>
      <c r="AB251" s="12">
        <v>0</v>
      </c>
      <c r="AC251" s="12">
        <v>0</v>
      </c>
      <c r="AD251" s="12">
        <v>0</v>
      </c>
      <c r="AE251" s="12">
        <v>0</v>
      </c>
      <c r="AF251" s="12">
        <v>0</v>
      </c>
      <c r="AG251" s="12">
        <v>0</v>
      </c>
      <c r="AH251" s="12">
        <v>0</v>
      </c>
      <c r="AI251" s="12">
        <v>0</v>
      </c>
      <c r="AJ251" s="12">
        <v>0</v>
      </c>
      <c r="AK251" s="12">
        <v>0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2">
        <v>0</v>
      </c>
      <c r="AW251" s="12">
        <v>0</v>
      </c>
      <c r="AX251" s="12">
        <v>0</v>
      </c>
      <c r="AY251" s="12">
        <v>0</v>
      </c>
      <c r="AZ251" s="12">
        <v>0</v>
      </c>
      <c r="BA251" s="12">
        <v>0</v>
      </c>
      <c r="BB251" s="12">
        <v>0</v>
      </c>
      <c r="BC251" s="12">
        <v>0</v>
      </c>
      <c r="BD251" s="12">
        <v>0</v>
      </c>
      <c r="BE251" s="12">
        <v>0</v>
      </c>
      <c r="BF251" s="12">
        <v>0</v>
      </c>
      <c r="BG251" s="12">
        <v>0</v>
      </c>
      <c r="BH251" s="12">
        <v>0</v>
      </c>
      <c r="BI251" s="12">
        <v>0</v>
      </c>
      <c r="BJ251" s="12">
        <v>0</v>
      </c>
      <c r="BK251" s="12">
        <v>0</v>
      </c>
      <c r="BL251" s="12">
        <v>0</v>
      </c>
      <c r="BM251" s="12">
        <v>0</v>
      </c>
      <c r="BN251" s="12">
        <v>0</v>
      </c>
      <c r="BO251" s="12">
        <v>0</v>
      </c>
      <c r="BP251" s="12">
        <v>0</v>
      </c>
      <c r="BQ251" s="12">
        <v>0</v>
      </c>
      <c r="BR251" s="12">
        <v>0</v>
      </c>
      <c r="BS251" s="12">
        <v>0</v>
      </c>
      <c r="BT251" s="12">
        <v>0</v>
      </c>
      <c r="BU251" s="12">
        <v>0</v>
      </c>
      <c r="BV251" s="12">
        <v>0</v>
      </c>
      <c r="BW251" s="12">
        <v>0</v>
      </c>
      <c r="BX251" s="12">
        <v>0</v>
      </c>
      <c r="BY251" s="12">
        <v>0</v>
      </c>
      <c r="BZ251" s="12">
        <v>0</v>
      </c>
      <c r="CA251" s="12">
        <v>0</v>
      </c>
      <c r="CB251" s="12">
        <v>0</v>
      </c>
      <c r="CC251" s="12">
        <v>0</v>
      </c>
      <c r="CD251" s="12">
        <v>0</v>
      </c>
      <c r="CE251" s="12">
        <v>0</v>
      </c>
      <c r="CF251" s="12">
        <v>0</v>
      </c>
      <c r="CG251" s="12">
        <v>0</v>
      </c>
      <c r="CH251" s="12">
        <v>0</v>
      </c>
      <c r="CI251" s="12">
        <v>0</v>
      </c>
      <c r="CJ251" s="12">
        <v>0</v>
      </c>
      <c r="CK251" s="12">
        <v>0</v>
      </c>
      <c r="CL251" s="12">
        <v>0</v>
      </c>
      <c r="CM251" s="12">
        <v>0</v>
      </c>
      <c r="CN251" s="12">
        <v>0</v>
      </c>
      <c r="CO251" s="12">
        <v>0</v>
      </c>
      <c r="CP251" s="12">
        <v>0</v>
      </c>
      <c r="CQ251" s="12">
        <v>0</v>
      </c>
      <c r="CR251" s="12">
        <v>0</v>
      </c>
      <c r="CS251" s="12">
        <v>0</v>
      </c>
      <c r="CT251" s="12">
        <v>0</v>
      </c>
      <c r="CU251" s="12">
        <v>0</v>
      </c>
      <c r="CV251" s="12">
        <v>0</v>
      </c>
      <c r="CW251" s="12">
        <v>0</v>
      </c>
      <c r="CX251" s="12">
        <v>0</v>
      </c>
      <c r="CY251" s="12">
        <v>0</v>
      </c>
      <c r="CZ251" s="12">
        <v>0</v>
      </c>
      <c r="DA251" s="12">
        <v>0</v>
      </c>
      <c r="DB251" s="12">
        <v>0</v>
      </c>
      <c r="DC251" s="12">
        <v>0</v>
      </c>
      <c r="DD251" s="12">
        <v>0</v>
      </c>
      <c r="DE251" s="12">
        <v>0</v>
      </c>
      <c r="DF251" s="12">
        <v>0</v>
      </c>
      <c r="DG251" s="12">
        <v>0</v>
      </c>
      <c r="DH251" s="12">
        <v>0</v>
      </c>
      <c r="DI251" s="12">
        <v>0</v>
      </c>
      <c r="DJ251" s="12">
        <v>0</v>
      </c>
      <c r="DK251" s="12">
        <v>0</v>
      </c>
      <c r="DL251" s="12">
        <v>0</v>
      </c>
      <c r="DM251" s="12">
        <v>0</v>
      </c>
      <c r="DN251" s="12">
        <v>0</v>
      </c>
      <c r="DO251" s="12">
        <v>0</v>
      </c>
      <c r="DP251" s="12">
        <v>0</v>
      </c>
      <c r="DQ251" s="12">
        <v>0</v>
      </c>
      <c r="DR251" s="12">
        <v>0</v>
      </c>
      <c r="DS251" s="12">
        <v>0</v>
      </c>
      <c r="DT251" s="12">
        <v>0</v>
      </c>
      <c r="DU251" s="12">
        <v>0</v>
      </c>
      <c r="DV251" s="12">
        <v>0</v>
      </c>
      <c r="DW251" s="12">
        <v>0</v>
      </c>
      <c r="DX251" s="12">
        <v>0</v>
      </c>
      <c r="DY251" s="12">
        <v>0</v>
      </c>
      <c r="DZ251" s="12">
        <v>0</v>
      </c>
      <c r="EA251" s="12">
        <v>0</v>
      </c>
      <c r="EB251" s="12">
        <v>0</v>
      </c>
      <c r="EC251" s="12">
        <v>0</v>
      </c>
      <c r="ED251" s="12">
        <v>0</v>
      </c>
      <c r="EE251" s="12">
        <v>0</v>
      </c>
      <c r="EF251" s="12">
        <v>0</v>
      </c>
      <c r="EG251" s="12">
        <v>0</v>
      </c>
      <c r="EH251" s="12">
        <v>0</v>
      </c>
      <c r="EI251" s="12">
        <v>0</v>
      </c>
      <c r="EJ251" s="12">
        <v>0</v>
      </c>
      <c r="EK251" s="12">
        <v>0</v>
      </c>
      <c r="EL251" s="12">
        <v>0</v>
      </c>
      <c r="EM251" s="12">
        <v>0</v>
      </c>
      <c r="EN251" s="12">
        <v>0</v>
      </c>
      <c r="EO251" s="12">
        <v>0</v>
      </c>
      <c r="EP251" s="12" t="str">
        <f t="shared" si="49"/>
        <v>🔴 Sin venta</v>
      </c>
      <c r="EQ251" s="23">
        <f t="shared" si="50"/>
        <v>0</v>
      </c>
      <c r="ER251" s="19">
        <f t="shared" si="48"/>
        <v>0</v>
      </c>
      <c r="ES251" s="12">
        <f t="shared" si="47"/>
        <v>0</v>
      </c>
      <c r="ET251" s="23">
        <f t="shared" si="52"/>
        <v>0</v>
      </c>
      <c r="EU251" s="23">
        <f t="shared" si="51"/>
        <v>0</v>
      </c>
      <c r="EV251" s="23">
        <f t="shared" si="54"/>
        <v>0</v>
      </c>
      <c r="EW251" s="23"/>
      <c r="EX251" s="12">
        <v>0</v>
      </c>
      <c r="EY251" s="19" cm="1">
        <f t="array" ref="EY251:FC251">VLOOKUP(_xlfn.SINGLE(B:B),'[1]Price List'!$B:$N,{8,4,5,6,7},0)</f>
        <v>516.72</v>
      </c>
      <c r="EZ251" s="9" t="str">
        <v>Speck Presidio Show - Clear/Rose Gold iPhone 8</v>
      </c>
      <c r="FA251" s="12" t="str">
        <v>Cases iPhone</v>
      </c>
      <c r="FB251" s="12" t="str">
        <v>iPhone SE</v>
      </c>
      <c r="FC251" s="12" t="str">
        <v>iPhone SE 2020 -2022</v>
      </c>
      <c r="FD251" s="23" t="str">
        <f>_xlfn.XLOOKUP(B:B,'[1]Price List'!$B:$B,'[1]Price List'!$A:$A)</f>
        <v>Speck</v>
      </c>
    </row>
    <row r="252" spans="1:160" s="9" customFormat="1" x14ac:dyDescent="0.2">
      <c r="A252" s="23" t="s">
        <v>599</v>
      </c>
      <c r="B252" s="28">
        <v>2021942878104</v>
      </c>
      <c r="C252" s="9" t="s">
        <v>519</v>
      </c>
      <c r="D252" s="9" t="e">
        <v>#N/A</v>
      </c>
      <c r="E252" s="9" t="e">
        <v>#N/A</v>
      </c>
      <c r="F252" s="9" t="e">
        <v>#N/A</v>
      </c>
      <c r="G252" s="9" t="e">
        <v>#N/A</v>
      </c>
      <c r="H252" s="28" t="s">
        <v>517</v>
      </c>
      <c r="I252" s="12">
        <v>0</v>
      </c>
      <c r="J252" s="12">
        <v>0</v>
      </c>
      <c r="K252" s="62">
        <v>0</v>
      </c>
      <c r="L252" s="12">
        <v>0</v>
      </c>
      <c r="M252" s="13" t="s">
        <v>521</v>
      </c>
      <c r="N252" s="13" t="s">
        <v>475</v>
      </c>
      <c r="O252" s="12"/>
      <c r="P252" s="12">
        <v>0</v>
      </c>
      <c r="Q252" s="12">
        <v>0</v>
      </c>
      <c r="R252" s="12">
        <v>0</v>
      </c>
      <c r="S252" s="12">
        <v>0</v>
      </c>
      <c r="T252" s="12">
        <v>0</v>
      </c>
      <c r="U252" s="12">
        <v>0</v>
      </c>
      <c r="V252" s="12">
        <v>0</v>
      </c>
      <c r="W252" s="12">
        <v>0</v>
      </c>
      <c r="X252" s="12">
        <v>0</v>
      </c>
      <c r="Y252" s="12">
        <v>0</v>
      </c>
      <c r="Z252" s="12">
        <v>0</v>
      </c>
      <c r="AA252" s="12">
        <v>0</v>
      </c>
      <c r="AB252" s="12">
        <v>0</v>
      </c>
      <c r="AC252" s="12">
        <v>0</v>
      </c>
      <c r="AD252" s="12">
        <v>0</v>
      </c>
      <c r="AE252" s="12">
        <v>0</v>
      </c>
      <c r="AF252" s="12">
        <v>0</v>
      </c>
      <c r="AG252" s="12">
        <v>0</v>
      </c>
      <c r="AH252" s="12">
        <v>0</v>
      </c>
      <c r="AI252" s="12">
        <v>0</v>
      </c>
      <c r="AJ252" s="12">
        <v>0</v>
      </c>
      <c r="AK252" s="12">
        <v>0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2">
        <v>0</v>
      </c>
      <c r="AW252" s="12">
        <v>0</v>
      </c>
      <c r="AX252" s="12">
        <v>0</v>
      </c>
      <c r="AY252" s="12">
        <v>0</v>
      </c>
      <c r="AZ252" s="12">
        <v>0</v>
      </c>
      <c r="BA252" s="12">
        <v>0</v>
      </c>
      <c r="BB252" s="12">
        <v>0</v>
      </c>
      <c r="BC252" s="12">
        <v>0</v>
      </c>
      <c r="BD252" s="12">
        <v>0</v>
      </c>
      <c r="BE252" s="12">
        <v>0</v>
      </c>
      <c r="BF252" s="12">
        <v>0</v>
      </c>
      <c r="BG252" s="12">
        <v>0</v>
      </c>
      <c r="BH252" s="12">
        <v>0</v>
      </c>
      <c r="BI252" s="12">
        <v>0</v>
      </c>
      <c r="BJ252" s="12">
        <v>0</v>
      </c>
      <c r="BK252" s="12">
        <v>0</v>
      </c>
      <c r="BL252" s="12">
        <v>0</v>
      </c>
      <c r="BM252" s="12">
        <v>0</v>
      </c>
      <c r="BN252" s="12">
        <v>0</v>
      </c>
      <c r="BO252" s="12">
        <v>0</v>
      </c>
      <c r="BP252" s="12">
        <v>0</v>
      </c>
      <c r="BQ252" s="12">
        <v>0</v>
      </c>
      <c r="BR252" s="12">
        <v>0</v>
      </c>
      <c r="BS252" s="12">
        <v>0</v>
      </c>
      <c r="BT252" s="12">
        <v>0</v>
      </c>
      <c r="BU252" s="12">
        <v>0</v>
      </c>
      <c r="BV252" s="12">
        <v>0</v>
      </c>
      <c r="BW252" s="12">
        <v>0</v>
      </c>
      <c r="BX252" s="12">
        <v>0</v>
      </c>
      <c r="BY252" s="12">
        <v>0</v>
      </c>
      <c r="BZ252" s="12">
        <v>0</v>
      </c>
      <c r="CA252" s="12">
        <v>0</v>
      </c>
      <c r="CB252" s="12">
        <v>0</v>
      </c>
      <c r="CC252" s="12">
        <v>0</v>
      </c>
      <c r="CD252" s="12">
        <v>0</v>
      </c>
      <c r="CE252" s="12">
        <v>0</v>
      </c>
      <c r="CF252" s="12">
        <v>0</v>
      </c>
      <c r="CG252" s="12">
        <v>0</v>
      </c>
      <c r="CH252" s="12">
        <v>0</v>
      </c>
      <c r="CI252" s="12">
        <v>0</v>
      </c>
      <c r="CJ252" s="12">
        <v>0</v>
      </c>
      <c r="CK252" s="12">
        <v>0</v>
      </c>
      <c r="CL252" s="12">
        <v>0</v>
      </c>
      <c r="CM252" s="12">
        <v>0</v>
      </c>
      <c r="CN252" s="12">
        <v>0</v>
      </c>
      <c r="CO252" s="12">
        <v>0</v>
      </c>
      <c r="CP252" s="12">
        <v>0</v>
      </c>
      <c r="CQ252" s="12">
        <v>0</v>
      </c>
      <c r="CR252" s="12">
        <v>0</v>
      </c>
      <c r="CS252" s="12">
        <v>0</v>
      </c>
      <c r="CT252" s="12">
        <v>0</v>
      </c>
      <c r="CU252" s="12">
        <v>0</v>
      </c>
      <c r="CV252" s="12">
        <v>0</v>
      </c>
      <c r="CW252" s="12">
        <v>0</v>
      </c>
      <c r="CX252" s="12">
        <v>0</v>
      </c>
      <c r="CY252" s="12">
        <v>0</v>
      </c>
      <c r="CZ252" s="12">
        <v>0</v>
      </c>
      <c r="DA252" s="12">
        <v>0</v>
      </c>
      <c r="DB252" s="12">
        <v>0</v>
      </c>
      <c r="DC252" s="12">
        <v>0</v>
      </c>
      <c r="DD252" s="12">
        <v>0</v>
      </c>
      <c r="DE252" s="12">
        <v>0</v>
      </c>
      <c r="DF252" s="12">
        <v>0</v>
      </c>
      <c r="DG252" s="12">
        <v>0</v>
      </c>
      <c r="DH252" s="12">
        <v>0</v>
      </c>
      <c r="DI252" s="12">
        <v>0</v>
      </c>
      <c r="DJ252" s="12">
        <v>0</v>
      </c>
      <c r="DK252" s="12">
        <v>0</v>
      </c>
      <c r="DL252" s="12">
        <v>0</v>
      </c>
      <c r="DM252" s="12">
        <v>0</v>
      </c>
      <c r="DN252" s="12">
        <v>0</v>
      </c>
      <c r="DO252" s="12">
        <v>0</v>
      </c>
      <c r="DP252" s="12">
        <v>0</v>
      </c>
      <c r="DQ252" s="12">
        <v>0</v>
      </c>
      <c r="DR252" s="12">
        <v>0</v>
      </c>
      <c r="DS252" s="12">
        <v>0</v>
      </c>
      <c r="DT252" s="12">
        <v>0</v>
      </c>
      <c r="DU252" s="12">
        <v>0</v>
      </c>
      <c r="DV252" s="12">
        <v>0</v>
      </c>
      <c r="DW252" s="12">
        <v>1</v>
      </c>
      <c r="DX252" s="12">
        <v>0</v>
      </c>
      <c r="DY252" s="12">
        <v>0</v>
      </c>
      <c r="DZ252" s="12">
        <v>0</v>
      </c>
      <c r="EA252" s="12">
        <v>0</v>
      </c>
      <c r="EB252" s="12">
        <v>0</v>
      </c>
      <c r="EC252" s="12">
        <v>0</v>
      </c>
      <c r="ED252" s="12">
        <v>0</v>
      </c>
      <c r="EE252" s="12">
        <v>0</v>
      </c>
      <c r="EF252" s="12">
        <v>0</v>
      </c>
      <c r="EG252" s="12">
        <v>0</v>
      </c>
      <c r="EH252" s="12">
        <v>0</v>
      </c>
      <c r="EI252" s="12">
        <v>0</v>
      </c>
      <c r="EJ252" s="12">
        <v>0</v>
      </c>
      <c r="EK252" s="12">
        <v>0</v>
      </c>
      <c r="EL252" s="12">
        <v>0</v>
      </c>
      <c r="EM252" s="12">
        <v>0</v>
      </c>
      <c r="EN252" s="12">
        <v>0</v>
      </c>
      <c r="EO252" s="12">
        <v>0</v>
      </c>
      <c r="EP252" s="12" t="str">
        <f t="shared" si="49"/>
        <v>🔴 Sin venta</v>
      </c>
      <c r="EQ252" s="23">
        <f t="shared" si="50"/>
        <v>4.1666666666666664E-2</v>
      </c>
      <c r="ER252" s="19">
        <f t="shared" si="48"/>
        <v>0</v>
      </c>
      <c r="ES252" s="12">
        <f t="shared" si="47"/>
        <v>1</v>
      </c>
      <c r="ET252" s="23">
        <f t="shared" si="52"/>
        <v>0</v>
      </c>
      <c r="EU252" s="23">
        <f t="shared" si="51"/>
        <v>0</v>
      </c>
      <c r="EV252" s="23">
        <f t="shared" si="54"/>
        <v>0.27</v>
      </c>
      <c r="EW252" s="23"/>
      <c r="EX252" s="12">
        <v>4</v>
      </c>
      <c r="EY252" s="19" cm="1">
        <f t="array" ref="EY252:FC252">VLOOKUP(_xlfn.SINGLE(B:B),'[1]Price List'!$B:$N,{8,4,5,6,7},0)</f>
        <v>0.01</v>
      </c>
      <c r="EZ252" s="9" t="str">
        <v>Speck Speaker Gemtones Infinity Speaker Mini -DARK GREY/CHROME/TAN</v>
      </c>
      <c r="FA252" s="12" t="str">
        <v>Audio</v>
      </c>
      <c r="FB252" s="12" t="str">
        <v>Speakers</v>
      </c>
      <c r="FC252" s="12" t="str">
        <v>Infinity</v>
      </c>
      <c r="FD252" s="23" t="str">
        <f>_xlfn.XLOOKUP(B:B,'[1]Price List'!$B:$B,'[1]Price List'!$A:$A)</f>
        <v>Speck</v>
      </c>
    </row>
    <row r="253" spans="1:160" s="9" customFormat="1" x14ac:dyDescent="0.2">
      <c r="A253" s="23" t="s">
        <v>599</v>
      </c>
      <c r="B253" s="28">
        <v>2021942878173</v>
      </c>
      <c r="C253" s="9" t="s">
        <v>520</v>
      </c>
      <c r="D253" s="9" t="e">
        <v>#N/A</v>
      </c>
      <c r="E253" s="9" t="e">
        <v>#N/A</v>
      </c>
      <c r="F253" s="9" t="e">
        <v>#N/A</v>
      </c>
      <c r="G253" s="9" t="e">
        <v>#N/A</v>
      </c>
      <c r="H253" s="28" t="s">
        <v>518</v>
      </c>
      <c r="I253" s="12">
        <v>0</v>
      </c>
      <c r="J253" s="12">
        <v>0</v>
      </c>
      <c r="K253" s="62">
        <v>0</v>
      </c>
      <c r="L253" s="12">
        <v>0</v>
      </c>
      <c r="M253" s="13" t="s">
        <v>521</v>
      </c>
      <c r="N253" s="13" t="s">
        <v>475</v>
      </c>
      <c r="O253" s="12"/>
      <c r="P253" s="12">
        <v>0</v>
      </c>
      <c r="Q253" s="12">
        <v>0</v>
      </c>
      <c r="R253" s="12">
        <v>0</v>
      </c>
      <c r="S253" s="12">
        <v>0</v>
      </c>
      <c r="T253" s="12">
        <v>0</v>
      </c>
      <c r="U253" s="12">
        <v>0</v>
      </c>
      <c r="V253" s="12">
        <v>0</v>
      </c>
      <c r="W253" s="12">
        <v>0</v>
      </c>
      <c r="X253" s="12">
        <v>0</v>
      </c>
      <c r="Y253" s="12">
        <v>0</v>
      </c>
      <c r="Z253" s="12">
        <v>0</v>
      </c>
      <c r="AA253" s="12">
        <v>0</v>
      </c>
      <c r="AB253" s="12">
        <v>0</v>
      </c>
      <c r="AC253" s="12">
        <v>0</v>
      </c>
      <c r="AD253" s="12">
        <v>0</v>
      </c>
      <c r="AE253" s="12">
        <v>0</v>
      </c>
      <c r="AF253" s="12">
        <v>0</v>
      </c>
      <c r="AG253" s="12">
        <v>0</v>
      </c>
      <c r="AH253" s="12">
        <v>0</v>
      </c>
      <c r="AI253" s="12">
        <v>0</v>
      </c>
      <c r="AJ253" s="12">
        <v>0</v>
      </c>
      <c r="AK253" s="12">
        <v>0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2">
        <v>0</v>
      </c>
      <c r="AW253" s="12">
        <v>0</v>
      </c>
      <c r="AX253" s="12">
        <v>0</v>
      </c>
      <c r="AY253" s="12">
        <v>0</v>
      </c>
      <c r="AZ253" s="12">
        <v>0</v>
      </c>
      <c r="BA253" s="12">
        <v>0</v>
      </c>
      <c r="BB253" s="12">
        <v>0</v>
      </c>
      <c r="BC253" s="12">
        <v>0</v>
      </c>
      <c r="BD253" s="12">
        <v>0</v>
      </c>
      <c r="BE253" s="12">
        <v>0</v>
      </c>
      <c r="BF253" s="12">
        <v>0</v>
      </c>
      <c r="BG253" s="12">
        <v>0</v>
      </c>
      <c r="BH253" s="12">
        <v>0</v>
      </c>
      <c r="BI253" s="12">
        <v>0</v>
      </c>
      <c r="BJ253" s="12">
        <v>0</v>
      </c>
      <c r="BK253" s="12">
        <v>0</v>
      </c>
      <c r="BL253" s="12">
        <v>0</v>
      </c>
      <c r="BM253" s="12">
        <v>0</v>
      </c>
      <c r="BN253" s="12">
        <v>0</v>
      </c>
      <c r="BO253" s="12">
        <v>0</v>
      </c>
      <c r="BP253" s="12">
        <v>0</v>
      </c>
      <c r="BQ253" s="12">
        <v>0</v>
      </c>
      <c r="BR253" s="12">
        <v>0</v>
      </c>
      <c r="BS253" s="12">
        <v>0</v>
      </c>
      <c r="BT253" s="12">
        <v>0</v>
      </c>
      <c r="BU253" s="12">
        <v>0</v>
      </c>
      <c r="BV253" s="12">
        <v>0</v>
      </c>
      <c r="BW253" s="12">
        <v>0</v>
      </c>
      <c r="BX253" s="12">
        <v>0</v>
      </c>
      <c r="BY253" s="12">
        <v>0</v>
      </c>
      <c r="BZ253" s="12">
        <v>0</v>
      </c>
      <c r="CA253" s="12">
        <v>0</v>
      </c>
      <c r="CB253" s="12">
        <v>0</v>
      </c>
      <c r="CC253" s="12">
        <v>0</v>
      </c>
      <c r="CD253" s="12">
        <v>0</v>
      </c>
      <c r="CE253" s="12">
        <v>0</v>
      </c>
      <c r="CF253" s="12">
        <v>0</v>
      </c>
      <c r="CG253" s="12">
        <v>0</v>
      </c>
      <c r="CH253" s="12">
        <v>0</v>
      </c>
      <c r="CI253" s="12">
        <v>0</v>
      </c>
      <c r="CJ253" s="12">
        <v>0</v>
      </c>
      <c r="CK253" s="12">
        <v>0</v>
      </c>
      <c r="CL253" s="12">
        <v>0</v>
      </c>
      <c r="CM253" s="12">
        <v>0</v>
      </c>
      <c r="CN253" s="12">
        <v>0</v>
      </c>
      <c r="CO253" s="12">
        <v>0</v>
      </c>
      <c r="CP253" s="12">
        <v>0</v>
      </c>
      <c r="CQ253" s="12">
        <v>0</v>
      </c>
      <c r="CR253" s="12">
        <v>0</v>
      </c>
      <c r="CS253" s="12">
        <v>0</v>
      </c>
      <c r="CT253" s="12">
        <v>0</v>
      </c>
      <c r="CU253" s="12">
        <v>0</v>
      </c>
      <c r="CV253" s="12">
        <v>0</v>
      </c>
      <c r="CW253" s="12">
        <v>0</v>
      </c>
      <c r="CX253" s="12">
        <v>0</v>
      </c>
      <c r="CY253" s="12">
        <v>0</v>
      </c>
      <c r="CZ253" s="12">
        <v>0</v>
      </c>
      <c r="DA253" s="12">
        <v>0</v>
      </c>
      <c r="DB253" s="12">
        <v>1</v>
      </c>
      <c r="DC253" s="12">
        <v>0</v>
      </c>
      <c r="DD253" s="12">
        <v>2</v>
      </c>
      <c r="DE253" s="12">
        <v>0</v>
      </c>
      <c r="DF253" s="12">
        <v>0</v>
      </c>
      <c r="DG253" s="12">
        <v>0</v>
      </c>
      <c r="DH253" s="12">
        <v>0</v>
      </c>
      <c r="DI253" s="12">
        <v>0</v>
      </c>
      <c r="DJ253" s="12">
        <v>0</v>
      </c>
      <c r="DK253" s="12">
        <v>0</v>
      </c>
      <c r="DL253" s="12">
        <v>0</v>
      </c>
      <c r="DM253" s="12">
        <v>0</v>
      </c>
      <c r="DN253" s="12">
        <v>0</v>
      </c>
      <c r="DO253" s="12">
        <v>0</v>
      </c>
      <c r="DP253" s="12">
        <v>0</v>
      </c>
      <c r="DQ253" s="12">
        <v>0</v>
      </c>
      <c r="DR253" s="12">
        <v>0</v>
      </c>
      <c r="DS253" s="12">
        <v>0</v>
      </c>
      <c r="DT253" s="12">
        <v>0</v>
      </c>
      <c r="DU253" s="12">
        <v>0</v>
      </c>
      <c r="DV253" s="12">
        <v>1</v>
      </c>
      <c r="DW253" s="12">
        <v>0</v>
      </c>
      <c r="DX253" s="12">
        <v>0</v>
      </c>
      <c r="DY253" s="12">
        <v>0</v>
      </c>
      <c r="DZ253" s="12">
        <v>2</v>
      </c>
      <c r="EA253" s="12">
        <v>1</v>
      </c>
      <c r="EB253" s="12">
        <v>0</v>
      </c>
      <c r="EC253" s="12">
        <v>1</v>
      </c>
      <c r="ED253" s="12">
        <v>0</v>
      </c>
      <c r="EE253" s="12">
        <v>1</v>
      </c>
      <c r="EF253" s="12">
        <v>1</v>
      </c>
      <c r="EG253" s="12">
        <v>1</v>
      </c>
      <c r="EH253" s="12">
        <v>0</v>
      </c>
      <c r="EI253" s="12">
        <v>0</v>
      </c>
      <c r="EJ253" s="12">
        <v>0</v>
      </c>
      <c r="EK253" s="12">
        <v>0</v>
      </c>
      <c r="EL253" s="12">
        <v>0</v>
      </c>
      <c r="EM253" s="12">
        <v>0</v>
      </c>
      <c r="EN253" s="12">
        <v>1</v>
      </c>
      <c r="EO253" s="12">
        <v>0</v>
      </c>
      <c r="EP253" s="12" t="str">
        <f t="shared" si="49"/>
        <v>🔴 Sin venta</v>
      </c>
      <c r="EQ253" s="23">
        <f t="shared" si="50"/>
        <v>0.33333333333333331</v>
      </c>
      <c r="ER253" s="19">
        <f t="shared" si="48"/>
        <v>0</v>
      </c>
      <c r="ES253" s="12">
        <f t="shared" si="47"/>
        <v>9</v>
      </c>
      <c r="ET253" s="23">
        <f t="shared" si="52"/>
        <v>1.5</v>
      </c>
      <c r="EU253" s="23">
        <f t="shared" si="51"/>
        <v>0</v>
      </c>
      <c r="EV253" s="23">
        <f t="shared" si="54"/>
        <v>1.33</v>
      </c>
      <c r="EW253" s="23"/>
      <c r="EX253" s="12">
        <v>4</v>
      </c>
      <c r="EY253" s="19" cm="1">
        <f t="array" ref="EY253:FC253">VLOOKUP(_xlfn.SINGLE(B:B),'[1]Price List'!$B:$N,{8,4,5,6,7},0)</f>
        <v>0.01</v>
      </c>
      <c r="EZ253" s="9" t="str">
        <v>Speck Speaker Gemtones Infinity Speaker Max -DARK GREY/CHROME/TAN</v>
      </c>
      <c r="FA253" s="12" t="str">
        <v>Audio</v>
      </c>
      <c r="FB253" s="12" t="str">
        <v>Speakers</v>
      </c>
      <c r="FC253" s="12" t="str">
        <v>Infinity</v>
      </c>
      <c r="FD253" s="23" t="str">
        <f>_xlfn.XLOOKUP(B:B,'[1]Price List'!$B:$B,'[1]Price List'!$A:$A)</f>
        <v>Speck</v>
      </c>
    </row>
    <row r="254" spans="1:160" x14ac:dyDescent="0.2">
      <c r="G254" s="9"/>
      <c r="K254" s="62"/>
      <c r="DB254" s="12"/>
      <c r="DC254" s="12"/>
      <c r="DD254" s="12"/>
      <c r="DE254" s="12"/>
      <c r="DF254" s="12"/>
      <c r="DG254" s="12"/>
      <c r="DH254" s="12"/>
      <c r="DI254" s="12"/>
      <c r="DJ254" s="12"/>
      <c r="DK254" s="12"/>
      <c r="DL254" s="12"/>
      <c r="DM254" s="12"/>
      <c r="DN254" s="12"/>
      <c r="DO254" s="12"/>
      <c r="DP254" s="12"/>
      <c r="DQ254" s="12"/>
      <c r="DR254" s="12"/>
      <c r="DS254" s="12"/>
      <c r="DT254" s="12"/>
      <c r="DU254" s="12"/>
      <c r="DV254" s="12"/>
      <c r="DW254" s="12"/>
      <c r="DX254" s="12"/>
      <c r="DY254" s="12"/>
      <c r="DZ254" s="12"/>
      <c r="EA254" s="12"/>
      <c r="EB254" s="12"/>
      <c r="EC254" s="12"/>
      <c r="ED254" s="12"/>
      <c r="EE254" s="12"/>
      <c r="EF254" s="12"/>
      <c r="EG254" s="12"/>
      <c r="EH254" s="12"/>
      <c r="EI254" s="12"/>
      <c r="EJ254" s="12"/>
      <c r="EK254" s="12"/>
      <c r="EL254" s="12"/>
      <c r="EM254" s="12"/>
      <c r="EN254" s="12"/>
      <c r="EO254" s="12"/>
      <c r="EP254" s="12"/>
      <c r="EQ254" s="12"/>
      <c r="ER254" s="19"/>
      <c r="ES254" s="12"/>
      <c r="ET254" s="23"/>
      <c r="EU254" s="23"/>
      <c r="EV254" s="12"/>
      <c r="EW254" s="12"/>
      <c r="EX254" s="12"/>
    </row>
    <row r="255" spans="1:160" x14ac:dyDescent="0.2">
      <c r="EO255" s="12"/>
      <c r="EX255" s="12"/>
    </row>
  </sheetData>
  <autoFilter ref="A3:FD255" xr:uid="{00000000-0001-0000-0000-000000000000}"/>
  <sortState xmlns:xlrd2="http://schemas.microsoft.com/office/spreadsheetml/2017/richdata2" ref="B97:EX155">
    <sortCondition descending="1" ref="S97:S155"/>
  </sortState>
  <phoneticPr fontId="21" type="noConversion"/>
  <conditionalFormatting sqref="B254:B1048576 B3:B93 B95:B251">
    <cfRule type="duplicateValues" dxfId="0" priority="208"/>
  </conditionalFormatting>
  <conditionalFormatting sqref="E96:F96 E93:F94 B94">
    <cfRule type="duplicateValues" dxfId="7" priority="187"/>
  </conditionalFormatting>
  <conditionalFormatting sqref="H29">
    <cfRule type="duplicateValues" dxfId="6" priority="7"/>
    <cfRule type="duplicateValues" dxfId="5" priority="8"/>
    <cfRule type="duplicateValues" dxfId="4" priority="9"/>
  </conditionalFormatting>
  <conditionalFormatting sqref="H30">
    <cfRule type="duplicateValues" dxfId="3" priority="4"/>
    <cfRule type="duplicateValues" dxfId="2" priority="5"/>
    <cfRule type="duplicateValues" dxfId="1" priority="6"/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AlphaComm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compras04</dc:creator>
  <cp:lastModifiedBy>Ruyeri</cp:lastModifiedBy>
  <dcterms:created xsi:type="dcterms:W3CDTF">2023-10-09T19:19:26Z</dcterms:created>
  <dcterms:modified xsi:type="dcterms:W3CDTF">2026-07-14T19:38:23Z</dcterms:modified>
</cp:coreProperties>
</file>